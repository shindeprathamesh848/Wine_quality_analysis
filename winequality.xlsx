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8C871BD0-4A72-48E3-A567-4C01858F9CE2}" xr6:coauthVersionLast="47" xr6:coauthVersionMax="47" xr10:uidLastSave="{00000000-0000-0000-0000-000000000000}"/>
  <bookViews>
    <workbookView xWindow="-108" yWindow="-108" windowWidth="23256" windowHeight="12456" activeTab="4" xr2:uid="{5D299324-78C5-400A-9E40-59C004DB1A4C}"/>
  </bookViews>
  <sheets>
    <sheet name="winequality-red(in) (1)" sheetId="1" r:id="rId1"/>
    <sheet name="Sheet1" sheetId="2" r:id="rId2"/>
    <sheet name="Sheet2" sheetId="3" r:id="rId3"/>
    <sheet name="Sheet3" sheetId="4" r:id="rId4"/>
    <sheet name="Sheet4" sheetId="5" r:id="rId5"/>
  </sheets>
  <definedNames>
    <definedName name="_xlchart.v1.0" hidden="1">'winequality-red(in) (1)'!$L$2:$L$1600</definedName>
    <definedName name="_xlchart.v1.1" hidden="1">'winequality-red(in) (1)'!$J$1</definedName>
    <definedName name="_xlchart.v1.2" hidden="1">'winequality-red(in) (1)'!$J$2:$J$1600</definedName>
    <definedName name="_xlchart.v1.3" hidden="1">'winequality-red(in) (1)'!$M$2:$M$1600</definedName>
    <definedName name="_xlchart.v1.4" hidden="1">'winequality-red(in) (1)'!$J$2:$J$1600</definedName>
    <definedName name="_xlchart.v1.5" hidden="1">'winequality-red(in) (1)'!$M$2:$M$1600</definedName>
    <definedName name="Slicer_quality_category">#N/A</definedName>
    <definedName name="Slicer_quality_category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3" l="1" a="1"/>
  <c r="F14" i="3" s="1"/>
  <c r="F13" i="3"/>
  <c r="F12" i="3"/>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E23" i="2"/>
  <c r="E22" i="2"/>
  <c r="E21" i="2"/>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D8" i="2"/>
  <c r="E8" i="2"/>
  <c r="F8" i="2"/>
  <c r="G8" i="2"/>
  <c r="H8" i="2"/>
  <c r="I8" i="2"/>
  <c r="J8" i="2"/>
  <c r="K8" i="2"/>
  <c r="L8" i="2"/>
  <c r="M8" i="2"/>
  <c r="M7" i="2"/>
  <c r="D7" i="2"/>
  <c r="E7" i="2"/>
  <c r="F7" i="2"/>
  <c r="G7" i="2"/>
  <c r="H7" i="2"/>
  <c r="I7" i="2"/>
  <c r="J7" i="2"/>
  <c r="K7" i="2"/>
  <c r="L7" i="2"/>
  <c r="D6" i="2"/>
  <c r="E6" i="2"/>
  <c r="F6" i="2"/>
  <c r="G6" i="2"/>
  <c r="H6" i="2"/>
  <c r="I6" i="2"/>
  <c r="J6" i="2"/>
  <c r="K6" i="2"/>
  <c r="L6" i="2"/>
  <c r="M6" i="2"/>
  <c r="D5" i="2"/>
  <c r="E5" i="2"/>
  <c r="F5" i="2"/>
  <c r="G5" i="2"/>
  <c r="H5" i="2"/>
  <c r="I5" i="2"/>
  <c r="J5" i="2"/>
  <c r="K5" i="2"/>
  <c r="L5" i="2"/>
  <c r="M5" i="2"/>
  <c r="F4" i="2"/>
  <c r="G4" i="2"/>
  <c r="H4" i="2"/>
  <c r="I4" i="2"/>
  <c r="J4" i="2"/>
  <c r="K4" i="2"/>
  <c r="L4" i="2"/>
  <c r="M4" i="2"/>
  <c r="E4" i="2"/>
  <c r="D4" i="2"/>
  <c r="C8" i="2"/>
  <c r="C7" i="2"/>
  <c r="C6" i="2"/>
  <c r="C5" i="2"/>
  <c r="C4" i="2"/>
  <c r="N2" i="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s="1"/>
  <c r="N716" i="1" a="1"/>
  <c r="N716" i="1" s="1"/>
  <c r="N717" i="1" a="1"/>
  <c r="N717" i="1" s="1"/>
  <c r="N718" i="1" a="1"/>
  <c r="N718" i="1" s="1"/>
  <c r="N719" i="1" a="1"/>
  <c r="N719" i="1" s="1"/>
  <c r="N720" i="1" a="1"/>
  <c r="N720" i="1" s="1"/>
  <c r="N721" i="1" a="1"/>
  <c r="N721" i="1" s="1"/>
  <c r="N722" i="1" a="1"/>
  <c r="N722" i="1" s="1"/>
  <c r="N723" i="1" a="1"/>
  <c r="N723" i="1" s="1"/>
  <c r="N724" i="1" a="1"/>
  <c r="N724" i="1" s="1"/>
  <c r="N725" i="1" a="1"/>
  <c r="N725" i="1" s="1"/>
  <c r="N726" i="1" a="1"/>
  <c r="N726" i="1" s="1"/>
  <c r="N727" i="1" a="1"/>
  <c r="N727" i="1" s="1"/>
  <c r="N728" i="1" a="1"/>
  <c r="N728" i="1" s="1"/>
  <c r="N729" i="1" a="1"/>
  <c r="N729" i="1" s="1"/>
  <c r="N730" i="1" a="1"/>
  <c r="N730" i="1" s="1"/>
  <c r="N731" i="1" a="1"/>
  <c r="N731" i="1" s="1"/>
  <c r="N732" i="1" a="1"/>
  <c r="N732" i="1" s="1"/>
  <c r="N733" i="1" a="1"/>
  <c r="N733" i="1" s="1"/>
  <c r="N734" i="1" a="1"/>
  <c r="N734" i="1" s="1"/>
  <c r="N735" i="1" a="1"/>
  <c r="N735" i="1" s="1"/>
  <c r="N736" i="1" a="1"/>
  <c r="N736" i="1" s="1"/>
  <c r="N737" i="1" a="1"/>
  <c r="N737" i="1" s="1"/>
  <c r="N738" i="1" a="1"/>
  <c r="N738" i="1" s="1"/>
  <c r="N739" i="1" a="1"/>
  <c r="N739" i="1" s="1"/>
  <c r="N740" i="1" a="1"/>
  <c r="N740" i="1" s="1"/>
  <c r="N741" i="1" a="1"/>
  <c r="N741" i="1" s="1"/>
  <c r="N742" i="1" a="1"/>
  <c r="N742" i="1" s="1"/>
  <c r="N743" i="1" a="1"/>
  <c r="N743" i="1" s="1"/>
  <c r="N744" i="1" a="1"/>
  <c r="N744" i="1" s="1"/>
  <c r="N745" i="1" a="1"/>
  <c r="N745" i="1" s="1"/>
  <c r="N746" i="1" a="1"/>
  <c r="N746" i="1" s="1"/>
  <c r="N747" i="1" a="1"/>
  <c r="N747" i="1" s="1"/>
  <c r="N748" i="1" a="1"/>
  <c r="N748" i="1" s="1"/>
  <c r="N749" i="1" a="1"/>
  <c r="N749" i="1" s="1"/>
  <c r="N750" i="1" a="1"/>
  <c r="N750" i="1" s="1"/>
  <c r="N751" i="1" a="1"/>
  <c r="N751" i="1" s="1"/>
  <c r="N752" i="1" a="1"/>
  <c r="N752" i="1" s="1"/>
  <c r="N753" i="1" a="1"/>
  <c r="N753" i="1" s="1"/>
  <c r="N754" i="1" a="1"/>
  <c r="N754" i="1" s="1"/>
  <c r="N755" i="1" a="1"/>
  <c r="N755" i="1" s="1"/>
  <c r="N756" i="1" a="1"/>
  <c r="N756" i="1" s="1"/>
  <c r="N757" i="1" a="1"/>
  <c r="N757" i="1" s="1"/>
  <c r="N758" i="1" a="1"/>
  <c r="N758" i="1" s="1"/>
  <c r="N759" i="1" a="1"/>
  <c r="N759" i="1" s="1"/>
  <c r="N760" i="1" a="1"/>
  <c r="N760" i="1" s="1"/>
  <c r="N761" i="1" a="1"/>
  <c r="N761" i="1" s="1"/>
  <c r="N762" i="1" a="1"/>
  <c r="N762" i="1" s="1"/>
  <c r="N763" i="1" a="1"/>
  <c r="N763" i="1" s="1"/>
  <c r="N764" i="1" a="1"/>
  <c r="N764" i="1" s="1"/>
  <c r="N765" i="1" a="1"/>
  <c r="N765" i="1" s="1"/>
  <c r="N766" i="1" a="1"/>
  <c r="N766" i="1" s="1"/>
  <c r="N767" i="1" a="1"/>
  <c r="N767" i="1" s="1"/>
  <c r="N768" i="1" a="1"/>
  <c r="N768" i="1" s="1"/>
  <c r="N769" i="1" a="1"/>
  <c r="N769" i="1" s="1"/>
  <c r="N770" i="1" a="1"/>
  <c r="N770" i="1" s="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s="1"/>
  <c r="N783" i="1" a="1"/>
  <c r="N783" i="1" s="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s="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s="1"/>
  <c r="N808" i="1" a="1"/>
  <c r="N808" i="1" s="1"/>
  <c r="N809" i="1" a="1"/>
  <c r="N809" i="1" s="1"/>
  <c r="N810" i="1" a="1"/>
  <c r="N810" i="1" s="1"/>
  <c r="N811" i="1" a="1"/>
  <c r="N811" i="1" s="1"/>
  <c r="N812" i="1" a="1"/>
  <c r="N812" i="1" s="1"/>
  <c r="N813" i="1" a="1"/>
  <c r="N813" i="1" s="1"/>
  <c r="N814" i="1" a="1"/>
  <c r="N814" i="1" s="1"/>
  <c r="N815" i="1" a="1"/>
  <c r="N815" i="1" s="1"/>
  <c r="N816" i="1" a="1"/>
  <c r="N816" i="1" s="1"/>
  <c r="N817" i="1" a="1"/>
  <c r="N817" i="1" s="1"/>
  <c r="N818" i="1" a="1"/>
  <c r="N818" i="1" s="1"/>
  <c r="N819" i="1" a="1"/>
  <c r="N819" i="1" s="1"/>
  <c r="N820" i="1" a="1"/>
  <c r="N820" i="1" s="1"/>
  <c r="N821" i="1" a="1"/>
  <c r="N821" i="1" s="1"/>
  <c r="N822" i="1" a="1"/>
  <c r="N822" i="1" s="1"/>
  <c r="N823" i="1" a="1"/>
  <c r="N823" i="1" s="1"/>
  <c r="N824" i="1" a="1"/>
  <c r="N824" i="1" s="1"/>
  <c r="N825" i="1" a="1"/>
  <c r="N825" i="1" s="1"/>
  <c r="N826" i="1" a="1"/>
  <c r="N826" i="1" s="1"/>
  <c r="N827" i="1" a="1"/>
  <c r="N827" i="1" s="1"/>
  <c r="N828" i="1" a="1"/>
  <c r="N828" i="1" s="1"/>
  <c r="N829" i="1" a="1"/>
  <c r="N829" i="1" s="1"/>
  <c r="N830" i="1" a="1"/>
  <c r="N830" i="1" s="1"/>
  <c r="N831" i="1" a="1"/>
  <c r="N831" i="1" s="1"/>
  <c r="N832" i="1" a="1"/>
  <c r="N832" i="1" s="1"/>
  <c r="N833" i="1" a="1"/>
  <c r="N833" i="1" s="1"/>
  <c r="N834" i="1" a="1"/>
  <c r="N834" i="1" s="1"/>
  <c r="N835" i="1" a="1"/>
  <c r="N835" i="1" s="1"/>
  <c r="N836" i="1" a="1"/>
  <c r="N836" i="1" s="1"/>
  <c r="N837" i="1" a="1"/>
  <c r="N837" i="1" s="1"/>
  <c r="N838" i="1" a="1"/>
  <c r="N838" i="1" s="1"/>
  <c r="N839" i="1" a="1"/>
  <c r="N839" i="1" s="1"/>
  <c r="N840" i="1" a="1"/>
  <c r="N840" i="1" s="1"/>
  <c r="N841" i="1" a="1"/>
  <c r="N841" i="1" s="1"/>
  <c r="N842" i="1" a="1"/>
  <c r="N842" i="1" s="1"/>
  <c r="N843" i="1" a="1"/>
  <c r="N843" i="1" s="1"/>
  <c r="N844" i="1" a="1"/>
  <c r="N844" i="1" s="1"/>
  <c r="N845" i="1" a="1"/>
  <c r="N845" i="1" s="1"/>
  <c r="N846" i="1" a="1"/>
  <c r="N846" i="1" s="1"/>
  <c r="N847" i="1" a="1"/>
  <c r="N847" i="1" s="1"/>
  <c r="N848" i="1" a="1"/>
  <c r="N848" i="1" s="1"/>
  <c r="N849" i="1" a="1"/>
  <c r="N849" i="1" s="1"/>
  <c r="N850" i="1" a="1"/>
  <c r="N850" i="1" s="1"/>
  <c r="N851" i="1" a="1"/>
  <c r="N851" i="1" s="1"/>
  <c r="N852" i="1" a="1"/>
  <c r="N852" i="1" s="1"/>
  <c r="N853" i="1" a="1"/>
  <c r="N853" i="1" s="1"/>
  <c r="N854" i="1" a="1"/>
  <c r="N854" i="1" s="1"/>
  <c r="N855" i="1" a="1"/>
  <c r="N855" i="1" s="1"/>
  <c r="N856" i="1" a="1"/>
  <c r="N856" i="1" s="1"/>
  <c r="N857" i="1" a="1"/>
  <c r="N857" i="1" s="1"/>
  <c r="N858" i="1" a="1"/>
  <c r="N858" i="1" s="1"/>
  <c r="N859" i="1" a="1"/>
  <c r="N859" i="1" s="1"/>
  <c r="N860" i="1" a="1"/>
  <c r="N860" i="1" s="1"/>
  <c r="N861" i="1" a="1"/>
  <c r="N861" i="1" s="1"/>
  <c r="N862" i="1" a="1"/>
  <c r="N862" i="1" s="1"/>
  <c r="N863" i="1" a="1"/>
  <c r="N863" i="1" s="1"/>
  <c r="N864" i="1" a="1"/>
  <c r="N864" i="1" s="1"/>
  <c r="N865" i="1" a="1"/>
  <c r="N865" i="1" s="1"/>
  <c r="N866" i="1" a="1"/>
  <c r="N866" i="1" s="1"/>
  <c r="N867" i="1" a="1"/>
  <c r="N867" i="1" s="1"/>
  <c r="N868" i="1" a="1"/>
  <c r="N868" i="1" s="1"/>
  <c r="N869" i="1" a="1"/>
  <c r="N869" i="1" s="1"/>
  <c r="N870" i="1" a="1"/>
  <c r="N870" i="1" s="1"/>
  <c r="N871" i="1" a="1"/>
  <c r="N871" i="1" s="1"/>
  <c r="N872" i="1" a="1"/>
  <c r="N872" i="1" s="1"/>
  <c r="N873" i="1" a="1"/>
  <c r="N873" i="1" s="1"/>
  <c r="N874" i="1" a="1"/>
  <c r="N874" i="1" s="1"/>
  <c r="N875" i="1" a="1"/>
  <c r="N875" i="1" s="1"/>
  <c r="N876" i="1" a="1"/>
  <c r="N876" i="1" s="1"/>
  <c r="N877" i="1" a="1"/>
  <c r="N877" i="1" s="1"/>
  <c r="N878" i="1" a="1"/>
  <c r="N878" i="1" s="1"/>
  <c r="N879" i="1" a="1"/>
  <c r="N879" i="1" s="1"/>
  <c r="N880" i="1" a="1"/>
  <c r="N880" i="1" s="1"/>
  <c r="N881" i="1" a="1"/>
  <c r="N881" i="1" s="1"/>
  <c r="N882" i="1" a="1"/>
  <c r="N882" i="1" s="1"/>
  <c r="N883" i="1" a="1"/>
  <c r="N883" i="1" s="1"/>
  <c r="N884" i="1" a="1"/>
  <c r="N884" i="1" s="1"/>
  <c r="N885" i="1" a="1"/>
  <c r="N885" i="1" s="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s="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s="1"/>
  <c r="N972" i="1" a="1"/>
  <c r="N972" i="1" s="1"/>
  <c r="N973" i="1" a="1"/>
  <c r="N973" i="1" s="1"/>
  <c r="N974" i="1" a="1"/>
  <c r="N974" i="1" s="1"/>
  <c r="N975" i="1" a="1"/>
  <c r="N975" i="1" s="1"/>
  <c r="N976" i="1" a="1"/>
  <c r="N976" i="1" s="1"/>
  <c r="N977" i="1" a="1"/>
  <c r="N977" i="1" s="1"/>
  <c r="N978" i="1" a="1"/>
  <c r="N978" i="1" s="1"/>
  <c r="N979" i="1" a="1"/>
  <c r="N979" i="1" s="1"/>
  <c r="N980" i="1" a="1"/>
  <c r="N980" i="1" s="1"/>
  <c r="N981" i="1" a="1"/>
  <c r="N981" i="1" s="1"/>
  <c r="N982" i="1" a="1"/>
  <c r="N982" i="1" s="1"/>
  <c r="N983" i="1" a="1"/>
  <c r="N983" i="1" s="1"/>
  <c r="N984" i="1" a="1"/>
  <c r="N984" i="1" s="1"/>
  <c r="N985" i="1" a="1"/>
  <c r="N985" i="1" s="1"/>
  <c r="N986" i="1" a="1"/>
  <c r="N986" i="1" s="1"/>
  <c r="N987" i="1" a="1"/>
  <c r="N987" i="1" s="1"/>
  <c r="N988" i="1" a="1"/>
  <c r="N988" i="1" s="1"/>
  <c r="N989" i="1" a="1"/>
  <c r="N989" i="1" s="1"/>
  <c r="N990" i="1" a="1"/>
  <c r="N990" i="1" s="1"/>
  <c r="N991" i="1" a="1"/>
  <c r="N991" i="1" s="1"/>
  <c r="N992" i="1" a="1"/>
  <c r="N992" i="1" s="1"/>
  <c r="N993" i="1" a="1"/>
  <c r="N993" i="1" s="1"/>
  <c r="N994" i="1" a="1"/>
  <c r="N994" i="1" s="1"/>
  <c r="N995" i="1" a="1"/>
  <c r="N995" i="1" s="1"/>
  <c r="N996" i="1" a="1"/>
  <c r="N996" i="1" s="1"/>
  <c r="N997" i="1" a="1"/>
  <c r="N997" i="1" s="1"/>
  <c r="N998" i="1" a="1"/>
  <c r="N998" i="1" s="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s="1"/>
  <c r="N1017" i="1" a="1"/>
  <c r="N1017" i="1" s="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s="1"/>
  <c r="N1035" i="1" a="1"/>
  <c r="N1035" i="1" s="1"/>
  <c r="N1036" i="1" a="1"/>
  <c r="N1036" i="1" s="1"/>
  <c r="N1037" i="1" a="1"/>
  <c r="N1037" i="1" s="1"/>
  <c r="N1038" i="1" a="1"/>
  <c r="N1038" i="1" s="1"/>
  <c r="N1039" i="1" a="1"/>
  <c r="N1039" i="1" s="1"/>
  <c r="N1040" i="1" a="1"/>
  <c r="N1040" i="1" s="1"/>
  <c r="N1041" i="1" a="1"/>
  <c r="N1041" i="1" s="1"/>
  <c r="N1042" i="1" a="1"/>
  <c r="N1042" i="1" s="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1059" i="1" a="1"/>
  <c r="N1059" i="1" s="1"/>
  <c r="N1060" i="1" a="1"/>
  <c r="N1060" i="1" s="1"/>
  <c r="N1061" i="1" a="1"/>
  <c r="N1061" i="1" s="1"/>
  <c r="N1062" i="1" a="1"/>
  <c r="N1062" i="1" s="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1074" i="1" a="1"/>
  <c r="N1074" i="1" s="1"/>
  <c r="N1075" i="1" a="1"/>
  <c r="N1075" i="1" s="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1087" i="1" a="1"/>
  <c r="N1087" i="1" s="1"/>
  <c r="N1088" i="1" a="1"/>
  <c r="N1088" i="1" s="1"/>
  <c r="N1089" i="1" a="1"/>
  <c r="N1089" i="1" s="1"/>
  <c r="N1090" i="1" a="1"/>
  <c r="N1090" i="1" s="1"/>
  <c r="N1091" i="1" a="1"/>
  <c r="N1091" i="1" s="1"/>
  <c r="N1092" i="1" a="1"/>
  <c r="N1092" i="1" s="1"/>
  <c r="N1093" i="1" a="1"/>
  <c r="N1093" i="1" s="1"/>
  <c r="N1094" i="1" a="1"/>
  <c r="N1094" i="1" s="1"/>
  <c r="N1095" i="1" a="1"/>
  <c r="N1095" i="1" s="1"/>
  <c r="N1096" i="1" a="1"/>
  <c r="N1096" i="1" s="1"/>
  <c r="N1097" i="1" a="1"/>
  <c r="N1097" i="1" s="1"/>
  <c r="N1098" i="1" a="1"/>
  <c r="N1098" i="1" s="1"/>
  <c r="N1099" i="1" a="1"/>
  <c r="N1099" i="1" s="1"/>
  <c r="N1100" i="1" a="1"/>
  <c r="N1100" i="1" s="1"/>
  <c r="N1101" i="1" a="1"/>
  <c r="N1101" i="1" s="1"/>
  <c r="N1102" i="1" a="1"/>
  <c r="N1102" i="1" s="1"/>
  <c r="N1103" i="1" a="1"/>
  <c r="N1103" i="1" s="1"/>
  <c r="N1104" i="1" a="1"/>
  <c r="N1104" i="1" s="1"/>
  <c r="N1105" i="1" a="1"/>
  <c r="N1105" i="1" s="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s="1"/>
  <c r="N1119" i="1" a="1"/>
  <c r="N1119" i="1" s="1"/>
  <c r="N1120" i="1" a="1"/>
  <c r="N1120" i="1" s="1"/>
  <c r="N1121" i="1" a="1"/>
  <c r="N1121" i="1" s="1"/>
  <c r="N1122" i="1" a="1"/>
  <c r="N1122" i="1" s="1"/>
  <c r="N1123" i="1" a="1"/>
  <c r="N1123" i="1" s="1"/>
  <c r="N1124" i="1" a="1"/>
  <c r="N1124" i="1" s="1"/>
  <c r="N1125" i="1" a="1"/>
  <c r="N1125" i="1" s="1"/>
  <c r="N1126" i="1" a="1"/>
  <c r="N1126" i="1" s="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1138" i="1" a="1"/>
  <c r="N1138" i="1" s="1"/>
  <c r="N1139" i="1" a="1"/>
  <c r="N1139" i="1" s="1"/>
  <c r="N1140" i="1" a="1"/>
  <c r="N1140" i="1" s="1"/>
  <c r="N1141" i="1" a="1"/>
  <c r="N1141" i="1" s="1"/>
  <c r="N1142" i="1" a="1"/>
  <c r="N1142" i="1" s="1"/>
  <c r="N1143" i="1" a="1"/>
  <c r="N1143" i="1" s="1"/>
  <c r="N1144" i="1" a="1"/>
  <c r="N1144" i="1" s="1"/>
  <c r="N1145" i="1" a="1"/>
  <c r="N1145" i="1" s="1"/>
  <c r="N1146" i="1" a="1"/>
  <c r="N1146" i="1" s="1"/>
  <c r="N1147" i="1" a="1"/>
  <c r="N1147" i="1" s="1"/>
  <c r="N1148" i="1" a="1"/>
  <c r="N1148" i="1" s="1"/>
  <c r="N1149" i="1" a="1"/>
  <c r="N1149" i="1" s="1"/>
  <c r="N1150" i="1" a="1"/>
  <c r="N1150" i="1" s="1"/>
  <c r="N1151" i="1" a="1"/>
  <c r="N1151" i="1" s="1"/>
  <c r="N1152" i="1" a="1"/>
  <c r="N1152" i="1" s="1"/>
  <c r="N1153" i="1" a="1"/>
  <c r="N1153" i="1" s="1"/>
  <c r="N1154" i="1" a="1"/>
  <c r="N1154" i="1" s="1"/>
  <c r="N1155" i="1" a="1"/>
  <c r="N1155" i="1" s="1"/>
  <c r="N1156" i="1" a="1"/>
  <c r="N1156" i="1" s="1"/>
  <c r="N1157" i="1" a="1"/>
  <c r="N1157" i="1" s="1"/>
  <c r="N1158" i="1" a="1"/>
  <c r="N1158" i="1" s="1"/>
  <c r="N1159" i="1" a="1"/>
  <c r="N1159" i="1" s="1"/>
  <c r="N1160" i="1" a="1"/>
  <c r="N1160" i="1" s="1"/>
  <c r="N1161" i="1" a="1"/>
  <c r="N1161" i="1" s="1"/>
  <c r="N1162" i="1" a="1"/>
  <c r="N1162" i="1" s="1"/>
  <c r="N1163" i="1" a="1"/>
  <c r="N1163" i="1" s="1"/>
  <c r="N1164" i="1" a="1"/>
  <c r="N1164" i="1" s="1"/>
  <c r="N1165" i="1" a="1"/>
  <c r="N1165" i="1" s="1"/>
  <c r="N1166" i="1" a="1"/>
  <c r="N1166" i="1" s="1"/>
  <c r="N1167" i="1" a="1"/>
  <c r="N1167" i="1" s="1"/>
  <c r="N1168" i="1" a="1"/>
  <c r="N1168" i="1" s="1"/>
  <c r="N1169" i="1" a="1"/>
  <c r="N1169" i="1" s="1"/>
  <c r="N1170" i="1" a="1"/>
  <c r="N1170" i="1" s="1"/>
  <c r="N1171" i="1" a="1"/>
  <c r="N1171" i="1" s="1"/>
  <c r="N1172" i="1" a="1"/>
  <c r="N1172" i="1" s="1"/>
  <c r="N1173" i="1" a="1"/>
  <c r="N1173" i="1" s="1"/>
  <c r="N1174" i="1" a="1"/>
  <c r="N1174" i="1" s="1"/>
  <c r="N1175" i="1" a="1"/>
  <c r="N1175" i="1" s="1"/>
  <c r="N1176" i="1" a="1"/>
  <c r="N1176" i="1" s="1"/>
  <c r="N1177" i="1" a="1"/>
  <c r="N1177" i="1" s="1"/>
  <c r="N1178" i="1" a="1"/>
  <c r="N1178" i="1" s="1"/>
  <c r="N1179" i="1" a="1"/>
  <c r="N1179" i="1" s="1"/>
  <c r="N1180" i="1" a="1"/>
  <c r="N1180" i="1" s="1"/>
  <c r="N1181" i="1" a="1"/>
  <c r="N1181" i="1" s="1"/>
  <c r="N1182" i="1" a="1"/>
  <c r="N1182" i="1" s="1"/>
  <c r="N1183" i="1" a="1"/>
  <c r="N1183" i="1" s="1"/>
  <c r="N1184" i="1" a="1"/>
  <c r="N1184" i="1" s="1"/>
  <c r="N1185" i="1" a="1"/>
  <c r="N1185" i="1" s="1"/>
  <c r="N1186" i="1" a="1"/>
  <c r="N1186" i="1" s="1"/>
  <c r="N1187" i="1" a="1"/>
  <c r="N1187" i="1" s="1"/>
  <c r="N1188" i="1" a="1"/>
  <c r="N1188" i="1" s="1"/>
  <c r="N1189" i="1" a="1"/>
  <c r="N1189" i="1" s="1"/>
  <c r="N1190" i="1" a="1"/>
  <c r="N1190" i="1" s="1"/>
  <c r="N1191" i="1" a="1"/>
  <c r="N1191" i="1" s="1"/>
  <c r="N1192" i="1" a="1"/>
  <c r="N1192" i="1" s="1"/>
  <c r="N1193" i="1" a="1"/>
  <c r="N1193" i="1" s="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s="1"/>
  <c r="N1212" i="1" a="1"/>
  <c r="N1212" i="1" s="1"/>
  <c r="N1213" i="1" a="1"/>
  <c r="N1213" i="1" s="1"/>
  <c r="N1214" i="1" a="1"/>
  <c r="N1214" i="1" s="1"/>
  <c r="N1215" i="1" a="1"/>
  <c r="N1215" i="1" s="1"/>
  <c r="N1216" i="1" a="1"/>
  <c r="N1216" i="1" s="1"/>
  <c r="N1217" i="1" a="1"/>
  <c r="N1217" i="1" s="1"/>
  <c r="N1218" i="1" a="1"/>
  <c r="N1218" i="1" s="1"/>
  <c r="N1219" i="1" a="1"/>
  <c r="N1219" i="1" s="1"/>
  <c r="N1220" i="1" a="1"/>
  <c r="N1220" i="1" s="1"/>
  <c r="N1221" i="1" a="1"/>
  <c r="N1221" i="1" s="1"/>
  <c r="N1222" i="1" a="1"/>
  <c r="N1222" i="1" s="1"/>
  <c r="N1223" i="1" a="1"/>
  <c r="N1223" i="1" s="1"/>
  <c r="N1224" i="1" a="1"/>
  <c r="N1224" i="1" s="1"/>
  <c r="N1225" i="1" a="1"/>
  <c r="N1225" i="1" s="1"/>
  <c r="N1226" i="1" a="1"/>
  <c r="N1226" i="1" s="1"/>
  <c r="N1227" i="1" a="1"/>
  <c r="N1227" i="1" s="1"/>
  <c r="N1228" i="1" a="1"/>
  <c r="N1228" i="1" s="1"/>
  <c r="N1229" i="1" a="1"/>
  <c r="N1229" i="1" s="1"/>
  <c r="N1230" i="1" a="1"/>
  <c r="N1230" i="1" s="1"/>
  <c r="N1231" i="1" a="1"/>
  <c r="N1231" i="1" s="1"/>
  <c r="N1232" i="1" a="1"/>
  <c r="N1232" i="1" s="1"/>
  <c r="N1233" i="1" a="1"/>
  <c r="N1233" i="1" s="1"/>
  <c r="N1234" i="1" a="1"/>
  <c r="N1234" i="1" s="1"/>
  <c r="N1235" i="1" a="1"/>
  <c r="N1235" i="1" s="1"/>
  <c r="N1236" i="1" a="1"/>
  <c r="N1236" i="1" s="1"/>
  <c r="N1237" i="1" a="1"/>
  <c r="N1237" i="1" s="1"/>
  <c r="N1238" i="1" a="1"/>
  <c r="N1238" i="1" s="1"/>
  <c r="N1239" i="1" a="1"/>
  <c r="N1239" i="1" s="1"/>
  <c r="N1240" i="1" a="1"/>
  <c r="N1240" i="1" s="1"/>
  <c r="N1241" i="1" a="1"/>
  <c r="N1241" i="1" s="1"/>
  <c r="N1242" i="1" a="1"/>
  <c r="N1242" i="1" s="1"/>
  <c r="N1243" i="1" a="1"/>
  <c r="N1243" i="1" s="1"/>
  <c r="N1244" i="1" a="1"/>
  <c r="N1244" i="1" s="1"/>
  <c r="N1245" i="1" a="1"/>
  <c r="N1245" i="1" s="1"/>
  <c r="N1246" i="1" a="1"/>
  <c r="N1246" i="1" s="1"/>
  <c r="N1247" i="1" a="1"/>
  <c r="N1247" i="1" s="1"/>
  <c r="N1248" i="1" a="1"/>
  <c r="N1248" i="1" s="1"/>
  <c r="N1249" i="1" a="1"/>
  <c r="N1249" i="1" s="1"/>
  <c r="N1250" i="1" a="1"/>
  <c r="N1250" i="1" s="1"/>
  <c r="N1251" i="1" a="1"/>
  <c r="N1251" i="1" s="1"/>
  <c r="N1252" i="1" a="1"/>
  <c r="N1252" i="1" s="1"/>
  <c r="N1253" i="1" a="1"/>
  <c r="N1253" i="1" s="1"/>
  <c r="N1254" i="1" a="1"/>
  <c r="N1254" i="1" s="1"/>
  <c r="N1255" i="1" a="1"/>
  <c r="N1255" i="1" s="1"/>
  <c r="N1256" i="1" a="1"/>
  <c r="N1256" i="1" s="1"/>
  <c r="N1257" i="1" a="1"/>
  <c r="N1257" i="1" s="1"/>
  <c r="N1258" i="1" a="1"/>
  <c r="N1258" i="1" s="1"/>
  <c r="N1259" i="1" a="1"/>
  <c r="N1259" i="1" s="1"/>
  <c r="N1260" i="1" a="1"/>
  <c r="N1260" i="1" s="1"/>
  <c r="N1261" i="1" a="1"/>
  <c r="N1261" i="1" s="1"/>
  <c r="N1262" i="1" a="1"/>
  <c r="N1262" i="1" s="1"/>
  <c r="N1263" i="1" a="1"/>
  <c r="N1263" i="1" s="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1275" i="1" a="1"/>
  <c r="N1275" i="1" s="1"/>
  <c r="N1276" i="1" a="1"/>
  <c r="N1276" i="1" s="1"/>
  <c r="N1277" i="1" a="1"/>
  <c r="N1277" i="1" s="1"/>
  <c r="N1278" i="1" a="1"/>
  <c r="N1278" i="1" s="1"/>
  <c r="N1279" i="1" a="1"/>
  <c r="N1279" i="1" s="1"/>
  <c r="N1280" i="1" a="1"/>
  <c r="N1280" i="1" s="1"/>
  <c r="N1281" i="1" a="1"/>
  <c r="N1281" i="1" s="1"/>
  <c r="N1282" i="1" a="1"/>
  <c r="N1282" i="1" s="1"/>
  <c r="N1283" i="1" a="1"/>
  <c r="N1283" i="1" s="1"/>
  <c r="N1284" i="1" a="1"/>
  <c r="N1284" i="1" s="1"/>
  <c r="N1285" i="1" a="1"/>
  <c r="N1285" i="1" s="1"/>
  <c r="N1286" i="1" a="1"/>
  <c r="N1286" i="1" s="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1300" i="1" a="1"/>
  <c r="N1300" i="1" s="1"/>
  <c r="N1301" i="1" a="1"/>
  <c r="N1301" i="1" s="1"/>
  <c r="N1302" i="1" a="1"/>
  <c r="N1302" i="1" s="1"/>
  <c r="N1303" i="1" a="1"/>
  <c r="N1303" i="1" s="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s="1"/>
  <c r="N1349" i="1" a="1"/>
  <c r="N1349" i="1" s="1"/>
  <c r="N1350" i="1" a="1"/>
  <c r="N1350" i="1" s="1"/>
  <c r="N1351" i="1" a="1"/>
  <c r="N1351" i="1" s="1"/>
  <c r="N1352" i="1" a="1"/>
  <c r="N1352" i="1" s="1"/>
  <c r="N1353" i="1" a="1"/>
  <c r="N1353" i="1" s="1"/>
  <c r="N1354" i="1" a="1"/>
  <c r="N1354" i="1" s="1"/>
  <c r="N1355" i="1" a="1"/>
  <c r="N1355" i="1" s="1"/>
  <c r="N1356" i="1" a="1"/>
  <c r="N1356" i="1" s="1"/>
  <c r="N1357" i="1" a="1"/>
  <c r="N1357" i="1" s="1"/>
  <c r="N1358" i="1" a="1"/>
  <c r="N1358"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68" i="1" a="1"/>
  <c r="N1368" i="1" s="1"/>
  <c r="N1369" i="1" a="1"/>
  <c r="N1369" i="1" s="1"/>
  <c r="N1370" i="1" a="1"/>
  <c r="N1370" i="1" s="1"/>
  <c r="N1371" i="1" a="1"/>
  <c r="N1371" i="1" s="1"/>
  <c r="N1372" i="1" a="1"/>
  <c r="N1372" i="1" s="1"/>
  <c r="N1373" i="1" a="1"/>
  <c r="N1373" i="1" s="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s="1"/>
  <c r="N1387" i="1" a="1"/>
  <c r="N1387" i="1" s="1"/>
  <c r="N1388" i="1" a="1"/>
  <c r="N1388" i="1" s="1"/>
  <c r="N1389" i="1" a="1"/>
  <c r="N1389" i="1" s="1"/>
  <c r="N1390" i="1" a="1"/>
  <c r="N1390" i="1" s="1"/>
  <c r="N1391" i="1" a="1"/>
  <c r="N1391" i="1" s="1"/>
  <c r="N1392" i="1" a="1"/>
  <c r="N1392" i="1" s="1"/>
  <c r="N1393" i="1" a="1"/>
  <c r="N1393" i="1" s="1"/>
  <c r="N1394" i="1" a="1"/>
  <c r="N1394" i="1" s="1"/>
  <c r="N1395" i="1" a="1"/>
  <c r="N1395" i="1" s="1"/>
  <c r="N1396" i="1" a="1"/>
  <c r="N1396" i="1" s="1"/>
  <c r="N1397" i="1" a="1"/>
  <c r="N1397" i="1" s="1"/>
  <c r="N1398" i="1" a="1"/>
  <c r="N1398" i="1" s="1"/>
  <c r="N1399" i="1" a="1"/>
  <c r="N1399" i="1" s="1"/>
  <c r="N1400" i="1" a="1"/>
  <c r="N1400" i="1" s="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1417" i="1" a="1"/>
  <c r="N1417" i="1" s="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s="1"/>
  <c r="N1429" i="1" a="1"/>
  <c r="N1429" i="1" s="1"/>
  <c r="N1430" i="1" a="1"/>
  <c r="N1430" i="1" s="1"/>
  <c r="N1431" i="1" a="1"/>
  <c r="N1431" i="1" s="1"/>
  <c r="N1432" i="1" a="1"/>
  <c r="N1432" i="1" s="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s="1"/>
  <c r="N1445" i="1" a="1"/>
  <c r="N1445" i="1" s="1"/>
  <c r="N1446" i="1" a="1"/>
  <c r="N1446" i="1" s="1"/>
  <c r="N1447" i="1" a="1"/>
  <c r="N1447" i="1" s="1"/>
  <c r="N1448" i="1" a="1"/>
  <c r="N1448" i="1" s="1"/>
  <c r="N1449" i="1" a="1"/>
  <c r="N1449" i="1" s="1"/>
  <c r="N1450" i="1" a="1"/>
  <c r="N1450" i="1" s="1"/>
  <c r="N1451" i="1" a="1"/>
  <c r="N1451" i="1" s="1"/>
  <c r="N1452" i="1" a="1"/>
  <c r="N1452" i="1" s="1"/>
  <c r="N1453" i="1" a="1"/>
  <c r="N1453" i="1" s="1"/>
  <c r="N1454" i="1" a="1"/>
  <c r="N1454" i="1" s="1"/>
  <c r="N1455" i="1" a="1"/>
  <c r="N1455" i="1" s="1"/>
  <c r="N1456" i="1" a="1"/>
  <c r="N1456" i="1" s="1"/>
  <c r="N1457" i="1" a="1"/>
  <c r="N1457" i="1" s="1"/>
  <c r="N1458" i="1" a="1"/>
  <c r="N1458" i="1" s="1"/>
  <c r="N1459" i="1" a="1"/>
  <c r="N1459" i="1" s="1"/>
  <c r="N1460" i="1" a="1"/>
  <c r="N1460" i="1" s="1"/>
  <c r="N1461" i="1" a="1"/>
  <c r="N1461" i="1" s="1"/>
  <c r="N1462" i="1" a="1"/>
  <c r="N1462" i="1" s="1"/>
  <c r="N1463" i="1" a="1"/>
  <c r="N1463" i="1" s="1"/>
  <c r="N1464" i="1" a="1"/>
  <c r="N1464" i="1" s="1"/>
  <c r="N1465" i="1" a="1"/>
  <c r="N1465" i="1" s="1"/>
  <c r="N1466" i="1" a="1"/>
  <c r="N1466" i="1" s="1"/>
  <c r="N1467" i="1" a="1"/>
  <c r="N1467" i="1" s="1"/>
  <c r="N1468" i="1" a="1"/>
  <c r="N1468" i="1" s="1"/>
  <c r="N1469" i="1" a="1"/>
  <c r="N1469" i="1" s="1"/>
  <c r="N1470" i="1" a="1"/>
  <c r="N1470" i="1" s="1"/>
  <c r="N1471" i="1" a="1"/>
  <c r="N1471" i="1" s="1"/>
  <c r="N1472" i="1" a="1"/>
  <c r="N1472" i="1" s="1"/>
  <c r="N1473" i="1" a="1"/>
  <c r="N1473" i="1" s="1"/>
  <c r="N1474" i="1" a="1"/>
  <c r="N1474" i="1" s="1"/>
  <c r="N1475" i="1" a="1"/>
  <c r="N1475" i="1" s="1"/>
  <c r="N1476" i="1" a="1"/>
  <c r="N1476" i="1" s="1"/>
  <c r="N1477" i="1" a="1"/>
  <c r="N1477" i="1" s="1"/>
  <c r="N1478" i="1" a="1"/>
  <c r="N1478" i="1" s="1"/>
  <c r="N1479" i="1" a="1"/>
  <c r="N1479" i="1" s="1"/>
  <c r="N1480" i="1" a="1"/>
  <c r="N1480" i="1" s="1"/>
  <c r="N1481" i="1" a="1"/>
  <c r="N1481" i="1" s="1"/>
  <c r="N1482" i="1" a="1"/>
  <c r="N1482" i="1" s="1"/>
  <c r="N1483" i="1" a="1"/>
  <c r="N1483" i="1" s="1"/>
  <c r="N1484" i="1" a="1"/>
  <c r="N1484" i="1" s="1"/>
  <c r="N1485" i="1" a="1"/>
  <c r="N1485" i="1" s="1"/>
  <c r="N1486" i="1" a="1"/>
  <c r="N1486" i="1" s="1"/>
  <c r="N1487" i="1" a="1"/>
  <c r="N1487" i="1" s="1"/>
  <c r="N1488" i="1" a="1"/>
  <c r="N1488" i="1" s="1"/>
  <c r="N1489" i="1" a="1"/>
  <c r="N1489" i="1" s="1"/>
  <c r="N1490" i="1" a="1"/>
  <c r="N1490" i="1" s="1"/>
  <c r="N1491" i="1" a="1"/>
  <c r="N1491" i="1" s="1"/>
  <c r="N1492" i="1" a="1"/>
  <c r="N1492" i="1" s="1"/>
  <c r="N1493" i="1" a="1"/>
  <c r="N1493" i="1" s="1"/>
  <c r="N1494" i="1" a="1"/>
  <c r="N1494" i="1" s="1"/>
  <c r="N1495" i="1" a="1"/>
  <c r="N1495" i="1" s="1"/>
  <c r="N1496" i="1" a="1"/>
  <c r="N1496" i="1" s="1"/>
  <c r="N1497" i="1" a="1"/>
  <c r="N1497" i="1" s="1"/>
  <c r="N1498" i="1" a="1"/>
  <c r="N1498" i="1" s="1"/>
  <c r="N1499" i="1" a="1"/>
  <c r="N1499" i="1" s="1"/>
  <c r="N1500" i="1" a="1"/>
  <c r="N1500" i="1" s="1"/>
  <c r="N1501" i="1" a="1"/>
  <c r="N1501" i="1" s="1"/>
  <c r="N1502" i="1" a="1"/>
  <c r="N1502" i="1" s="1"/>
  <c r="N1503" i="1" a="1"/>
  <c r="N1503" i="1" s="1"/>
  <c r="N1504" i="1" a="1"/>
  <c r="N1504" i="1" s="1"/>
  <c r="N1505" i="1" a="1"/>
  <c r="N1505" i="1" s="1"/>
  <c r="N1506" i="1" a="1"/>
  <c r="N1506" i="1" s="1"/>
  <c r="N1507" i="1" a="1"/>
  <c r="N1507" i="1" s="1"/>
  <c r="N1508" i="1" a="1"/>
  <c r="N1508" i="1" s="1"/>
  <c r="N1509" i="1" a="1"/>
  <c r="N1509" i="1" s="1"/>
  <c r="N1510" i="1" a="1"/>
  <c r="N1510" i="1" s="1"/>
  <c r="N1511" i="1" a="1"/>
  <c r="N1511" i="1" s="1"/>
  <c r="N1512" i="1" a="1"/>
  <c r="N1512" i="1" s="1"/>
  <c r="N1513" i="1" a="1"/>
  <c r="N1513" i="1" s="1"/>
  <c r="N1514" i="1" a="1"/>
  <c r="N1514" i="1" s="1"/>
  <c r="N1515" i="1" a="1"/>
  <c r="N1515" i="1" s="1"/>
  <c r="N1516" i="1" a="1"/>
  <c r="N1516" i="1" s="1"/>
  <c r="N1517" i="1" a="1"/>
  <c r="N1517" i="1" s="1"/>
  <c r="N1518" i="1" a="1"/>
  <c r="N1518" i="1" s="1"/>
  <c r="N1519" i="1" a="1"/>
  <c r="N1519" i="1" s="1"/>
  <c r="N1520" i="1" a="1"/>
  <c r="N1520" i="1" s="1"/>
  <c r="N1521" i="1" a="1"/>
  <c r="N1521" i="1" s="1"/>
  <c r="N1522" i="1" a="1"/>
  <c r="N1522" i="1" s="1"/>
  <c r="N1523" i="1" a="1"/>
  <c r="N1523" i="1" s="1"/>
  <c r="N1524" i="1" a="1"/>
  <c r="N1524" i="1" s="1"/>
  <c r="N1525" i="1" a="1"/>
  <c r="N1525" i="1" s="1"/>
  <c r="N1526" i="1" a="1"/>
  <c r="N1526" i="1" s="1"/>
  <c r="N1527" i="1" a="1"/>
  <c r="N1527" i="1" s="1"/>
  <c r="N1528" i="1" a="1"/>
  <c r="N1528" i="1" s="1"/>
  <c r="N1529" i="1" a="1"/>
  <c r="N1529" i="1" s="1"/>
  <c r="N1530" i="1" a="1"/>
  <c r="N1530" i="1" s="1"/>
  <c r="N1531" i="1" a="1"/>
  <c r="N1531" i="1" s="1"/>
  <c r="N1532" i="1" a="1"/>
  <c r="N1532" i="1" s="1"/>
  <c r="N1533" i="1" a="1"/>
  <c r="N1533" i="1" s="1"/>
  <c r="N1534" i="1" a="1"/>
  <c r="N1534" i="1" s="1"/>
  <c r="N1535" i="1" a="1"/>
  <c r="N1535" i="1" s="1"/>
  <c r="N1536" i="1" a="1"/>
  <c r="N1536" i="1" s="1"/>
  <c r="N1537" i="1" a="1"/>
  <c r="N1537" i="1" s="1"/>
  <c r="N1538" i="1" a="1"/>
  <c r="N1538" i="1" s="1"/>
  <c r="N1539" i="1" a="1"/>
  <c r="N1539" i="1" s="1"/>
  <c r="N1540" i="1" a="1"/>
  <c r="N1540" i="1" s="1"/>
  <c r="N1541" i="1" a="1"/>
  <c r="N1541" i="1" s="1"/>
  <c r="N1542" i="1" a="1"/>
  <c r="N1542" i="1" s="1"/>
  <c r="N1543" i="1" a="1"/>
  <c r="N1543" i="1" s="1"/>
  <c r="N1544" i="1" a="1"/>
  <c r="N1544" i="1" s="1"/>
  <c r="N1545" i="1" a="1"/>
  <c r="N1545" i="1" s="1"/>
  <c r="N1546" i="1" a="1"/>
  <c r="N1546" i="1" s="1"/>
  <c r="N1547" i="1" a="1"/>
  <c r="N1547" i="1" s="1"/>
  <c r="N1548" i="1" a="1"/>
  <c r="N1548" i="1" s="1"/>
  <c r="N1549" i="1" a="1"/>
  <c r="N1549" i="1" s="1"/>
  <c r="N1550" i="1" a="1"/>
  <c r="N1550" i="1" s="1"/>
  <c r="N1551" i="1" a="1"/>
  <c r="N1551" i="1" s="1"/>
  <c r="N1552" i="1" a="1"/>
  <c r="N1552" i="1" s="1"/>
  <c r="N1553" i="1" a="1"/>
  <c r="N1553" i="1" s="1"/>
  <c r="N1554" i="1" a="1"/>
  <c r="N1554" i="1" s="1"/>
  <c r="N1555" i="1" a="1"/>
  <c r="N1555" i="1" s="1"/>
  <c r="N1556" i="1" a="1"/>
  <c r="N1556" i="1" s="1"/>
  <c r="N1557" i="1" a="1"/>
  <c r="N1557" i="1" s="1"/>
  <c r="N1558" i="1" a="1"/>
  <c r="N1558" i="1" s="1"/>
  <c r="N1559" i="1" a="1"/>
  <c r="N1559" i="1" s="1"/>
  <c r="N1560" i="1" a="1"/>
  <c r="N1560" i="1" s="1"/>
  <c r="N1561" i="1" a="1"/>
  <c r="N1561" i="1" s="1"/>
  <c r="N1562" i="1" a="1"/>
  <c r="N1562" i="1" s="1"/>
  <c r="N1563" i="1" a="1"/>
  <c r="N1563" i="1" s="1"/>
  <c r="N1564" i="1" a="1"/>
  <c r="N1564" i="1" s="1"/>
  <c r="N1565" i="1" a="1"/>
  <c r="N1565" i="1" s="1"/>
  <c r="N1566" i="1" a="1"/>
  <c r="N1566" i="1" s="1"/>
  <c r="N1567" i="1" a="1"/>
  <c r="N1567" i="1" s="1"/>
  <c r="N1568" i="1" a="1"/>
  <c r="N1568" i="1" s="1"/>
  <c r="N1569" i="1" a="1"/>
  <c r="N1569" i="1" s="1"/>
  <c r="N1570" i="1" a="1"/>
  <c r="N1570" i="1" s="1"/>
  <c r="N1571" i="1" a="1"/>
  <c r="N1571" i="1" s="1"/>
  <c r="N1572" i="1" a="1"/>
  <c r="N1572" i="1" s="1"/>
  <c r="N1573" i="1" a="1"/>
  <c r="N1573" i="1" s="1"/>
  <c r="N1574" i="1" a="1"/>
  <c r="N1574" i="1" s="1"/>
  <c r="N1575" i="1" a="1"/>
  <c r="N1575" i="1" s="1"/>
  <c r="N1576" i="1" a="1"/>
  <c r="N1576" i="1" s="1"/>
  <c r="N1577" i="1" a="1"/>
  <c r="N1577" i="1" s="1"/>
  <c r="N1578" i="1" a="1"/>
  <c r="N1578" i="1" s="1"/>
  <c r="N1579" i="1" a="1"/>
  <c r="N1579" i="1" s="1"/>
  <c r="N1580" i="1" a="1"/>
  <c r="N1580" i="1" s="1"/>
  <c r="N1581" i="1" a="1"/>
  <c r="N1581" i="1" s="1"/>
  <c r="N1582" i="1" a="1"/>
  <c r="N1582" i="1" s="1"/>
  <c r="N1583" i="1" a="1"/>
  <c r="N1583" i="1" s="1"/>
  <c r="N1584" i="1" a="1"/>
  <c r="N1584" i="1" s="1"/>
  <c r="N1585" i="1" a="1"/>
  <c r="N1585" i="1" s="1"/>
  <c r="N1586" i="1" a="1"/>
  <c r="N1586" i="1" s="1"/>
  <c r="N1587" i="1" a="1"/>
  <c r="N1587" i="1" s="1"/>
  <c r="N1588" i="1" a="1"/>
  <c r="N1588" i="1" s="1"/>
  <c r="N1589" i="1" a="1"/>
  <c r="N1589" i="1" s="1"/>
  <c r="N1590" i="1" a="1"/>
  <c r="N1590" i="1" s="1"/>
  <c r="N1591" i="1" a="1"/>
  <c r="N1591" i="1" s="1"/>
  <c r="N1592" i="1" a="1"/>
  <c r="N1592" i="1" s="1"/>
  <c r="N1593" i="1" a="1"/>
  <c r="N1593" i="1" s="1"/>
  <c r="N1594" i="1" a="1"/>
  <c r="N1594" i="1" s="1"/>
  <c r="N1595" i="1" a="1"/>
  <c r="N1595" i="1" s="1"/>
  <c r="N1596" i="1" a="1"/>
  <c r="N1596" i="1" s="1"/>
  <c r="N1597" i="1" a="1"/>
  <c r="N1597" i="1" s="1"/>
  <c r="N1598" i="1" a="1"/>
  <c r="N1598" i="1" s="1"/>
  <c r="N1599" i="1" a="1"/>
  <c r="N1599" i="1" s="1"/>
  <c r="N1600" i="1" a="1"/>
  <c r="N1600" i="1" s="1"/>
  <c r="Q8" i="3"/>
  <c r="D14" i="3"/>
  <c r="D20" i="3"/>
  <c r="D7" i="3"/>
  <c r="F3" i="3" l="1"/>
  <c r="Q1541" i="1"/>
  <c r="Q1325" i="1"/>
  <c r="Q1599" i="1"/>
  <c r="Q1587" i="1"/>
  <c r="Q1575" i="1"/>
  <c r="Q1563" i="1"/>
  <c r="Q1551" i="1"/>
  <c r="Q1539" i="1"/>
  <c r="Q1397" i="1"/>
  <c r="Q1181" i="1"/>
  <c r="Q1109" i="1"/>
  <c r="Q1145" i="1"/>
  <c r="Q933" i="1"/>
  <c r="Q856" i="1"/>
  <c r="Q1598" i="1"/>
  <c r="Q1501" i="1"/>
  <c r="Q1549" i="1"/>
  <c r="Q1453" i="1"/>
  <c r="Q1321" i="1"/>
  <c r="Q1225" i="1"/>
  <c r="Q1153" i="1"/>
  <c r="Q1069" i="1"/>
  <c r="Q1009" i="1"/>
  <c r="Q937" i="1"/>
  <c r="Q865" i="1"/>
  <c r="Q1572" i="1"/>
  <c r="Q1559" i="1"/>
  <c r="Q1511" i="1"/>
  <c r="Q1463" i="1"/>
  <c r="Q1439" i="1"/>
  <c r="Q1391" i="1"/>
  <c r="Q1379" i="1"/>
  <c r="Q1367" i="1"/>
  <c r="Q1355" i="1"/>
  <c r="Q1343" i="1"/>
  <c r="Q1331" i="1"/>
  <c r="Q1319" i="1"/>
  <c r="Q1307" i="1"/>
  <c r="Q1295" i="1"/>
  <c r="Q1283" i="1"/>
  <c r="Q1271" i="1"/>
  <c r="Q1259" i="1"/>
  <c r="Q1247" i="1"/>
  <c r="Q1235" i="1"/>
  <c r="Q1223" i="1"/>
  <c r="Q1211" i="1"/>
  <c r="Q1199" i="1"/>
  <c r="Q1187" i="1"/>
  <c r="Q1175" i="1"/>
  <c r="Q1163" i="1"/>
  <c r="Q1151" i="1"/>
  <c r="Q1139" i="1"/>
  <c r="Q1127" i="1"/>
  <c r="Q1115" i="1"/>
  <c r="Q1103" i="1"/>
  <c r="Q1091" i="1"/>
  <c r="Q1079" i="1"/>
  <c r="Q1067" i="1"/>
  <c r="Q1055" i="1"/>
  <c r="Q1043" i="1"/>
  <c r="Q1031" i="1"/>
  <c r="Q1019" i="1"/>
  <c r="Q1007" i="1"/>
  <c r="Q995" i="1"/>
  <c r="Q983" i="1"/>
  <c r="Q971" i="1"/>
  <c r="Q959" i="1"/>
  <c r="Q947" i="1"/>
  <c r="Q935" i="1"/>
  <c r="Q923" i="1"/>
  <c r="Q911" i="1"/>
  <c r="Q1597" i="1"/>
  <c r="Q1513" i="1"/>
  <c r="Q1405" i="1"/>
  <c r="Q1297" i="1"/>
  <c r="Q1201" i="1"/>
  <c r="Q1105" i="1"/>
  <c r="Q1021" i="1"/>
  <c r="Q913" i="1"/>
  <c r="Q829" i="1"/>
  <c r="Q769" i="1"/>
  <c r="Q673" i="1"/>
  <c r="Q637" i="1"/>
  <c r="Q1560" i="1"/>
  <c r="Q1512" i="1"/>
  <c r="Q1476" i="1"/>
  <c r="Q1452" i="1"/>
  <c r="Q1571" i="1"/>
  <c r="Q1523" i="1"/>
  <c r="Q1475" i="1"/>
  <c r="Q1427" i="1"/>
  <c r="Q1361" i="1"/>
  <c r="Q1585" i="1"/>
  <c r="Q1477" i="1"/>
  <c r="Q1381" i="1"/>
  <c r="Q1261" i="1"/>
  <c r="Q1165" i="1"/>
  <c r="Q1057" i="1"/>
  <c r="Q985" i="1"/>
  <c r="Q901" i="1"/>
  <c r="Q805" i="1"/>
  <c r="Q733" i="1"/>
  <c r="Q1577" i="1"/>
  <c r="Q1584" i="1"/>
  <c r="Q1536" i="1"/>
  <c r="Q1500" i="1"/>
  <c r="Q1464" i="1"/>
  <c r="Q1595" i="1"/>
  <c r="Q1547" i="1"/>
  <c r="Q1499" i="1"/>
  <c r="Q1451" i="1"/>
  <c r="Q1415" i="1"/>
  <c r="Q993" i="1"/>
  <c r="Q1441" i="1"/>
  <c r="Q1333" i="1"/>
  <c r="Q1213" i="1"/>
  <c r="Q1093" i="1"/>
  <c r="Q961" i="1"/>
  <c r="Q841" i="1"/>
  <c r="Q709" i="1"/>
  <c r="Q613" i="1"/>
  <c r="Q1596" i="1"/>
  <c r="Q1548" i="1"/>
  <c r="Q1524" i="1"/>
  <c r="Q1488" i="1"/>
  <c r="Q1440" i="1"/>
  <c r="Q1583" i="1"/>
  <c r="Q1535" i="1"/>
  <c r="Q1487" i="1"/>
  <c r="Q1403" i="1"/>
  <c r="Q992" i="1"/>
  <c r="Q1561" i="1"/>
  <c r="Q1465" i="1"/>
  <c r="Q1369" i="1"/>
  <c r="Q1285" i="1"/>
  <c r="Q1189" i="1"/>
  <c r="Q1117" i="1"/>
  <c r="Q1033" i="1"/>
  <c r="Q949" i="1"/>
  <c r="Q877" i="1"/>
  <c r="Q793" i="1"/>
  <c r="Q757" i="1"/>
  <c r="Q697" i="1"/>
  <c r="Q625" i="1"/>
  <c r="Q1591" i="1"/>
  <c r="Q1579" i="1"/>
  <c r="Q1567" i="1"/>
  <c r="Q1555" i="1"/>
  <c r="Q1543" i="1"/>
  <c r="Q1531" i="1"/>
  <c r="Q1519" i="1"/>
  <c r="Q1507" i="1"/>
  <c r="Q1495" i="1"/>
  <c r="Q1483" i="1"/>
  <c r="Q1471" i="1"/>
  <c r="Q1459" i="1"/>
  <c r="Q1447" i="1"/>
  <c r="Q1435" i="1"/>
  <c r="Q1423" i="1"/>
  <c r="Q1411" i="1"/>
  <c r="Q1399" i="1"/>
  <c r="Q1387" i="1"/>
  <c r="Q1375" i="1"/>
  <c r="Q1363" i="1"/>
  <c r="Q1351" i="1"/>
  <c r="Q1339" i="1"/>
  <c r="Q1327" i="1"/>
  <c r="Q1315" i="1"/>
  <c r="Q1303" i="1"/>
  <c r="Q1291" i="1"/>
  <c r="Q1279" i="1"/>
  <c r="Q1267" i="1"/>
  <c r="Q1255" i="1"/>
  <c r="Q1243" i="1"/>
  <c r="Q1573" i="1"/>
  <c r="Q1489" i="1"/>
  <c r="Q1393" i="1"/>
  <c r="Q1309" i="1"/>
  <c r="Q1237" i="1"/>
  <c r="Q1177" i="1"/>
  <c r="Q1081" i="1"/>
  <c r="Q997" i="1"/>
  <c r="Q925" i="1"/>
  <c r="Q853" i="1"/>
  <c r="Q781" i="1"/>
  <c r="Q721" i="1"/>
  <c r="Q661" i="1"/>
  <c r="Q601" i="1"/>
  <c r="Q1590" i="1"/>
  <c r="Q1578" i="1"/>
  <c r="Q1566" i="1"/>
  <c r="Q1554" i="1"/>
  <c r="Q1542" i="1"/>
  <c r="Q1530" i="1"/>
  <c r="Q1518" i="1"/>
  <c r="Q1506" i="1"/>
  <c r="Q1494" i="1"/>
  <c r="Q1482" i="1"/>
  <c r="Q1470" i="1"/>
  <c r="Q1458" i="1"/>
  <c r="Q1446" i="1"/>
  <c r="Q1434" i="1"/>
  <c r="Q1422" i="1"/>
  <c r="Q1410" i="1"/>
  <c r="Q1398" i="1"/>
  <c r="Q1386" i="1"/>
  <c r="Q1374" i="1"/>
  <c r="Q1362" i="1"/>
  <c r="Q1350" i="1"/>
  <c r="Q1338" i="1"/>
  <c r="Q1326" i="1"/>
  <c r="Q1314" i="1"/>
  <c r="Q1302" i="1"/>
  <c r="Q1290" i="1"/>
  <c r="Q1525" i="1"/>
  <c r="Q1417" i="1"/>
  <c r="Q1345" i="1"/>
  <c r="Q1249" i="1"/>
  <c r="Q1141" i="1"/>
  <c r="Q1045" i="1"/>
  <c r="Q973" i="1"/>
  <c r="Q889" i="1"/>
  <c r="Q817" i="1"/>
  <c r="Q745" i="1"/>
  <c r="Q685" i="1"/>
  <c r="Q649" i="1"/>
  <c r="Q1589" i="1"/>
  <c r="Q1565" i="1"/>
  <c r="Q1553" i="1"/>
  <c r="Q1529" i="1"/>
  <c r="Q1517" i="1"/>
  <c r="Q1505" i="1"/>
  <c r="Q1493" i="1"/>
  <c r="Q1481" i="1"/>
  <c r="Q1469" i="1"/>
  <c r="Q1457" i="1"/>
  <c r="Q1445" i="1"/>
  <c r="Q1433" i="1"/>
  <c r="Q1421" i="1"/>
  <c r="Q1409" i="1"/>
  <c r="Q1385" i="1"/>
  <c r="Q1373" i="1"/>
  <c r="Q1349" i="1"/>
  <c r="Q1337" i="1"/>
  <c r="Q1313" i="1"/>
  <c r="Q1301" i="1"/>
  <c r="Q1289" i="1"/>
  <c r="Q1277" i="1"/>
  <c r="Q1265" i="1"/>
  <c r="Q1253" i="1"/>
  <c r="Q1241" i="1"/>
  <c r="Q1229" i="1"/>
  <c r="Q1217" i="1"/>
  <c r="Q1205" i="1"/>
  <c r="Q1193" i="1"/>
  <c r="Q1169" i="1"/>
  <c r="Q1157" i="1"/>
  <c r="Q1133" i="1"/>
  <c r="Q1121" i="1"/>
  <c r="Q1073" i="1"/>
  <c r="Q1037" i="1"/>
  <c r="Q657" i="1"/>
  <c r="Q1537" i="1"/>
  <c r="Q1429" i="1"/>
  <c r="Q1357" i="1"/>
  <c r="Q1273" i="1"/>
  <c r="Q1129" i="1"/>
  <c r="Q1600" i="1"/>
  <c r="Q1588" i="1"/>
  <c r="Q1576" i="1"/>
  <c r="Q1564" i="1"/>
  <c r="Q1552" i="1"/>
  <c r="Q1540" i="1"/>
  <c r="Q1528" i="1"/>
  <c r="Q1516" i="1"/>
  <c r="Q1504" i="1"/>
  <c r="Q1492" i="1"/>
  <c r="Q1480" i="1"/>
  <c r="Q1468" i="1"/>
  <c r="Q1456" i="1"/>
  <c r="Q1444" i="1"/>
  <c r="Q1432" i="1"/>
  <c r="Q1420" i="1"/>
  <c r="Q1408" i="1"/>
  <c r="Q1396" i="1"/>
  <c r="Q1384" i="1"/>
  <c r="Q1372" i="1"/>
  <c r="Q1360" i="1"/>
  <c r="Q1348" i="1"/>
  <c r="Q1336" i="1"/>
  <c r="Q1324" i="1"/>
  <c r="Q1312" i="1"/>
  <c r="Q1300" i="1"/>
  <c r="Q1288" i="1"/>
  <c r="Q1276" i="1"/>
  <c r="Q1264" i="1"/>
  <c r="Q1252" i="1"/>
  <c r="Q1240" i="1"/>
  <c r="Q1228" i="1"/>
  <c r="Q1216" i="1"/>
  <c r="Q1204" i="1"/>
  <c r="Q1192" i="1"/>
  <c r="Q1180" i="1"/>
  <c r="Q1168" i="1"/>
  <c r="Q1156" i="1"/>
  <c r="Q1144" i="1"/>
  <c r="Q1108" i="1"/>
  <c r="Q1072" i="1"/>
  <c r="Q1036" i="1"/>
  <c r="Q760" i="1"/>
  <c r="Q652" i="1"/>
  <c r="Q340" i="1"/>
  <c r="Q526" i="1"/>
  <c r="Q1527" i="1"/>
  <c r="Q1515" i="1"/>
  <c r="Q1503" i="1"/>
  <c r="Q1491" i="1"/>
  <c r="Q1479" i="1"/>
  <c r="Q1467" i="1"/>
  <c r="Q1455" i="1"/>
  <c r="Q1443" i="1"/>
  <c r="Q1431" i="1"/>
  <c r="Q1419" i="1"/>
  <c r="Q1407" i="1"/>
  <c r="Q1395" i="1"/>
  <c r="Q1383" i="1"/>
  <c r="Q1371" i="1"/>
  <c r="Q1359" i="1"/>
  <c r="Q1347" i="1"/>
  <c r="Q1335" i="1"/>
  <c r="Q1323" i="1"/>
  <c r="Q1311" i="1"/>
  <c r="Q1299" i="1"/>
  <c r="Q1287" i="1"/>
  <c r="Q1275" i="1"/>
  <c r="Q1263" i="1"/>
  <c r="Q1251" i="1"/>
  <c r="Q1239" i="1"/>
  <c r="Q1227" i="1"/>
  <c r="Q1215" i="1"/>
  <c r="Q1203" i="1"/>
  <c r="Q1191" i="1"/>
  <c r="Q1179" i="1"/>
  <c r="Q1167" i="1"/>
  <c r="Q1155" i="1"/>
  <c r="Q1143" i="1"/>
  <c r="Q1131" i="1"/>
  <c r="Q1119" i="1"/>
  <c r="Q1107" i="1"/>
  <c r="Q1095" i="1"/>
  <c r="Q1083" i="1"/>
  <c r="Q1071" i="1"/>
  <c r="Q1059" i="1"/>
  <c r="Q1047" i="1"/>
  <c r="Q1035" i="1"/>
  <c r="Q1023" i="1"/>
  <c r="Q1011" i="1"/>
  <c r="Q999" i="1"/>
  <c r="Q987" i="1"/>
  <c r="Q975" i="1"/>
  <c r="Q963" i="1"/>
  <c r="Q951" i="1"/>
  <c r="Q939" i="1"/>
  <c r="Q927" i="1"/>
  <c r="Q915" i="1"/>
  <c r="Q903" i="1"/>
  <c r="Q891" i="1"/>
  <c r="Q879" i="1"/>
  <c r="Q867" i="1"/>
  <c r="Q855" i="1"/>
  <c r="Q843" i="1"/>
  <c r="Q831" i="1"/>
  <c r="Q819" i="1"/>
  <c r="Q807" i="1"/>
  <c r="Q795" i="1"/>
  <c r="Q783" i="1"/>
  <c r="Q771" i="1"/>
  <c r="Q759" i="1"/>
  <c r="Q747" i="1"/>
  <c r="Q735" i="1"/>
  <c r="Q723" i="1"/>
  <c r="Q711" i="1"/>
  <c r="Q699" i="1"/>
  <c r="Q687" i="1"/>
  <c r="Q675" i="1"/>
  <c r="Q663" i="1"/>
  <c r="Q651" i="1"/>
  <c r="Q639" i="1"/>
  <c r="Q627" i="1"/>
  <c r="Q615" i="1"/>
  <c r="Q603" i="1"/>
  <c r="Q591" i="1"/>
  <c r="Q579" i="1"/>
  <c r="Q567" i="1"/>
  <c r="Q555" i="1"/>
  <c r="Q543" i="1"/>
  <c r="Q531" i="1"/>
  <c r="Q765" i="1"/>
  <c r="Q1586" i="1"/>
  <c r="Q1574" i="1"/>
  <c r="Q1562" i="1"/>
  <c r="Q1550" i="1"/>
  <c r="Q1538" i="1"/>
  <c r="Q1526" i="1"/>
  <c r="Q1514" i="1"/>
  <c r="Q1502" i="1"/>
  <c r="Q1490" i="1"/>
  <c r="Q1478" i="1"/>
  <c r="Q1466" i="1"/>
  <c r="Q1454" i="1"/>
  <c r="Q1442" i="1"/>
  <c r="Q1430" i="1"/>
  <c r="Q1418" i="1"/>
  <c r="Q1406" i="1"/>
  <c r="Q1394" i="1"/>
  <c r="Q1382" i="1"/>
  <c r="Q1370" i="1"/>
  <c r="Q1358" i="1"/>
  <c r="Q1346" i="1"/>
  <c r="Q1334" i="1"/>
  <c r="Q1322" i="1"/>
  <c r="Q1310" i="1"/>
  <c r="Q1298" i="1"/>
  <c r="Q1286" i="1"/>
  <c r="Q1274" i="1"/>
  <c r="Q1262" i="1"/>
  <c r="Q1250" i="1"/>
  <c r="Q1238" i="1"/>
  <c r="Q1226" i="1"/>
  <c r="Q1214" i="1"/>
  <c r="Q1202" i="1"/>
  <c r="Q1190" i="1"/>
  <c r="Q1178" i="1"/>
  <c r="Q1166" i="1"/>
  <c r="Q1154" i="1"/>
  <c r="Q1142" i="1"/>
  <c r="Q1130" i="1"/>
  <c r="Q1118" i="1"/>
  <c r="Q1106" i="1"/>
  <c r="Q1094" i="1"/>
  <c r="Q1082" i="1"/>
  <c r="Q1070" i="1"/>
  <c r="Q1058" i="1"/>
  <c r="Q1046" i="1"/>
  <c r="Q1034" i="1"/>
  <c r="Q1022" i="1"/>
  <c r="Q1010" i="1"/>
  <c r="Q998" i="1"/>
  <c r="Q986" i="1"/>
  <c r="Q974" i="1"/>
  <c r="Q962" i="1"/>
  <c r="Q950" i="1"/>
  <c r="Q938" i="1"/>
  <c r="Q926" i="1"/>
  <c r="Q914" i="1"/>
  <c r="Q902" i="1"/>
  <c r="Q890" i="1"/>
  <c r="Q878" i="1"/>
  <c r="Q866" i="1"/>
  <c r="Q854" i="1"/>
  <c r="Q842" i="1"/>
  <c r="Q830" i="1"/>
  <c r="Q818" i="1"/>
  <c r="Q806" i="1"/>
  <c r="Q794" i="1"/>
  <c r="Q782" i="1"/>
  <c r="Q770" i="1"/>
  <c r="Q758" i="1"/>
  <c r="Q746" i="1"/>
  <c r="Q734" i="1"/>
  <c r="Q722" i="1"/>
  <c r="Q710" i="1"/>
  <c r="Q2" i="1"/>
  <c r="Q932" i="1"/>
  <c r="Q1428" i="1"/>
  <c r="Q1416" i="1"/>
  <c r="Q1404" i="1"/>
  <c r="Q1392" i="1"/>
  <c r="Q1380" i="1"/>
  <c r="Q1368" i="1"/>
  <c r="Q1356" i="1"/>
  <c r="Q1344" i="1"/>
  <c r="Q1332" i="1"/>
  <c r="Q1320" i="1"/>
  <c r="Q1308" i="1"/>
  <c r="Q1296" i="1"/>
  <c r="Q1284" i="1"/>
  <c r="Q1272" i="1"/>
  <c r="Q1260" i="1"/>
  <c r="Q1248" i="1"/>
  <c r="Q1236" i="1"/>
  <c r="Q1224" i="1"/>
  <c r="Q1212" i="1"/>
  <c r="Q1200" i="1"/>
  <c r="Q1188" i="1"/>
  <c r="Q1176" i="1"/>
  <c r="Q1164" i="1"/>
  <c r="Q1152" i="1"/>
  <c r="Q1140" i="1"/>
  <c r="Q1128" i="1"/>
  <c r="Q1116" i="1"/>
  <c r="Q1104" i="1"/>
  <c r="Q1092" i="1"/>
  <c r="Q1080" i="1"/>
  <c r="Q1068" i="1"/>
  <c r="Q1056" i="1"/>
  <c r="Q1044" i="1"/>
  <c r="Q1032" i="1"/>
  <c r="Q1020" i="1"/>
  <c r="Q1008" i="1"/>
  <c r="Q996" i="1"/>
  <c r="Q984" i="1"/>
  <c r="Q972" i="1"/>
  <c r="Q960" i="1"/>
  <c r="Q948" i="1"/>
  <c r="Q936" i="1"/>
  <c r="Q924" i="1"/>
  <c r="Q912" i="1"/>
  <c r="Q900" i="1"/>
  <c r="Q888" i="1"/>
  <c r="Q876" i="1"/>
  <c r="Q864" i="1"/>
  <c r="Q852" i="1"/>
  <c r="Q840" i="1"/>
  <c r="Q828" i="1"/>
  <c r="Q816" i="1"/>
  <c r="Q804" i="1"/>
  <c r="Q792" i="1"/>
  <c r="Q780" i="1"/>
  <c r="Q768" i="1"/>
  <c r="Q756" i="1"/>
  <c r="Q744" i="1"/>
  <c r="Q732" i="1"/>
  <c r="Q720" i="1"/>
  <c r="Q708" i="1"/>
  <c r="Q696" i="1"/>
  <c r="Q684" i="1"/>
  <c r="Q672" i="1"/>
  <c r="Q660" i="1"/>
  <c r="Q648" i="1"/>
  <c r="Q636" i="1"/>
  <c r="Q624" i="1"/>
  <c r="Q612" i="1"/>
  <c r="Q576" i="1"/>
  <c r="Q480" i="1"/>
  <c r="Q420" i="1"/>
  <c r="Q408" i="1"/>
  <c r="Q348" i="1"/>
  <c r="Q276" i="1"/>
  <c r="Q264" i="1"/>
  <c r="Q252" i="1"/>
  <c r="Q144" i="1"/>
  <c r="Q132" i="1"/>
  <c r="Q120" i="1"/>
  <c r="Q108" i="1"/>
  <c r="Q1594" i="1"/>
  <c r="Q1582" i="1"/>
  <c r="Q1570" i="1"/>
  <c r="Q1558" i="1"/>
  <c r="Q1546" i="1"/>
  <c r="Q1534" i="1"/>
  <c r="Q1522" i="1"/>
  <c r="Q1510" i="1"/>
  <c r="Q1498" i="1"/>
  <c r="Q1486" i="1"/>
  <c r="Q1474" i="1"/>
  <c r="Q1462" i="1"/>
  <c r="Q1450" i="1"/>
  <c r="Q1438" i="1"/>
  <c r="Q1426" i="1"/>
  <c r="Q1414" i="1"/>
  <c r="Q1402" i="1"/>
  <c r="Q1390" i="1"/>
  <c r="Q1378" i="1"/>
  <c r="Q1366" i="1"/>
  <c r="Q1354" i="1"/>
  <c r="Q1342" i="1"/>
  <c r="Q1330" i="1"/>
  <c r="Q1318" i="1"/>
  <c r="Q1306" i="1"/>
  <c r="Q1294" i="1"/>
  <c r="Q1282" i="1"/>
  <c r="Q1270" i="1"/>
  <c r="Q1258" i="1"/>
  <c r="Q1246" i="1"/>
  <c r="Q1234" i="1"/>
  <c r="Q1222" i="1"/>
  <c r="Q1210" i="1"/>
  <c r="Q1198" i="1"/>
  <c r="Q1186" i="1"/>
  <c r="Q1174" i="1"/>
  <c r="Q1162" i="1"/>
  <c r="Q1150" i="1"/>
  <c r="Q1138" i="1"/>
  <c r="Q1126" i="1"/>
  <c r="Q1114" i="1"/>
  <c r="Q1102" i="1"/>
  <c r="Q1090" i="1"/>
  <c r="Q1078" i="1"/>
  <c r="Q1066" i="1"/>
  <c r="Q1054" i="1"/>
  <c r="Q1042" i="1"/>
  <c r="Q1030" i="1"/>
  <c r="Q1018" i="1"/>
  <c r="Q1006" i="1"/>
  <c r="Q994" i="1"/>
  <c r="Q982" i="1"/>
  <c r="Q970" i="1"/>
  <c r="Q958" i="1"/>
  <c r="Q946" i="1"/>
  <c r="Q934" i="1"/>
  <c r="Q922" i="1"/>
  <c r="Q910" i="1"/>
  <c r="Q898" i="1"/>
  <c r="Q886" i="1"/>
  <c r="Q874" i="1"/>
  <c r="Q862" i="1"/>
  <c r="Q850" i="1"/>
  <c r="Q838" i="1"/>
  <c r="Q826" i="1"/>
  <c r="Q814" i="1"/>
  <c r="Q802" i="1"/>
  <c r="Q766" i="1"/>
  <c r="Q730" i="1"/>
  <c r="Q694" i="1"/>
  <c r="Q658" i="1"/>
  <c r="Q622" i="1"/>
  <c r="Q586" i="1"/>
  <c r="Q574" i="1"/>
  <c r="Q538" i="1"/>
  <c r="Q490" i="1"/>
  <c r="Q478" i="1"/>
  <c r="Q1593" i="1"/>
  <c r="Q1581" i="1"/>
  <c r="Q1569" i="1"/>
  <c r="Q1557" i="1"/>
  <c r="Q1545" i="1"/>
  <c r="Q1533" i="1"/>
  <c r="Q1521" i="1"/>
  <c r="Q1509" i="1"/>
  <c r="Q1497" i="1"/>
  <c r="Q1485" i="1"/>
  <c r="Q1473" i="1"/>
  <c r="Q1461" i="1"/>
  <c r="Q1449" i="1"/>
  <c r="Q1437" i="1"/>
  <c r="Q1425" i="1"/>
  <c r="Q1413" i="1"/>
  <c r="Q1401" i="1"/>
  <c r="Q1389" i="1"/>
  <c r="Q1377" i="1"/>
  <c r="Q1365" i="1"/>
  <c r="Q1353" i="1"/>
  <c r="Q1341" i="1"/>
  <c r="Q1329" i="1"/>
  <c r="Q1317" i="1"/>
  <c r="Q1305" i="1"/>
  <c r="Q1293" i="1"/>
  <c r="Q1281" i="1"/>
  <c r="Q1269" i="1"/>
  <c r="Q1257" i="1"/>
  <c r="Q1245" i="1"/>
  <c r="Q1233" i="1"/>
  <c r="Q1221" i="1"/>
  <c r="Q1209" i="1"/>
  <c r="Q1197" i="1"/>
  <c r="Q1185" i="1"/>
  <c r="Q1173" i="1"/>
  <c r="Q1161" i="1"/>
  <c r="Q1149" i="1"/>
  <c r="Q1137" i="1"/>
  <c r="Q1125" i="1"/>
  <c r="Q1113" i="1"/>
  <c r="Q1101" i="1"/>
  <c r="Q1089" i="1"/>
  <c r="Q1077" i="1"/>
  <c r="Q1065" i="1"/>
  <c r="Q1053" i="1"/>
  <c r="Q1041" i="1"/>
  <c r="Q1029" i="1"/>
  <c r="Q1017" i="1"/>
  <c r="Q1005" i="1"/>
  <c r="Q981" i="1"/>
  <c r="Q969" i="1"/>
  <c r="Q957" i="1"/>
  <c r="Q945" i="1"/>
  <c r="Q921" i="1"/>
  <c r="Q909" i="1"/>
  <c r="Q897" i="1"/>
  <c r="Q885" i="1"/>
  <c r="Q873" i="1"/>
  <c r="Q861" i="1"/>
  <c r="Q801" i="1"/>
  <c r="Q729" i="1"/>
  <c r="Q693" i="1"/>
  <c r="Q621" i="1"/>
  <c r="Q1592" i="1"/>
  <c r="Q1580" i="1"/>
  <c r="Q1568" i="1"/>
  <c r="Q1556" i="1"/>
  <c r="Q1544" i="1"/>
  <c r="Q1532" i="1"/>
  <c r="Q1520" i="1"/>
  <c r="Q1508" i="1"/>
  <c r="Q1496" i="1"/>
  <c r="Q1484" i="1"/>
  <c r="Q1472" i="1"/>
  <c r="Q1460" i="1"/>
  <c r="Q1448" i="1"/>
  <c r="Q1436" i="1"/>
  <c r="Q1424" i="1"/>
  <c r="Q1412" i="1"/>
  <c r="Q1400" i="1"/>
  <c r="Q1388" i="1"/>
  <c r="Q1376" i="1"/>
  <c r="Q1364" i="1"/>
  <c r="Q1352" i="1"/>
  <c r="Q1340" i="1"/>
  <c r="Q1328" i="1"/>
  <c r="Q1316" i="1"/>
  <c r="Q1304" i="1"/>
  <c r="Q1292" i="1"/>
  <c r="Q1280" i="1"/>
  <c r="Q1268" i="1"/>
  <c r="Q1256" i="1"/>
  <c r="Q1244" i="1"/>
  <c r="Q1232" i="1"/>
  <c r="Q1220" i="1"/>
  <c r="Q1208" i="1"/>
  <c r="Q1196" i="1"/>
  <c r="Q1184" i="1"/>
  <c r="Q1172" i="1"/>
  <c r="Q1160" i="1"/>
  <c r="Q1148" i="1"/>
  <c r="Q1136" i="1"/>
  <c r="Q1124" i="1"/>
  <c r="Q1112" i="1"/>
  <c r="Q1100" i="1"/>
  <c r="Q1088" i="1"/>
  <c r="Q1076" i="1"/>
  <c r="Q1064" i="1"/>
  <c r="Q1052" i="1"/>
  <c r="Q1040" i="1"/>
  <c r="Q1028" i="1"/>
  <c r="Q1016" i="1"/>
  <c r="Q1004" i="1"/>
  <c r="Q980" i="1"/>
  <c r="Q968" i="1"/>
  <c r="Q956" i="1"/>
  <c r="Q944" i="1"/>
  <c r="Q920" i="1"/>
  <c r="Q908" i="1"/>
  <c r="Q896" i="1"/>
  <c r="Q884" i="1"/>
  <c r="Q1231" i="1"/>
  <c r="Q1219" i="1"/>
  <c r="Q1207" i="1"/>
  <c r="Q1195" i="1"/>
  <c r="Q1183" i="1"/>
  <c r="Q1171" i="1"/>
  <c r="Q1159" i="1"/>
  <c r="Q1147" i="1"/>
  <c r="Q1135" i="1"/>
  <c r="Q1123" i="1"/>
  <c r="Q1111" i="1"/>
  <c r="Q1099" i="1"/>
  <c r="Q1087" i="1"/>
  <c r="Q1075" i="1"/>
  <c r="Q1063" i="1"/>
  <c r="Q1051" i="1"/>
  <c r="Q1039" i="1"/>
  <c r="Q1027" i="1"/>
  <c r="Q1015" i="1"/>
  <c r="Q1003" i="1"/>
  <c r="Q991" i="1"/>
  <c r="Q979" i="1"/>
  <c r="Q967" i="1"/>
  <c r="Q955" i="1"/>
  <c r="Q943" i="1"/>
  <c r="Q931" i="1"/>
  <c r="Q919" i="1"/>
  <c r="Q907" i="1"/>
  <c r="Q895" i="1"/>
  <c r="Q883" i="1"/>
  <c r="Q871" i="1"/>
  <c r="Q859" i="1"/>
  <c r="Q847" i="1"/>
  <c r="Q835" i="1"/>
  <c r="Q823" i="1"/>
  <c r="Q811" i="1"/>
  <c r="Q799" i="1"/>
  <c r="Q787" i="1"/>
  <c r="Q775" i="1"/>
  <c r="Q763" i="1"/>
  <c r="Q751" i="1"/>
  <c r="Q739" i="1"/>
  <c r="Q727" i="1"/>
  <c r="Q715" i="1"/>
  <c r="Q703" i="1"/>
  <c r="Q691" i="1"/>
  <c r="Q679" i="1"/>
  <c r="Q667" i="1"/>
  <c r="Q655" i="1"/>
  <c r="Q643" i="1"/>
  <c r="Q631" i="1"/>
  <c r="Q619" i="1"/>
  <c r="Q607" i="1"/>
  <c r="Q595" i="1"/>
  <c r="Q583" i="1"/>
  <c r="Q571" i="1"/>
  <c r="Q559" i="1"/>
  <c r="Q547" i="1"/>
  <c r="Q535" i="1"/>
  <c r="Q523" i="1"/>
  <c r="Q511" i="1"/>
  <c r="Q499" i="1"/>
  <c r="Q487" i="1"/>
  <c r="Q475" i="1"/>
  <c r="Q463" i="1"/>
  <c r="Q451" i="1"/>
  <c r="Q439" i="1"/>
  <c r="Q427" i="1"/>
  <c r="Q415" i="1"/>
  <c r="Q403" i="1"/>
  <c r="Q391" i="1"/>
  <c r="Q379" i="1"/>
  <c r="Q367" i="1"/>
  <c r="Q355" i="1"/>
  <c r="Q343" i="1"/>
  <c r="Q331" i="1"/>
  <c r="Q319" i="1"/>
  <c r="Q307" i="1"/>
  <c r="Q295" i="1"/>
  <c r="Q283" i="1"/>
  <c r="Q271" i="1"/>
  <c r="Q259" i="1"/>
  <c r="Q528" i="1"/>
  <c r="Q1278" i="1"/>
  <c r="Q1266" i="1"/>
  <c r="Q1254" i="1"/>
  <c r="Q1242" i="1"/>
  <c r="Q1230" i="1"/>
  <c r="Q1218" i="1"/>
  <c r="Q1206" i="1"/>
  <c r="Q1194" i="1"/>
  <c r="Q1182" i="1"/>
  <c r="Q1170" i="1"/>
  <c r="Q1158" i="1"/>
  <c r="Q1146" i="1"/>
  <c r="Q1134" i="1"/>
  <c r="Q1122" i="1"/>
  <c r="Q1110" i="1"/>
  <c r="Q1098" i="1"/>
  <c r="Q1086" i="1"/>
  <c r="Q1074" i="1"/>
  <c r="Q1062" i="1"/>
  <c r="Q1050" i="1"/>
  <c r="Q1038" i="1"/>
  <c r="Q1026" i="1"/>
  <c r="Q1014" i="1"/>
  <c r="Q1002" i="1"/>
  <c r="Q990" i="1"/>
  <c r="Q978" i="1"/>
  <c r="Q966" i="1"/>
  <c r="Q954" i="1"/>
  <c r="Q942" i="1"/>
  <c r="Q930" i="1"/>
  <c r="Q918" i="1"/>
  <c r="Q906" i="1"/>
  <c r="Q894" i="1"/>
  <c r="Q882" i="1"/>
  <c r="Q870" i="1"/>
  <c r="Q858" i="1"/>
  <c r="Q846" i="1"/>
  <c r="Q834" i="1"/>
  <c r="Q822" i="1"/>
  <c r="Q810" i="1"/>
  <c r="Q798" i="1"/>
  <c r="Q786" i="1"/>
  <c r="Q774" i="1"/>
  <c r="Q762" i="1"/>
  <c r="Q750" i="1"/>
  <c r="Q738" i="1"/>
  <c r="Q726" i="1"/>
  <c r="Q714" i="1"/>
  <c r="Q702" i="1"/>
  <c r="Q690" i="1"/>
  <c r="Q678" i="1"/>
  <c r="Q666" i="1"/>
  <c r="Q654" i="1"/>
  <c r="Q642" i="1"/>
  <c r="Q630" i="1"/>
  <c r="Q618" i="1"/>
  <c r="Q606" i="1"/>
  <c r="Q594" i="1"/>
  <c r="Q582" i="1"/>
  <c r="Q570" i="1"/>
  <c r="Q558" i="1"/>
  <c r="Q546" i="1"/>
  <c r="Q534" i="1"/>
  <c r="Q522" i="1"/>
  <c r="Q510" i="1"/>
  <c r="Q498" i="1"/>
  <c r="Q486" i="1"/>
  <c r="Q474" i="1"/>
  <c r="Q462" i="1"/>
  <c r="Q450" i="1"/>
  <c r="Q438" i="1"/>
  <c r="Q426" i="1"/>
  <c r="Q414" i="1"/>
  <c r="Q402" i="1"/>
  <c r="Q390" i="1"/>
  <c r="Q378" i="1"/>
  <c r="Q366" i="1"/>
  <c r="Q354" i="1"/>
  <c r="Q342" i="1"/>
  <c r="Q330" i="1"/>
  <c r="Q1097" i="1"/>
  <c r="Q1085" i="1"/>
  <c r="Q1061" i="1"/>
  <c r="Q1049" i="1"/>
  <c r="Q1025" i="1"/>
  <c r="Q1013" i="1"/>
  <c r="Q1001" i="1"/>
  <c r="Q989" i="1"/>
  <c r="Q977" i="1"/>
  <c r="Q965" i="1"/>
  <c r="Q953" i="1"/>
  <c r="Q941" i="1"/>
  <c r="Q929" i="1"/>
  <c r="Q917" i="1"/>
  <c r="Q905" i="1"/>
  <c r="Q893" i="1"/>
  <c r="Q881" i="1"/>
  <c r="Q869" i="1"/>
  <c r="Q857" i="1"/>
  <c r="Q845" i="1"/>
  <c r="Q833" i="1"/>
  <c r="Q821" i="1"/>
  <c r="Q809" i="1"/>
  <c r="Q797" i="1"/>
  <c r="Q785" i="1"/>
  <c r="Q773" i="1"/>
  <c r="Q761" i="1"/>
  <c r="Q749" i="1"/>
  <c r="Q737" i="1"/>
  <c r="Q725" i="1"/>
  <c r="Q713" i="1"/>
  <c r="Q701" i="1"/>
  <c r="Q689" i="1"/>
  <c r="Q677" i="1"/>
  <c r="Q665" i="1"/>
  <c r="Q653" i="1"/>
  <c r="Q641" i="1"/>
  <c r="Q629" i="1"/>
  <c r="Q617" i="1"/>
  <c r="Q605" i="1"/>
  <c r="Q593" i="1"/>
  <c r="Q581" i="1"/>
  <c r="Q569" i="1"/>
  <c r="Q557" i="1"/>
  <c r="Q545" i="1"/>
  <c r="Q533" i="1"/>
  <c r="Q521" i="1"/>
  <c r="Q509" i="1"/>
  <c r="Q497" i="1"/>
  <c r="Q485" i="1"/>
  <c r="Q473" i="1"/>
  <c r="Q461" i="1"/>
  <c r="Q449" i="1"/>
  <c r="Q437" i="1"/>
  <c r="Q425" i="1"/>
  <c r="Q413" i="1"/>
  <c r="Q401" i="1"/>
  <c r="Q389" i="1"/>
  <c r="Q377" i="1"/>
  <c r="Q365" i="1"/>
  <c r="Q353" i="1"/>
  <c r="Q341" i="1"/>
  <c r="Q329" i="1"/>
  <c r="Q317" i="1"/>
  <c r="Q305" i="1"/>
  <c r="Q293" i="1"/>
  <c r="Q281" i="1"/>
  <c r="Q269" i="1"/>
  <c r="Q257" i="1"/>
  <c r="Q245" i="1"/>
  <c r="Q233" i="1"/>
  <c r="Q221" i="1"/>
  <c r="Q209" i="1"/>
  <c r="Q197" i="1"/>
  <c r="Q185" i="1"/>
  <c r="Q173" i="1"/>
  <c r="Q161" i="1"/>
  <c r="Q1132" i="1"/>
  <c r="Q1120" i="1"/>
  <c r="Q1096" i="1"/>
  <c r="Q1084" i="1"/>
  <c r="Q1060" i="1"/>
  <c r="Q1048" i="1"/>
  <c r="Q1024" i="1"/>
  <c r="Q1012" i="1"/>
  <c r="Q1000" i="1"/>
  <c r="Q988" i="1"/>
  <c r="Q976" i="1"/>
  <c r="Q964" i="1"/>
  <c r="Q952" i="1"/>
  <c r="Q940" i="1"/>
  <c r="Q928" i="1"/>
  <c r="Q916" i="1"/>
  <c r="Q904" i="1"/>
  <c r="Q892" i="1"/>
  <c r="Q880" i="1"/>
  <c r="Q868" i="1"/>
  <c r="Q844" i="1"/>
  <c r="Q832" i="1"/>
  <c r="Q820" i="1"/>
  <c r="Q808" i="1"/>
  <c r="Q796" i="1"/>
  <c r="Q784" i="1"/>
  <c r="Q772" i="1"/>
  <c r="Q748" i="1"/>
  <c r="Q736" i="1"/>
  <c r="Q724" i="1"/>
  <c r="Q712" i="1"/>
  <c r="Q700" i="1"/>
  <c r="Q688" i="1"/>
  <c r="Q676" i="1"/>
  <c r="Q664" i="1"/>
  <c r="Q640" i="1"/>
  <c r="Q628" i="1"/>
  <c r="Q616" i="1"/>
  <c r="Q604" i="1"/>
  <c r="Q592" i="1"/>
  <c r="Q580" i="1"/>
  <c r="Q568" i="1"/>
  <c r="Q556" i="1"/>
  <c r="Q544" i="1"/>
  <c r="Q532" i="1"/>
  <c r="Q520" i="1"/>
  <c r="Q508" i="1"/>
  <c r="Q496" i="1"/>
  <c r="Q484" i="1"/>
  <c r="Q472" i="1"/>
  <c r="Q460" i="1"/>
  <c r="Q448" i="1"/>
  <c r="Q436" i="1"/>
  <c r="Q424" i="1"/>
  <c r="Q412" i="1"/>
  <c r="Q400" i="1"/>
  <c r="Q388" i="1"/>
  <c r="Q376" i="1"/>
  <c r="Q364" i="1"/>
  <c r="Q352" i="1"/>
  <c r="Q328" i="1"/>
  <c r="Q316" i="1"/>
  <c r="Q304" i="1"/>
  <c r="Q292" i="1"/>
  <c r="Q280" i="1"/>
  <c r="Q268" i="1"/>
  <c r="Q256" i="1"/>
  <c r="Q244" i="1"/>
  <c r="Q232" i="1"/>
  <c r="Q220" i="1"/>
  <c r="Q208" i="1"/>
  <c r="Q196" i="1"/>
  <c r="Q184" i="1"/>
  <c r="Q172" i="1"/>
  <c r="Q336" i="1"/>
  <c r="Q247" i="1"/>
  <c r="Q235" i="1"/>
  <c r="Q223" i="1"/>
  <c r="Q211" i="1"/>
  <c r="Q199" i="1"/>
  <c r="Q187" i="1"/>
  <c r="Q175" i="1"/>
  <c r="Q163" i="1"/>
  <c r="Q318" i="1"/>
  <c r="Q306" i="1"/>
  <c r="Q294" i="1"/>
  <c r="Q282" i="1"/>
  <c r="Q270" i="1"/>
  <c r="Q258" i="1"/>
  <c r="Q246" i="1"/>
  <c r="Q234" i="1"/>
  <c r="Q222" i="1"/>
  <c r="Q210" i="1"/>
  <c r="Q198" i="1"/>
  <c r="Q186" i="1"/>
  <c r="Q174" i="1"/>
  <c r="Q162" i="1"/>
  <c r="Q150" i="1"/>
  <c r="Q519" i="1"/>
  <c r="Q507" i="1"/>
  <c r="Q495" i="1"/>
  <c r="Q483" i="1"/>
  <c r="Q471" i="1"/>
  <c r="Q459" i="1"/>
  <c r="Q447" i="1"/>
  <c r="Q435" i="1"/>
  <c r="Q423" i="1"/>
  <c r="Q411" i="1"/>
  <c r="Q399" i="1"/>
  <c r="Q387" i="1"/>
  <c r="Q375" i="1"/>
  <c r="Q363" i="1"/>
  <c r="Q351" i="1"/>
  <c r="Q339" i="1"/>
  <c r="Q327" i="1"/>
  <c r="Q315" i="1"/>
  <c r="Q303" i="1"/>
  <c r="Q291" i="1"/>
  <c r="Q279" i="1"/>
  <c r="Q267" i="1"/>
  <c r="Q255" i="1"/>
  <c r="Q243" i="1"/>
  <c r="Q231" i="1"/>
  <c r="Q219" i="1"/>
  <c r="Q207" i="1"/>
  <c r="Q195" i="1"/>
  <c r="Q183" i="1"/>
  <c r="Q171" i="1"/>
  <c r="Q159" i="1"/>
  <c r="Q147" i="1"/>
  <c r="Q135" i="1"/>
  <c r="Q123" i="1"/>
  <c r="Q111" i="1"/>
  <c r="Q99" i="1"/>
  <c r="Q87" i="1"/>
  <c r="Q75" i="1"/>
  <c r="Q63" i="1"/>
  <c r="Q51" i="1"/>
  <c r="Q39" i="1"/>
  <c r="Q27" i="1"/>
  <c r="Q15" i="1"/>
  <c r="Q3" i="1"/>
  <c r="Q698" i="1"/>
  <c r="Q686" i="1"/>
  <c r="Q674" i="1"/>
  <c r="Q662" i="1"/>
  <c r="Q650" i="1"/>
  <c r="Q638" i="1"/>
  <c r="Q626" i="1"/>
  <c r="Q614" i="1"/>
  <c r="Q602" i="1"/>
  <c r="Q590" i="1"/>
  <c r="Q578" i="1"/>
  <c r="Q566" i="1"/>
  <c r="Q554" i="1"/>
  <c r="Q542" i="1"/>
  <c r="Q530" i="1"/>
  <c r="Q518" i="1"/>
  <c r="Q506" i="1"/>
  <c r="Q494" i="1"/>
  <c r="Q482" i="1"/>
  <c r="Q470" i="1"/>
  <c r="Q458" i="1"/>
  <c r="Q446" i="1"/>
  <c r="Q434" i="1"/>
  <c r="Q422" i="1"/>
  <c r="Q410" i="1"/>
  <c r="Q398" i="1"/>
  <c r="Q386" i="1"/>
  <c r="Q374" i="1"/>
  <c r="Q362" i="1"/>
  <c r="Q350" i="1"/>
  <c r="Q338" i="1"/>
  <c r="Q326" i="1"/>
  <c r="Q314" i="1"/>
  <c r="Q302" i="1"/>
  <c r="Q290" i="1"/>
  <c r="Q278" i="1"/>
  <c r="Q266" i="1"/>
  <c r="Q254" i="1"/>
  <c r="Q242" i="1"/>
  <c r="Q230" i="1"/>
  <c r="Q218" i="1"/>
  <c r="Q206" i="1"/>
  <c r="Q194" i="1"/>
  <c r="Q182" i="1"/>
  <c r="Q170" i="1"/>
  <c r="Q158" i="1"/>
  <c r="Q146" i="1"/>
  <c r="Q134" i="1"/>
  <c r="Q122" i="1"/>
  <c r="Q110" i="1"/>
  <c r="Q98" i="1"/>
  <c r="Q86" i="1"/>
  <c r="Q74" i="1"/>
  <c r="Q62" i="1"/>
  <c r="Q50" i="1"/>
  <c r="Q38" i="1"/>
  <c r="Q26" i="1"/>
  <c r="Q14" i="1"/>
  <c r="Q589" i="1"/>
  <c r="Q577" i="1"/>
  <c r="Q565" i="1"/>
  <c r="Q553" i="1"/>
  <c r="Q541" i="1"/>
  <c r="Q529" i="1"/>
  <c r="Q517" i="1"/>
  <c r="Q505" i="1"/>
  <c r="Q493" i="1"/>
  <c r="Q481" i="1"/>
  <c r="Q469" i="1"/>
  <c r="Q457" i="1"/>
  <c r="Q445" i="1"/>
  <c r="Q433" i="1"/>
  <c r="Q421" i="1"/>
  <c r="Q409" i="1"/>
  <c r="Q397" i="1"/>
  <c r="Q385" i="1"/>
  <c r="Q373" i="1"/>
  <c r="Q361" i="1"/>
  <c r="Q349" i="1"/>
  <c r="Q337" i="1"/>
  <c r="Q325" i="1"/>
  <c r="Q313" i="1"/>
  <c r="Q301" i="1"/>
  <c r="Q289" i="1"/>
  <c r="Q277" i="1"/>
  <c r="Q265" i="1"/>
  <c r="Q253" i="1"/>
  <c r="Q241" i="1"/>
  <c r="Q229" i="1"/>
  <c r="Q217" i="1"/>
  <c r="Q205" i="1"/>
  <c r="Q193" i="1"/>
  <c r="Q181" i="1"/>
  <c r="Q169" i="1"/>
  <c r="Q157" i="1"/>
  <c r="Q145" i="1"/>
  <c r="Q133" i="1"/>
  <c r="Q121" i="1"/>
  <c r="Q109" i="1"/>
  <c r="Q97" i="1"/>
  <c r="Q85" i="1"/>
  <c r="Q73" i="1"/>
  <c r="Q61" i="1"/>
  <c r="Q49" i="1"/>
  <c r="Q37" i="1"/>
  <c r="Q25" i="1"/>
  <c r="Q13" i="1"/>
  <c r="Q600" i="1"/>
  <c r="Q588" i="1"/>
  <c r="Q564" i="1"/>
  <c r="Q552" i="1"/>
  <c r="Q540" i="1"/>
  <c r="Q516" i="1"/>
  <c r="Q504" i="1"/>
  <c r="Q492" i="1"/>
  <c r="Q468" i="1"/>
  <c r="Q456" i="1"/>
  <c r="Q444" i="1"/>
  <c r="Q432" i="1"/>
  <c r="Q396" i="1"/>
  <c r="Q384" i="1"/>
  <c r="Q372" i="1"/>
  <c r="Q360" i="1"/>
  <c r="Q324" i="1"/>
  <c r="Q312" i="1"/>
  <c r="Q300" i="1"/>
  <c r="Q288" i="1"/>
  <c r="Q240" i="1"/>
  <c r="Q228" i="1"/>
  <c r="Q216" i="1"/>
  <c r="Q204" i="1"/>
  <c r="Q192" i="1"/>
  <c r="Q180" i="1"/>
  <c r="Q168" i="1"/>
  <c r="Q156" i="1"/>
  <c r="Q96" i="1"/>
  <c r="Q84" i="1"/>
  <c r="Q72" i="1"/>
  <c r="Q60" i="1"/>
  <c r="Q48" i="1"/>
  <c r="Q36" i="1"/>
  <c r="Q24" i="1"/>
  <c r="Q12" i="1"/>
  <c r="Q899" i="1"/>
  <c r="Q887" i="1"/>
  <c r="Q875" i="1"/>
  <c r="Q863" i="1"/>
  <c r="Q851" i="1"/>
  <c r="Q839" i="1"/>
  <c r="Q827" i="1"/>
  <c r="Q815" i="1"/>
  <c r="Q803" i="1"/>
  <c r="Q791" i="1"/>
  <c r="Q779" i="1"/>
  <c r="Q767" i="1"/>
  <c r="Q755" i="1"/>
  <c r="Q743" i="1"/>
  <c r="Q731" i="1"/>
  <c r="Q719" i="1"/>
  <c r="Q707" i="1"/>
  <c r="Q695" i="1"/>
  <c r="Q683" i="1"/>
  <c r="Q671" i="1"/>
  <c r="Q659" i="1"/>
  <c r="Q647" i="1"/>
  <c r="Q635" i="1"/>
  <c r="Q623" i="1"/>
  <c r="Q611" i="1"/>
  <c r="Q599" i="1"/>
  <c r="Q587" i="1"/>
  <c r="Q575" i="1"/>
  <c r="Q563" i="1"/>
  <c r="Q551" i="1"/>
  <c r="Q539" i="1"/>
  <c r="Q527" i="1"/>
  <c r="Q515" i="1"/>
  <c r="Q503" i="1"/>
  <c r="Q491" i="1"/>
  <c r="Q479" i="1"/>
  <c r="Q467" i="1"/>
  <c r="Q455" i="1"/>
  <c r="Q443" i="1"/>
  <c r="Q431" i="1"/>
  <c r="Q419" i="1"/>
  <c r="Q407" i="1"/>
  <c r="Q395" i="1"/>
  <c r="Q383" i="1"/>
  <c r="Q371" i="1"/>
  <c r="Q359" i="1"/>
  <c r="Q347" i="1"/>
  <c r="Q335" i="1"/>
  <c r="Q323" i="1"/>
  <c r="Q311" i="1"/>
  <c r="Q299" i="1"/>
  <c r="Q287" i="1"/>
  <c r="Q275" i="1"/>
  <c r="Q263" i="1"/>
  <c r="Q251" i="1"/>
  <c r="Q239" i="1"/>
  <c r="Q227" i="1"/>
  <c r="Q215" i="1"/>
  <c r="Q203" i="1"/>
  <c r="Q191" i="1"/>
  <c r="Q179" i="1"/>
  <c r="Q790" i="1"/>
  <c r="Q778" i="1"/>
  <c r="Q754" i="1"/>
  <c r="Q742" i="1"/>
  <c r="Q718" i="1"/>
  <c r="Q706" i="1"/>
  <c r="Q682" i="1"/>
  <c r="Q670" i="1"/>
  <c r="Q646" i="1"/>
  <c r="Q634" i="1"/>
  <c r="Q610" i="1"/>
  <c r="Q598" i="1"/>
  <c r="Q562" i="1"/>
  <c r="Q550" i="1"/>
  <c r="Q514" i="1"/>
  <c r="Q502" i="1"/>
  <c r="Q466" i="1"/>
  <c r="Q454" i="1"/>
  <c r="Q442" i="1"/>
  <c r="Q430" i="1"/>
  <c r="Q418" i="1"/>
  <c r="Q406" i="1"/>
  <c r="Q394" i="1"/>
  <c r="Q382" i="1"/>
  <c r="Q370" i="1"/>
  <c r="Q358" i="1"/>
  <c r="Q346" i="1"/>
  <c r="Q334" i="1"/>
  <c r="Q322" i="1"/>
  <c r="Q310" i="1"/>
  <c r="Q298" i="1"/>
  <c r="Q286" i="1"/>
  <c r="Q274" i="1"/>
  <c r="Q262" i="1"/>
  <c r="Q250" i="1"/>
  <c r="Q238" i="1"/>
  <c r="Q226" i="1"/>
  <c r="Q214" i="1"/>
  <c r="Q202" i="1"/>
  <c r="Q190" i="1"/>
  <c r="Q178" i="1"/>
  <c r="Q166" i="1"/>
  <c r="Q849" i="1"/>
  <c r="Q837" i="1"/>
  <c r="Q825" i="1"/>
  <c r="Q813" i="1"/>
  <c r="Q789" i="1"/>
  <c r="Q777" i="1"/>
  <c r="Q753" i="1"/>
  <c r="Q741" i="1"/>
  <c r="Q717" i="1"/>
  <c r="Q705" i="1"/>
  <c r="Q681" i="1"/>
  <c r="Q669" i="1"/>
  <c r="Q645" i="1"/>
  <c r="Q633" i="1"/>
  <c r="Q609" i="1"/>
  <c r="Q597" i="1"/>
  <c r="Q585" i="1"/>
  <c r="Q573" i="1"/>
  <c r="Q561" i="1"/>
  <c r="Q549" i="1"/>
  <c r="Q537" i="1"/>
  <c r="Q525" i="1"/>
  <c r="Q513" i="1"/>
  <c r="Q501" i="1"/>
  <c r="Q489" i="1"/>
  <c r="Q477" i="1"/>
  <c r="Q465" i="1"/>
  <c r="Q453" i="1"/>
  <c r="Q441" i="1"/>
  <c r="Q429" i="1"/>
  <c r="Q417" i="1"/>
  <c r="Q405" i="1"/>
  <c r="Q393" i="1"/>
  <c r="Q381" i="1"/>
  <c r="Q369" i="1"/>
  <c r="Q357" i="1"/>
  <c r="Q345" i="1"/>
  <c r="Q333" i="1"/>
  <c r="Q321" i="1"/>
  <c r="Q309" i="1"/>
  <c r="Q297" i="1"/>
  <c r="Q285" i="1"/>
  <c r="Q273" i="1"/>
  <c r="Q261" i="1"/>
  <c r="Q249" i="1"/>
  <c r="Q237" i="1"/>
  <c r="Q225" i="1"/>
  <c r="Q213" i="1"/>
  <c r="Q201" i="1"/>
  <c r="Q189" i="1"/>
  <c r="Q872" i="1"/>
  <c r="Q860" i="1"/>
  <c r="Q848" i="1"/>
  <c r="Q836" i="1"/>
  <c r="Q824" i="1"/>
  <c r="Q812" i="1"/>
  <c r="Q800" i="1"/>
  <c r="Q788" i="1"/>
  <c r="Q776" i="1"/>
  <c r="Q764" i="1"/>
  <c r="Q752" i="1"/>
  <c r="Q740" i="1"/>
  <c r="Q728" i="1"/>
  <c r="Q716" i="1"/>
  <c r="Q704" i="1"/>
  <c r="Q692" i="1"/>
  <c r="Q680" i="1"/>
  <c r="Q668" i="1"/>
  <c r="Q656" i="1"/>
  <c r="Q644" i="1"/>
  <c r="Q632" i="1"/>
  <c r="Q620" i="1"/>
  <c r="Q608" i="1"/>
  <c r="Q596" i="1"/>
  <c r="Q584" i="1"/>
  <c r="Q572" i="1"/>
  <c r="Q560" i="1"/>
  <c r="Q548" i="1"/>
  <c r="Q536" i="1"/>
  <c r="Q524" i="1"/>
  <c r="Q512" i="1"/>
  <c r="Q500" i="1"/>
  <c r="Q488" i="1"/>
  <c r="Q476" i="1"/>
  <c r="Q464" i="1"/>
  <c r="Q452" i="1"/>
  <c r="Q440" i="1"/>
  <c r="Q428" i="1"/>
  <c r="Q416" i="1"/>
  <c r="Q404" i="1"/>
  <c r="Q392" i="1"/>
  <c r="Q380" i="1"/>
  <c r="Q368" i="1"/>
  <c r="Q356" i="1"/>
  <c r="Q344" i="1"/>
  <c r="Q332" i="1"/>
  <c r="Q320" i="1"/>
  <c r="Q308" i="1"/>
  <c r="Q296" i="1"/>
  <c r="Q284" i="1"/>
  <c r="Q272" i="1"/>
  <c r="Q260" i="1"/>
  <c r="Q248" i="1"/>
  <c r="Q236" i="1"/>
  <c r="Q224" i="1"/>
  <c r="Q212" i="1"/>
  <c r="Q200" i="1"/>
  <c r="Q188" i="1"/>
  <c r="Q176" i="1"/>
  <c r="Q167" i="1"/>
  <c r="Q155" i="1"/>
  <c r="Q143" i="1"/>
  <c r="Q131" i="1"/>
  <c r="Q119" i="1"/>
  <c r="Q107" i="1"/>
  <c r="Q95" i="1"/>
  <c r="Q83" i="1"/>
  <c r="Q71" i="1"/>
  <c r="Q59" i="1"/>
  <c r="Q47" i="1"/>
  <c r="Q35" i="1"/>
  <c r="Q23" i="1"/>
  <c r="Q11" i="1"/>
  <c r="Q154" i="1"/>
  <c r="Q142" i="1"/>
  <c r="Q130" i="1"/>
  <c r="Q118" i="1"/>
  <c r="Q106" i="1"/>
  <c r="Q94" i="1"/>
  <c r="Q82" i="1"/>
  <c r="Q70" i="1"/>
  <c r="Q58" i="1"/>
  <c r="Q46" i="1"/>
  <c r="Q34" i="1"/>
  <c r="Q22" i="1"/>
  <c r="Q10" i="1"/>
  <c r="Q177" i="1"/>
  <c r="Q165" i="1"/>
  <c r="Q153" i="1"/>
  <c r="Q141" i="1"/>
  <c r="Q129" i="1"/>
  <c r="Q117" i="1"/>
  <c r="Q105" i="1"/>
  <c r="Q93" i="1"/>
  <c r="Q81" i="1"/>
  <c r="Q69" i="1"/>
  <c r="Q57" i="1"/>
  <c r="Q45" i="1"/>
  <c r="Q33" i="1"/>
  <c r="Q21" i="1"/>
  <c r="Q9" i="1"/>
  <c r="Q164" i="1"/>
  <c r="Q152" i="1"/>
  <c r="Q140" i="1"/>
  <c r="Q128" i="1"/>
  <c r="Q116" i="1"/>
  <c r="Q104" i="1"/>
  <c r="Q92" i="1"/>
  <c r="Q80" i="1"/>
  <c r="Q68" i="1"/>
  <c r="Q56" i="1"/>
  <c r="Q44" i="1"/>
  <c r="Q32" i="1"/>
  <c r="Q20" i="1"/>
  <c r="Q8" i="1"/>
  <c r="Q151" i="1"/>
  <c r="Q139" i="1"/>
  <c r="Q127" i="1"/>
  <c r="Q115" i="1"/>
  <c r="Q103" i="1"/>
  <c r="Q91" i="1"/>
  <c r="Q79" i="1"/>
  <c r="Q67" i="1"/>
  <c r="Q55" i="1"/>
  <c r="Q43" i="1"/>
  <c r="Q31" i="1"/>
  <c r="Q19" i="1"/>
  <c r="Q7" i="1"/>
  <c r="Q138" i="1"/>
  <c r="Q126" i="1"/>
  <c r="Q114" i="1"/>
  <c r="Q102" i="1"/>
  <c r="Q90" i="1"/>
  <c r="Q78" i="1"/>
  <c r="Q66" i="1"/>
  <c r="Q54" i="1"/>
  <c r="Q42" i="1"/>
  <c r="Q30" i="1"/>
  <c r="Q18" i="1"/>
  <c r="Q6" i="1"/>
  <c r="Q149" i="1"/>
  <c r="Q137" i="1"/>
  <c r="Q125" i="1"/>
  <c r="Q113" i="1"/>
  <c r="Q101" i="1"/>
  <c r="Q89" i="1"/>
  <c r="Q77" i="1"/>
  <c r="Q65" i="1"/>
  <c r="Q53" i="1"/>
  <c r="Q41" i="1"/>
  <c r="Q29" i="1"/>
  <c r="Q17" i="1"/>
  <c r="Q5" i="1"/>
  <c r="Q160" i="1"/>
  <c r="Q148" i="1"/>
  <c r="Q136" i="1"/>
  <c r="Q124" i="1"/>
  <c r="Q112" i="1"/>
  <c r="Q100" i="1"/>
  <c r="Q88" i="1"/>
  <c r="Q76" i="1"/>
  <c r="Q64" i="1"/>
  <c r="Q52" i="1"/>
  <c r="Q40" i="1"/>
  <c r="Q28" i="1"/>
  <c r="Q16" i="1"/>
  <c r="Q4" i="1"/>
  <c r="O2" i="1"/>
  <c r="O14" i="1"/>
  <c r="O26" i="1"/>
  <c r="O38" i="1"/>
  <c r="O50" i="1"/>
  <c r="O62" i="1"/>
  <c r="O74" i="1"/>
  <c r="O86" i="1"/>
  <c r="O98" i="1"/>
  <c r="O110" i="1"/>
  <c r="O122" i="1"/>
  <c r="O134" i="1"/>
  <c r="O146" i="1"/>
  <c r="O158" i="1"/>
  <c r="O170" i="1"/>
  <c r="O182" i="1"/>
  <c r="O194" i="1"/>
  <c r="O206" i="1"/>
  <c r="O218" i="1"/>
  <c r="O230" i="1"/>
  <c r="O242" i="1"/>
  <c r="O254" i="1"/>
  <c r="O266" i="1"/>
  <c r="O278" i="1"/>
  <c r="O290" i="1"/>
  <c r="O302" i="1"/>
  <c r="O314" i="1"/>
  <c r="O326" i="1"/>
  <c r="O338" i="1"/>
  <c r="O350" i="1"/>
  <c r="O362" i="1"/>
  <c r="O374" i="1"/>
  <c r="O386" i="1"/>
  <c r="O398" i="1"/>
  <c r="O410" i="1"/>
  <c r="O422" i="1"/>
  <c r="O434" i="1"/>
  <c r="O446" i="1"/>
  <c r="O458" i="1"/>
  <c r="O470" i="1"/>
  <c r="O482" i="1"/>
  <c r="O494" i="1"/>
  <c r="O506" i="1"/>
  <c r="O518" i="1"/>
  <c r="O530" i="1"/>
  <c r="O542" i="1"/>
  <c r="O554" i="1"/>
  <c r="O566" i="1"/>
  <c r="O578" i="1"/>
  <c r="O590" i="1"/>
  <c r="O602" i="1"/>
  <c r="O614" i="1"/>
  <c r="O626" i="1"/>
  <c r="O638" i="1"/>
  <c r="O650" i="1"/>
  <c r="O662" i="1"/>
  <c r="O674" i="1"/>
  <c r="O686" i="1"/>
  <c r="O698" i="1"/>
  <c r="O710" i="1"/>
  <c r="O722" i="1"/>
  <c r="O734" i="1"/>
  <c r="O746" i="1"/>
  <c r="O758" i="1"/>
  <c r="O770" i="1"/>
  <c r="O782" i="1"/>
  <c r="O794" i="1"/>
  <c r="O806" i="1"/>
  <c r="O818" i="1"/>
  <c r="O830" i="1"/>
  <c r="O842" i="1"/>
  <c r="O854" i="1"/>
  <c r="O866" i="1"/>
  <c r="O878" i="1"/>
  <c r="O890" i="1"/>
  <c r="O902" i="1"/>
  <c r="O914" i="1"/>
  <c r="O926" i="1"/>
  <c r="O938" i="1"/>
  <c r="O950" i="1"/>
  <c r="O962" i="1"/>
  <c r="O974" i="1"/>
  <c r="O986" i="1"/>
  <c r="O998" i="1"/>
  <c r="O1010" i="1"/>
  <c r="O3" i="1"/>
  <c r="O15" i="1"/>
  <c r="O27" i="1"/>
  <c r="O39" i="1"/>
  <c r="O51" i="1"/>
  <c r="O63" i="1"/>
  <c r="O75" i="1"/>
  <c r="O87" i="1"/>
  <c r="O99" i="1"/>
  <c r="O111" i="1"/>
  <c r="O123" i="1"/>
  <c r="O135" i="1"/>
  <c r="O147" i="1"/>
  <c r="O159" i="1"/>
  <c r="O171" i="1"/>
  <c r="O183" i="1"/>
  <c r="O195" i="1"/>
  <c r="O207" i="1"/>
  <c r="O219" i="1"/>
  <c r="O231" i="1"/>
  <c r="O243" i="1"/>
  <c r="O255" i="1"/>
  <c r="O267" i="1"/>
  <c r="O279" i="1"/>
  <c r="O291" i="1"/>
  <c r="O303" i="1"/>
  <c r="O315" i="1"/>
  <c r="O327" i="1"/>
  <c r="O339" i="1"/>
  <c r="O351" i="1"/>
  <c r="O363" i="1"/>
  <c r="O375" i="1"/>
  <c r="O387" i="1"/>
  <c r="O399" i="1"/>
  <c r="O4" i="1"/>
  <c r="O5" i="1"/>
  <c r="O6" i="1"/>
  <c r="O7" i="1"/>
  <c r="O8" i="1"/>
  <c r="O9" i="1"/>
  <c r="O12" i="1"/>
  <c r="O13" i="1"/>
  <c r="O10" i="1"/>
  <c r="O28" i="1"/>
  <c r="O42" i="1"/>
  <c r="O56" i="1"/>
  <c r="O70" i="1"/>
  <c r="O84" i="1"/>
  <c r="O100" i="1"/>
  <c r="O114" i="1"/>
  <c r="O128" i="1"/>
  <c r="O142" i="1"/>
  <c r="O156" i="1"/>
  <c r="O172" i="1"/>
  <c r="O186" i="1"/>
  <c r="O200" i="1"/>
  <c r="O11" i="1"/>
  <c r="O29" i="1"/>
  <c r="O43" i="1"/>
  <c r="O57" i="1"/>
  <c r="O71" i="1"/>
  <c r="O85" i="1"/>
  <c r="O101" i="1"/>
  <c r="O115" i="1"/>
  <c r="O129" i="1"/>
  <c r="O143" i="1"/>
  <c r="O157" i="1"/>
  <c r="O173" i="1"/>
  <c r="O187" i="1"/>
  <c r="O201" i="1"/>
  <c r="O215" i="1"/>
  <c r="O229" i="1"/>
  <c r="O245" i="1"/>
  <c r="O259" i="1"/>
  <c r="O273" i="1"/>
  <c r="O287" i="1"/>
  <c r="O301" i="1"/>
  <c r="O317" i="1"/>
  <c r="O331" i="1"/>
  <c r="O345" i="1"/>
  <c r="O359" i="1"/>
  <c r="O373" i="1"/>
  <c r="O389" i="1"/>
  <c r="O403" i="1"/>
  <c r="O416" i="1"/>
  <c r="O429" i="1"/>
  <c r="O442" i="1"/>
  <c r="O455" i="1"/>
  <c r="O468" i="1"/>
  <c r="O481" i="1"/>
  <c r="O495" i="1"/>
  <c r="O508" i="1"/>
  <c r="O521" i="1"/>
  <c r="O534" i="1"/>
  <c r="O547" i="1"/>
  <c r="O560" i="1"/>
  <c r="O573" i="1"/>
  <c r="O586" i="1"/>
  <c r="O599" i="1"/>
  <c r="O612" i="1"/>
  <c r="O625" i="1"/>
  <c r="O639" i="1"/>
  <c r="O652" i="1"/>
  <c r="O665" i="1"/>
  <c r="O678" i="1"/>
  <c r="O691" i="1"/>
  <c r="O704" i="1"/>
  <c r="O717" i="1"/>
  <c r="O730" i="1"/>
  <c r="O743" i="1"/>
  <c r="O756" i="1"/>
  <c r="O769" i="1"/>
  <c r="O783" i="1"/>
  <c r="O796" i="1"/>
  <c r="O809" i="1"/>
  <c r="O822" i="1"/>
  <c r="O835" i="1"/>
  <c r="O848" i="1"/>
  <c r="O861" i="1"/>
  <c r="O874" i="1"/>
  <c r="O887" i="1"/>
  <c r="O900" i="1"/>
  <c r="O913" i="1"/>
  <c r="O927" i="1"/>
  <c r="O940" i="1"/>
  <c r="O953" i="1"/>
  <c r="O966" i="1"/>
  <c r="O979" i="1"/>
  <c r="O16" i="1"/>
  <c r="O30" i="1"/>
  <c r="O44" i="1"/>
  <c r="O58" i="1"/>
  <c r="O72" i="1"/>
  <c r="O88" i="1"/>
  <c r="O102" i="1"/>
  <c r="O116" i="1"/>
  <c r="O130" i="1"/>
  <c r="O144" i="1"/>
  <c r="O160" i="1"/>
  <c r="O174" i="1"/>
  <c r="O188" i="1"/>
  <c r="O202" i="1"/>
  <c r="O216" i="1"/>
  <c r="O232" i="1"/>
  <c r="O246" i="1"/>
  <c r="O260" i="1"/>
  <c r="O274" i="1"/>
  <c r="O288" i="1"/>
  <c r="O304" i="1"/>
  <c r="O318" i="1"/>
  <c r="O332" i="1"/>
  <c r="O346" i="1"/>
  <c r="O360" i="1"/>
  <c r="O376" i="1"/>
  <c r="O390" i="1"/>
  <c r="O404" i="1"/>
  <c r="O417" i="1"/>
  <c r="O430" i="1"/>
  <c r="O443" i="1"/>
  <c r="O456" i="1"/>
  <c r="O469" i="1"/>
  <c r="O483" i="1"/>
  <c r="O496" i="1"/>
  <c r="O509" i="1"/>
  <c r="O522" i="1"/>
  <c r="O535" i="1"/>
  <c r="O548" i="1"/>
  <c r="O561" i="1"/>
  <c r="O574" i="1"/>
  <c r="O587" i="1"/>
  <c r="O600" i="1"/>
  <c r="O613" i="1"/>
  <c r="O627" i="1"/>
  <c r="O640" i="1"/>
  <c r="O653" i="1"/>
  <c r="O666" i="1"/>
  <c r="O679" i="1"/>
  <c r="O692" i="1"/>
  <c r="O705" i="1"/>
  <c r="O718" i="1"/>
  <c r="O731" i="1"/>
  <c r="O744" i="1"/>
  <c r="O757" i="1"/>
  <c r="O771" i="1"/>
  <c r="O784" i="1"/>
  <c r="O797" i="1"/>
  <c r="O810" i="1"/>
  <c r="O823" i="1"/>
  <c r="O836" i="1"/>
  <c r="O849" i="1"/>
  <c r="O862" i="1"/>
  <c r="O875" i="1"/>
  <c r="O888" i="1"/>
  <c r="O901" i="1"/>
  <c r="O915" i="1"/>
  <c r="O928" i="1"/>
  <c r="O941" i="1"/>
  <c r="O954" i="1"/>
  <c r="O967" i="1"/>
  <c r="O980" i="1"/>
  <c r="O993" i="1"/>
  <c r="O1006" i="1"/>
  <c r="O1019" i="1"/>
  <c r="O1031" i="1"/>
  <c r="O1043" i="1"/>
  <c r="O1055" i="1"/>
  <c r="O1067" i="1"/>
  <c r="O1079" i="1"/>
  <c r="O1091" i="1"/>
  <c r="O1103" i="1"/>
  <c r="O1115" i="1"/>
  <c r="O1127" i="1"/>
  <c r="O1139" i="1"/>
  <c r="O17" i="1"/>
  <c r="O31" i="1"/>
  <c r="O45" i="1"/>
  <c r="O59" i="1"/>
  <c r="O73" i="1"/>
  <c r="O89" i="1"/>
  <c r="O103" i="1"/>
  <c r="O117" i="1"/>
  <c r="O131" i="1"/>
  <c r="O145" i="1"/>
  <c r="O161" i="1"/>
  <c r="O175" i="1"/>
  <c r="O189" i="1"/>
  <c r="O203" i="1"/>
  <c r="O217" i="1"/>
  <c r="O233" i="1"/>
  <c r="O247" i="1"/>
  <c r="O261" i="1"/>
  <c r="O275" i="1"/>
  <c r="O289" i="1"/>
  <c r="O305" i="1"/>
  <c r="O319" i="1"/>
  <c r="O333" i="1"/>
  <c r="O347" i="1"/>
  <c r="O361" i="1"/>
  <c r="O377" i="1"/>
  <c r="O391" i="1"/>
  <c r="O405" i="1"/>
  <c r="O418" i="1"/>
  <c r="O431" i="1"/>
  <c r="O444" i="1"/>
  <c r="O457" i="1"/>
  <c r="O471" i="1"/>
  <c r="O484" i="1"/>
  <c r="O497" i="1"/>
  <c r="O510" i="1"/>
  <c r="O523" i="1"/>
  <c r="O536" i="1"/>
  <c r="O549" i="1"/>
  <c r="O562" i="1"/>
  <c r="O575" i="1"/>
  <c r="O588" i="1"/>
  <c r="O601" i="1"/>
  <c r="O615" i="1"/>
  <c r="O628" i="1"/>
  <c r="O641" i="1"/>
  <c r="O654" i="1"/>
  <c r="O667" i="1"/>
  <c r="O680" i="1"/>
  <c r="O693" i="1"/>
  <c r="O706" i="1"/>
  <c r="O719" i="1"/>
  <c r="O732" i="1"/>
  <c r="O745" i="1"/>
  <c r="O18" i="1"/>
  <c r="O32" i="1"/>
  <c r="O46" i="1"/>
  <c r="O60" i="1"/>
  <c r="O76" i="1"/>
  <c r="O90" i="1"/>
  <c r="O104" i="1"/>
  <c r="O118" i="1"/>
  <c r="O132" i="1"/>
  <c r="O148" i="1"/>
  <c r="O162" i="1"/>
  <c r="O176" i="1"/>
  <c r="O190" i="1"/>
  <c r="O204" i="1"/>
  <c r="O220" i="1"/>
  <c r="O234" i="1"/>
  <c r="O248" i="1"/>
  <c r="O262" i="1"/>
  <c r="O276" i="1"/>
  <c r="O292" i="1"/>
  <c r="O306" i="1"/>
  <c r="O320" i="1"/>
  <c r="O334" i="1"/>
  <c r="O348" i="1"/>
  <c r="O364" i="1"/>
  <c r="O378" i="1"/>
  <c r="O392" i="1"/>
  <c r="O406" i="1"/>
  <c r="O419" i="1"/>
  <c r="O432" i="1"/>
  <c r="O445" i="1"/>
  <c r="O459" i="1"/>
  <c r="O472" i="1"/>
  <c r="O485" i="1"/>
  <c r="O498" i="1"/>
  <c r="O511" i="1"/>
  <c r="O524" i="1"/>
  <c r="O537" i="1"/>
  <c r="O550" i="1"/>
  <c r="O563" i="1"/>
  <c r="O576" i="1"/>
  <c r="O589" i="1"/>
  <c r="O603" i="1"/>
  <c r="O616" i="1"/>
  <c r="O629" i="1"/>
  <c r="O642" i="1"/>
  <c r="O655" i="1"/>
  <c r="O668" i="1"/>
  <c r="O681" i="1"/>
  <c r="O694" i="1"/>
  <c r="O707" i="1"/>
  <c r="O720" i="1"/>
  <c r="O733" i="1"/>
  <c r="O747" i="1"/>
  <c r="O760" i="1"/>
  <c r="O773" i="1"/>
  <c r="O786" i="1"/>
  <c r="O799" i="1"/>
  <c r="O812" i="1"/>
  <c r="O825" i="1"/>
  <c r="O838" i="1"/>
  <c r="O851" i="1"/>
  <c r="O864" i="1"/>
  <c r="O877" i="1"/>
  <c r="O891" i="1"/>
  <c r="O904" i="1"/>
  <c r="O19" i="1"/>
  <c r="O33" i="1"/>
  <c r="O47" i="1"/>
  <c r="O61" i="1"/>
  <c r="O77" i="1"/>
  <c r="O91" i="1"/>
  <c r="O105" i="1"/>
  <c r="O119" i="1"/>
  <c r="O133" i="1"/>
  <c r="O149" i="1"/>
  <c r="O163" i="1"/>
  <c r="O177" i="1"/>
  <c r="O191" i="1"/>
  <c r="O205" i="1"/>
  <c r="O221" i="1"/>
  <c r="O235" i="1"/>
  <c r="O249" i="1"/>
  <c r="O263" i="1"/>
  <c r="O277" i="1"/>
  <c r="O293" i="1"/>
  <c r="O307" i="1"/>
  <c r="O321" i="1"/>
  <c r="O335" i="1"/>
  <c r="O349" i="1"/>
  <c r="O365" i="1"/>
  <c r="O379" i="1"/>
  <c r="O393" i="1"/>
  <c r="O407" i="1"/>
  <c r="O420" i="1"/>
  <c r="O433" i="1"/>
  <c r="O447" i="1"/>
  <c r="O460" i="1"/>
  <c r="O473" i="1"/>
  <c r="O486" i="1"/>
  <c r="O499" i="1"/>
  <c r="O512" i="1"/>
  <c r="O525" i="1"/>
  <c r="O538" i="1"/>
  <c r="O551" i="1"/>
  <c r="O564" i="1"/>
  <c r="O577" i="1"/>
  <c r="O591" i="1"/>
  <c r="O604" i="1"/>
  <c r="O617" i="1"/>
  <c r="O630" i="1"/>
  <c r="O643" i="1"/>
  <c r="O656" i="1"/>
  <c r="O669" i="1"/>
  <c r="O682" i="1"/>
  <c r="O695" i="1"/>
  <c r="O20" i="1"/>
  <c r="O34" i="1"/>
  <c r="O48" i="1"/>
  <c r="O64" i="1"/>
  <c r="O78" i="1"/>
  <c r="O92" i="1"/>
  <c r="O106" i="1"/>
  <c r="O120" i="1"/>
  <c r="O136" i="1"/>
  <c r="O150" i="1"/>
  <c r="O164" i="1"/>
  <c r="O178" i="1"/>
  <c r="O192" i="1"/>
  <c r="O208" i="1"/>
  <c r="O222" i="1"/>
  <c r="O236" i="1"/>
  <c r="O250" i="1"/>
  <c r="O264" i="1"/>
  <c r="O280" i="1"/>
  <c r="O294" i="1"/>
  <c r="O308" i="1"/>
  <c r="O322" i="1"/>
  <c r="O336" i="1"/>
  <c r="O352" i="1"/>
  <c r="O366" i="1"/>
  <c r="O380" i="1"/>
  <c r="O394" i="1"/>
  <c r="O408" i="1"/>
  <c r="O421" i="1"/>
  <c r="O435" i="1"/>
  <c r="O448" i="1"/>
  <c r="O461" i="1"/>
  <c r="O474" i="1"/>
  <c r="O487" i="1"/>
  <c r="O500" i="1"/>
  <c r="O513" i="1"/>
  <c r="O526" i="1"/>
  <c r="O539" i="1"/>
  <c r="O552" i="1"/>
  <c r="O565" i="1"/>
  <c r="O579" i="1"/>
  <c r="O592" i="1"/>
  <c r="O605" i="1"/>
  <c r="O618" i="1"/>
  <c r="O631" i="1"/>
  <c r="O644" i="1"/>
  <c r="O657" i="1"/>
  <c r="O670" i="1"/>
  <c r="O683" i="1"/>
  <c r="O696" i="1"/>
  <c r="O709" i="1"/>
  <c r="O723" i="1"/>
  <c r="O736" i="1"/>
  <c r="O749" i="1"/>
  <c r="O762" i="1"/>
  <c r="O775" i="1"/>
  <c r="O788" i="1"/>
  <c r="O801" i="1"/>
  <c r="O814" i="1"/>
  <c r="O827" i="1"/>
  <c r="O840" i="1"/>
  <c r="O853" i="1"/>
  <c r="O867" i="1"/>
  <c r="O880" i="1"/>
  <c r="O893" i="1"/>
  <c r="O906" i="1"/>
  <c r="O919" i="1"/>
  <c r="O932" i="1"/>
  <c r="O945" i="1"/>
  <c r="O958" i="1"/>
  <c r="O971" i="1"/>
  <c r="O984" i="1"/>
  <c r="O997" i="1"/>
  <c r="O1011" i="1"/>
  <c r="O1023" i="1"/>
  <c r="O1035" i="1"/>
  <c r="O1047" i="1"/>
  <c r="O1059" i="1"/>
  <c r="O1071" i="1"/>
  <c r="O1083" i="1"/>
  <c r="O1095" i="1"/>
  <c r="O1107" i="1"/>
  <c r="O1119" i="1"/>
  <c r="O1131" i="1"/>
  <c r="O1143" i="1"/>
  <c r="O21" i="1"/>
  <c r="O35" i="1"/>
  <c r="O49" i="1"/>
  <c r="O65" i="1"/>
  <c r="O79" i="1"/>
  <c r="O93" i="1"/>
  <c r="O107" i="1"/>
  <c r="O121" i="1"/>
  <c r="O137" i="1"/>
  <c r="O151" i="1"/>
  <c r="O165" i="1"/>
  <c r="O179" i="1"/>
  <c r="O193" i="1"/>
  <c r="O209" i="1"/>
  <c r="O223" i="1"/>
  <c r="O237" i="1"/>
  <c r="O251" i="1"/>
  <c r="O265" i="1"/>
  <c r="O281" i="1"/>
  <c r="O295" i="1"/>
  <c r="O309" i="1"/>
  <c r="O323" i="1"/>
  <c r="O337" i="1"/>
  <c r="O353" i="1"/>
  <c r="O367" i="1"/>
  <c r="O381" i="1"/>
  <c r="O395" i="1"/>
  <c r="O409" i="1"/>
  <c r="O423" i="1"/>
  <c r="O436" i="1"/>
  <c r="O449" i="1"/>
  <c r="O462" i="1"/>
  <c r="O475" i="1"/>
  <c r="O488" i="1"/>
  <c r="O501" i="1"/>
  <c r="O514" i="1"/>
  <c r="O527" i="1"/>
  <c r="O540" i="1"/>
  <c r="O553" i="1"/>
  <c r="O567" i="1"/>
  <c r="O580" i="1"/>
  <c r="O593" i="1"/>
  <c r="O606" i="1"/>
  <c r="O619" i="1"/>
  <c r="O632" i="1"/>
  <c r="O645" i="1"/>
  <c r="O658" i="1"/>
  <c r="O671" i="1"/>
  <c r="O684" i="1"/>
  <c r="O697" i="1"/>
  <c r="O711" i="1"/>
  <c r="O724" i="1"/>
  <c r="O737" i="1"/>
  <c r="O750" i="1"/>
  <c r="O763" i="1"/>
  <c r="O776" i="1"/>
  <c r="O789" i="1"/>
  <c r="O802" i="1"/>
  <c r="O815" i="1"/>
  <c r="O828" i="1"/>
  <c r="O841" i="1"/>
  <c r="O855" i="1"/>
  <c r="O868" i="1"/>
  <c r="O881" i="1"/>
  <c r="O894" i="1"/>
  <c r="O907" i="1"/>
  <c r="O920" i="1"/>
  <c r="O933" i="1"/>
  <c r="O946" i="1"/>
  <c r="O1595" i="1"/>
  <c r="O1583" i="1"/>
  <c r="O1571" i="1"/>
  <c r="O1559" i="1"/>
  <c r="O1547" i="1"/>
  <c r="O1535" i="1"/>
  <c r="O1523" i="1"/>
  <c r="O1511" i="1"/>
  <c r="O1499" i="1"/>
  <c r="O1487" i="1"/>
  <c r="O1475" i="1"/>
  <c r="O1463" i="1"/>
  <c r="O1451" i="1"/>
  <c r="O1439" i="1"/>
  <c r="O1427" i="1"/>
  <c r="O1415" i="1"/>
  <c r="O1403" i="1"/>
  <c r="O1391" i="1"/>
  <c r="O1379" i="1"/>
  <c r="O1367" i="1"/>
  <c r="O1355" i="1"/>
  <c r="O1343" i="1"/>
  <c r="O1331" i="1"/>
  <c r="O1319" i="1"/>
  <c r="O1307" i="1"/>
  <c r="O1295" i="1"/>
  <c r="O1283" i="1"/>
  <c r="O1271" i="1"/>
  <c r="O1259" i="1"/>
  <c r="O1247" i="1"/>
  <c r="O1235" i="1"/>
  <c r="O1223" i="1"/>
  <c r="O1211" i="1"/>
  <c r="O1199" i="1"/>
  <c r="O1187" i="1"/>
  <c r="O1175" i="1"/>
  <c r="O1163" i="1"/>
  <c r="O1151" i="1"/>
  <c r="O1137" i="1"/>
  <c r="O1123" i="1"/>
  <c r="O1109" i="1"/>
  <c r="O1094" i="1"/>
  <c r="O1080" i="1"/>
  <c r="O1065" i="1"/>
  <c r="O1051" i="1"/>
  <c r="O1037" i="1"/>
  <c r="O1022" i="1"/>
  <c r="O1007" i="1"/>
  <c r="O991" i="1"/>
  <c r="O975" i="1"/>
  <c r="O957" i="1"/>
  <c r="O937" i="1"/>
  <c r="O918" i="1"/>
  <c r="O897" i="1"/>
  <c r="O873" i="1"/>
  <c r="O852" i="1"/>
  <c r="O831" i="1"/>
  <c r="O807" i="1"/>
  <c r="O785" i="1"/>
  <c r="O764" i="1"/>
  <c r="O739" i="1"/>
  <c r="O713" i="1"/>
  <c r="O685" i="1"/>
  <c r="O649" i="1"/>
  <c r="O621" i="1"/>
  <c r="O585" i="1"/>
  <c r="O557" i="1"/>
  <c r="O528" i="1"/>
  <c r="O492" i="1"/>
  <c r="O464" i="1"/>
  <c r="O428" i="1"/>
  <c r="O400" i="1"/>
  <c r="O368" i="1"/>
  <c r="O329" i="1"/>
  <c r="O297" i="1"/>
  <c r="O258" i="1"/>
  <c r="O226" i="1"/>
  <c r="O185" i="1"/>
  <c r="O141" i="1"/>
  <c r="O97" i="1"/>
  <c r="O55" i="1"/>
  <c r="O1594" i="1"/>
  <c r="O1582" i="1"/>
  <c r="O1570" i="1"/>
  <c r="O1558" i="1"/>
  <c r="O1546" i="1"/>
  <c r="O1534" i="1"/>
  <c r="O1522" i="1"/>
  <c r="O1510" i="1"/>
  <c r="O1498" i="1"/>
  <c r="O1486" i="1"/>
  <c r="O1474" i="1"/>
  <c r="O1462" i="1"/>
  <c r="O1450" i="1"/>
  <c r="O1438" i="1"/>
  <c r="O1426" i="1"/>
  <c r="O1414" i="1"/>
  <c r="O1402" i="1"/>
  <c r="O1390" i="1"/>
  <c r="O1378" i="1"/>
  <c r="O1366" i="1"/>
  <c r="O1354" i="1"/>
  <c r="O1342" i="1"/>
  <c r="O1330" i="1"/>
  <c r="O1318" i="1"/>
  <c r="O1306" i="1"/>
  <c r="O1294" i="1"/>
  <c r="O1282" i="1"/>
  <c r="O1270" i="1"/>
  <c r="O1258" i="1"/>
  <c r="O1246" i="1"/>
  <c r="O1234" i="1"/>
  <c r="O1222" i="1"/>
  <c r="O1210" i="1"/>
  <c r="O1198" i="1"/>
  <c r="O1186" i="1"/>
  <c r="O1174" i="1"/>
  <c r="O1162" i="1"/>
  <c r="O1150" i="1"/>
  <c r="O1136" i="1"/>
  <c r="O1122" i="1"/>
  <c r="O1108" i="1"/>
  <c r="O1093" i="1"/>
  <c r="O1078" i="1"/>
  <c r="O1064" i="1"/>
  <c r="O1050" i="1"/>
  <c r="O1036" i="1"/>
  <c r="O1021" i="1"/>
  <c r="O1005" i="1"/>
  <c r="O990" i="1"/>
  <c r="O973" i="1"/>
  <c r="O956" i="1"/>
  <c r="O936" i="1"/>
  <c r="O917" i="1"/>
  <c r="O896" i="1"/>
  <c r="O872" i="1"/>
  <c r="O850" i="1"/>
  <c r="O829" i="1"/>
  <c r="O805" i="1"/>
  <c r="O781" i="1"/>
  <c r="O761" i="1"/>
  <c r="O738" i="1"/>
  <c r="O712" i="1"/>
  <c r="O677" i="1"/>
  <c r="O648" i="1"/>
  <c r="O620" i="1"/>
  <c r="O584" i="1"/>
  <c r="O556" i="1"/>
  <c r="O520" i="1"/>
  <c r="O491" i="1"/>
  <c r="O463" i="1"/>
  <c r="O427" i="1"/>
  <c r="O397" i="1"/>
  <c r="O358" i="1"/>
  <c r="O328" i="1"/>
  <c r="O296" i="1"/>
  <c r="O257" i="1"/>
  <c r="O225" i="1"/>
  <c r="O184" i="1"/>
  <c r="O140" i="1"/>
  <c r="O96" i="1"/>
  <c r="O54" i="1"/>
  <c r="O1593" i="1"/>
  <c r="O1581" i="1"/>
  <c r="O1569" i="1"/>
  <c r="O1557" i="1"/>
  <c r="O1545" i="1"/>
  <c r="O1533" i="1"/>
  <c r="O1521" i="1"/>
  <c r="O1509" i="1"/>
  <c r="O1497" i="1"/>
  <c r="O1485" i="1"/>
  <c r="O1473" i="1"/>
  <c r="O1461" i="1"/>
  <c r="O1449" i="1"/>
  <c r="O1437" i="1"/>
  <c r="O1425" i="1"/>
  <c r="O1413" i="1"/>
  <c r="O1401" i="1"/>
  <c r="O1389" i="1"/>
  <c r="O1377" i="1"/>
  <c r="O1365" i="1"/>
  <c r="O1353" i="1"/>
  <c r="O1341" i="1"/>
  <c r="O1329" i="1"/>
  <c r="O1317" i="1"/>
  <c r="O1305" i="1"/>
  <c r="O1293" i="1"/>
  <c r="O1281" i="1"/>
  <c r="O1269" i="1"/>
  <c r="O1257" i="1"/>
  <c r="O1245" i="1"/>
  <c r="O1233" i="1"/>
  <c r="O1221" i="1"/>
  <c r="O1209" i="1"/>
  <c r="O1197" i="1"/>
  <c r="O1185" i="1"/>
  <c r="O1173" i="1"/>
  <c r="O1161" i="1"/>
  <c r="O1149" i="1"/>
  <c r="O1135" i="1"/>
  <c r="O1121" i="1"/>
  <c r="O1106" i="1"/>
  <c r="O1092" i="1"/>
  <c r="O1077" i="1"/>
  <c r="O1063" i="1"/>
  <c r="O1049" i="1"/>
  <c r="O1034" i="1"/>
  <c r="O1020" i="1"/>
  <c r="O1004" i="1"/>
  <c r="O989" i="1"/>
  <c r="O972" i="1"/>
  <c r="O955" i="1"/>
  <c r="O935" i="1"/>
  <c r="O916" i="1"/>
  <c r="O895" i="1"/>
  <c r="O871" i="1"/>
  <c r="O847" i="1"/>
  <c r="O826" i="1"/>
  <c r="O804" i="1"/>
  <c r="O780" i="1"/>
  <c r="O759" i="1"/>
  <c r="O735" i="1"/>
  <c r="O708" i="1"/>
  <c r="O676" i="1"/>
  <c r="O647" i="1"/>
  <c r="O611" i="1"/>
  <c r="O583" i="1"/>
  <c r="O555" i="1"/>
  <c r="O519" i="1"/>
  <c r="O490" i="1"/>
  <c r="O454" i="1"/>
  <c r="O426" i="1"/>
  <c r="O396" i="1"/>
  <c r="O357" i="1"/>
  <c r="O325" i="1"/>
  <c r="O286" i="1"/>
  <c r="O256" i="1"/>
  <c r="O224" i="1"/>
  <c r="O181" i="1"/>
  <c r="O139" i="1"/>
  <c r="O95" i="1"/>
  <c r="O53" i="1"/>
  <c r="O1592" i="1"/>
  <c r="O1580" i="1"/>
  <c r="O1568" i="1"/>
  <c r="O1556" i="1"/>
  <c r="O1544" i="1"/>
  <c r="O1532" i="1"/>
  <c r="O1520" i="1"/>
  <c r="O1508" i="1"/>
  <c r="O1496" i="1"/>
  <c r="O1484" i="1"/>
  <c r="O1472" i="1"/>
  <c r="O1460" i="1"/>
  <c r="O1448" i="1"/>
  <c r="O1436" i="1"/>
  <c r="O1424" i="1"/>
  <c r="O1412" i="1"/>
  <c r="O1400" i="1"/>
  <c r="O1388" i="1"/>
  <c r="O1376" i="1"/>
  <c r="O1364" i="1"/>
  <c r="O1352" i="1"/>
  <c r="O1340" i="1"/>
  <c r="O1328" i="1"/>
  <c r="O1316" i="1"/>
  <c r="O1304" i="1"/>
  <c r="O1292" i="1"/>
  <c r="O1280" i="1"/>
  <c r="O1268" i="1"/>
  <c r="O1256" i="1"/>
  <c r="O1244" i="1"/>
  <c r="O1232" i="1"/>
  <c r="O1220" i="1"/>
  <c r="O1208" i="1"/>
  <c r="O1196" i="1"/>
  <c r="O1184" i="1"/>
  <c r="O1172" i="1"/>
  <c r="O1160" i="1"/>
  <c r="O1148" i="1"/>
  <c r="O1134" i="1"/>
  <c r="O1120" i="1"/>
  <c r="O1105" i="1"/>
  <c r="O1090" i="1"/>
  <c r="O1076" i="1"/>
  <c r="O1062" i="1"/>
  <c r="O1048" i="1"/>
  <c r="O1033" i="1"/>
  <c r="O1018" i="1"/>
  <c r="O1003" i="1"/>
  <c r="O988" i="1"/>
  <c r="O970" i="1"/>
  <c r="O952" i="1"/>
  <c r="O934" i="1"/>
  <c r="O912" i="1"/>
  <c r="O892" i="1"/>
  <c r="O870" i="1"/>
  <c r="O846" i="1"/>
  <c r="O824" i="1"/>
  <c r="O803" i="1"/>
  <c r="O779" i="1"/>
  <c r="O755" i="1"/>
  <c r="O729" i="1"/>
  <c r="O703" i="1"/>
  <c r="O675" i="1"/>
  <c r="O646" i="1"/>
  <c r="O610" i="1"/>
  <c r="O582" i="1"/>
  <c r="O546" i="1"/>
  <c r="O517" i="1"/>
  <c r="O489" i="1"/>
  <c r="O453" i="1"/>
  <c r="O425" i="1"/>
  <c r="O388" i="1"/>
  <c r="O356" i="1"/>
  <c r="O324" i="1"/>
  <c r="O285" i="1"/>
  <c r="O253" i="1"/>
  <c r="O214" i="1"/>
  <c r="O180" i="1"/>
  <c r="O138" i="1"/>
  <c r="O94" i="1"/>
  <c r="O52" i="1"/>
  <c r="O1591" i="1"/>
  <c r="O1579" i="1"/>
  <c r="O1567" i="1"/>
  <c r="O1555" i="1"/>
  <c r="O1543" i="1"/>
  <c r="O1531" i="1"/>
  <c r="O1519" i="1"/>
  <c r="O1507" i="1"/>
  <c r="O1495" i="1"/>
  <c r="O1483" i="1"/>
  <c r="O1471" i="1"/>
  <c r="O1459" i="1"/>
  <c r="O1447" i="1"/>
  <c r="O1435" i="1"/>
  <c r="O1423" i="1"/>
  <c r="O1411" i="1"/>
  <c r="O1399" i="1"/>
  <c r="O1387" i="1"/>
  <c r="O1375" i="1"/>
  <c r="O1363" i="1"/>
  <c r="O1351" i="1"/>
  <c r="O1339" i="1"/>
  <c r="O1327" i="1"/>
  <c r="O1315" i="1"/>
  <c r="O1303" i="1"/>
  <c r="O1291" i="1"/>
  <c r="O1279" i="1"/>
  <c r="O1267" i="1"/>
  <c r="O1255" i="1"/>
  <c r="O1243" i="1"/>
  <c r="O1231" i="1"/>
  <c r="O1219" i="1"/>
  <c r="O1207" i="1"/>
  <c r="O1195" i="1"/>
  <c r="O1183" i="1"/>
  <c r="O1171" i="1"/>
  <c r="O1159" i="1"/>
  <c r="O1147" i="1"/>
  <c r="O1133" i="1"/>
  <c r="O1118" i="1"/>
  <c r="O1104" i="1"/>
  <c r="O1089" i="1"/>
  <c r="O1075" i="1"/>
  <c r="O1061" i="1"/>
  <c r="O1046" i="1"/>
  <c r="O1032" i="1"/>
  <c r="O1017" i="1"/>
  <c r="O1002" i="1"/>
  <c r="O987" i="1"/>
  <c r="O969" i="1"/>
  <c r="O951" i="1"/>
  <c r="O931" i="1"/>
  <c r="O911" i="1"/>
  <c r="O889" i="1"/>
  <c r="O869" i="1"/>
  <c r="O845" i="1"/>
  <c r="O821" i="1"/>
  <c r="O800" i="1"/>
  <c r="O778" i="1"/>
  <c r="O754" i="1"/>
  <c r="O728" i="1"/>
  <c r="O702" i="1"/>
  <c r="O673" i="1"/>
  <c r="O637" i="1"/>
  <c r="O609" i="1"/>
  <c r="O581" i="1"/>
  <c r="O545" i="1"/>
  <c r="O516" i="1"/>
  <c r="O480" i="1"/>
  <c r="O452" i="1"/>
  <c r="O424" i="1"/>
  <c r="O385" i="1"/>
  <c r="O355" i="1"/>
  <c r="O316" i="1"/>
  <c r="O284" i="1"/>
  <c r="O252" i="1"/>
  <c r="O213" i="1"/>
  <c r="O169" i="1"/>
  <c r="O127" i="1"/>
  <c r="O83" i="1"/>
  <c r="O41" i="1"/>
  <c r="O1590" i="1"/>
  <c r="O1578" i="1"/>
  <c r="O1566" i="1"/>
  <c r="O1554" i="1"/>
  <c r="O1542" i="1"/>
  <c r="O1530" i="1"/>
  <c r="O1518" i="1"/>
  <c r="O1506" i="1"/>
  <c r="O1494" i="1"/>
  <c r="O1482" i="1"/>
  <c r="O1470" i="1"/>
  <c r="O1458" i="1"/>
  <c r="O1446" i="1"/>
  <c r="O1434" i="1"/>
  <c r="O1422" i="1"/>
  <c r="O1410" i="1"/>
  <c r="O1398" i="1"/>
  <c r="O1386" i="1"/>
  <c r="O1374" i="1"/>
  <c r="O1362" i="1"/>
  <c r="O1350" i="1"/>
  <c r="O1338" i="1"/>
  <c r="O1326" i="1"/>
  <c r="O1314" i="1"/>
  <c r="O1302" i="1"/>
  <c r="O1290" i="1"/>
  <c r="O1278" i="1"/>
  <c r="O1266" i="1"/>
  <c r="O1254" i="1"/>
  <c r="O1242" i="1"/>
  <c r="O1230" i="1"/>
  <c r="O1218" i="1"/>
  <c r="O1206" i="1"/>
  <c r="O1194" i="1"/>
  <c r="O1182" i="1"/>
  <c r="O1170" i="1"/>
  <c r="O1158" i="1"/>
  <c r="O1146" i="1"/>
  <c r="O1132" i="1"/>
  <c r="O1117" i="1"/>
  <c r="O1102" i="1"/>
  <c r="O1088" i="1"/>
  <c r="O1074" i="1"/>
  <c r="O1060" i="1"/>
  <c r="O1045" i="1"/>
  <c r="O1030" i="1"/>
  <c r="O1016" i="1"/>
  <c r="O1001" i="1"/>
  <c r="O985" i="1"/>
  <c r="O968" i="1"/>
  <c r="O949" i="1"/>
  <c r="O930" i="1"/>
  <c r="O910" i="1"/>
  <c r="O886" i="1"/>
  <c r="O865" i="1"/>
  <c r="O844" i="1"/>
  <c r="O820" i="1"/>
  <c r="O798" i="1"/>
  <c r="O777" i="1"/>
  <c r="O753" i="1"/>
  <c r="O727" i="1"/>
  <c r="O701" i="1"/>
  <c r="O672" i="1"/>
  <c r="O636" i="1"/>
  <c r="O608" i="1"/>
  <c r="O572" i="1"/>
  <c r="O544" i="1"/>
  <c r="O515" i="1"/>
  <c r="O479" i="1"/>
  <c r="O451" i="1"/>
  <c r="O415" i="1"/>
  <c r="O384" i="1"/>
  <c r="O354" i="1"/>
  <c r="O313" i="1"/>
  <c r="O283" i="1"/>
  <c r="O244" i="1"/>
  <c r="O212" i="1"/>
  <c r="O168" i="1"/>
  <c r="O126" i="1"/>
  <c r="O82" i="1"/>
  <c r="O40" i="1"/>
  <c r="O1589" i="1"/>
  <c r="O1577" i="1"/>
  <c r="O1565" i="1"/>
  <c r="O1553" i="1"/>
  <c r="O1541" i="1"/>
  <c r="O1529" i="1"/>
  <c r="O1517" i="1"/>
  <c r="O1505" i="1"/>
  <c r="O1493" i="1"/>
  <c r="O1481" i="1"/>
  <c r="O1469" i="1"/>
  <c r="O1457" i="1"/>
  <c r="O1445" i="1"/>
  <c r="O1433" i="1"/>
  <c r="O1421" i="1"/>
  <c r="O1409" i="1"/>
  <c r="O1397" i="1"/>
  <c r="O1385" i="1"/>
  <c r="O1373" i="1"/>
  <c r="O1361" i="1"/>
  <c r="O1349" i="1"/>
  <c r="O1337" i="1"/>
  <c r="O1325" i="1"/>
  <c r="O1313" i="1"/>
  <c r="O1301" i="1"/>
  <c r="O1289" i="1"/>
  <c r="O1277" i="1"/>
  <c r="O1265" i="1"/>
  <c r="O1253" i="1"/>
  <c r="O1241" i="1"/>
  <c r="O1229" i="1"/>
  <c r="O1217" i="1"/>
  <c r="O1205" i="1"/>
  <c r="O1193" i="1"/>
  <c r="O1181" i="1"/>
  <c r="O1169" i="1"/>
  <c r="O1157" i="1"/>
  <c r="O1145" i="1"/>
  <c r="O1130" i="1"/>
  <c r="O1116" i="1"/>
  <c r="O1101" i="1"/>
  <c r="O1087" i="1"/>
  <c r="O1073" i="1"/>
  <c r="O1058" i="1"/>
  <c r="O1044" i="1"/>
  <c r="O1029" i="1"/>
  <c r="O1015" i="1"/>
  <c r="O1000" i="1"/>
  <c r="O983" i="1"/>
  <c r="O965" i="1"/>
  <c r="O948" i="1"/>
  <c r="O929" i="1"/>
  <c r="O909" i="1"/>
  <c r="O885" i="1"/>
  <c r="O863" i="1"/>
  <c r="O843" i="1"/>
  <c r="O819" i="1"/>
  <c r="O795" i="1"/>
  <c r="O774" i="1"/>
  <c r="O752" i="1"/>
  <c r="O726" i="1"/>
  <c r="O700" i="1"/>
  <c r="O664" i="1"/>
  <c r="O635" i="1"/>
  <c r="O607" i="1"/>
  <c r="O571" i="1"/>
  <c r="O543" i="1"/>
  <c r="O507" i="1"/>
  <c r="O478" i="1"/>
  <c r="O450" i="1"/>
  <c r="O414" i="1"/>
  <c r="O383" i="1"/>
  <c r="O344" i="1"/>
  <c r="O312" i="1"/>
  <c r="O282" i="1"/>
  <c r="O241" i="1"/>
  <c r="O211" i="1"/>
  <c r="O167" i="1"/>
  <c r="O125" i="1"/>
  <c r="O81" i="1"/>
  <c r="O37" i="1"/>
  <c r="O1600" i="1"/>
  <c r="O1588" i="1"/>
  <c r="O1576" i="1"/>
  <c r="O1564" i="1"/>
  <c r="O1552" i="1"/>
  <c r="O1540" i="1"/>
  <c r="O1528" i="1"/>
  <c r="O1516" i="1"/>
  <c r="O1504" i="1"/>
  <c r="O1492" i="1"/>
  <c r="O1480" i="1"/>
  <c r="O1468" i="1"/>
  <c r="O1456" i="1"/>
  <c r="O1444" i="1"/>
  <c r="O1432" i="1"/>
  <c r="O1420" i="1"/>
  <c r="O1408" i="1"/>
  <c r="O1396" i="1"/>
  <c r="O1384" i="1"/>
  <c r="O1372" i="1"/>
  <c r="O1360" i="1"/>
  <c r="O1348" i="1"/>
  <c r="O1336" i="1"/>
  <c r="O1324" i="1"/>
  <c r="O1312" i="1"/>
  <c r="O1300" i="1"/>
  <c r="O1288" i="1"/>
  <c r="O1276" i="1"/>
  <c r="O1264" i="1"/>
  <c r="O1252" i="1"/>
  <c r="O1240" i="1"/>
  <c r="O1228" i="1"/>
  <c r="O1216" i="1"/>
  <c r="O1204" i="1"/>
  <c r="O1192" i="1"/>
  <c r="O1180" i="1"/>
  <c r="O1168" i="1"/>
  <c r="O1156" i="1"/>
  <c r="O1144" i="1"/>
  <c r="O1129" i="1"/>
  <c r="O1114" i="1"/>
  <c r="O1100" i="1"/>
  <c r="O1086" i="1"/>
  <c r="O1072" i="1"/>
  <c r="O1057" i="1"/>
  <c r="O1042" i="1"/>
  <c r="O1028" i="1"/>
  <c r="O1014" i="1"/>
  <c r="O999" i="1"/>
  <c r="O982" i="1"/>
  <c r="O964" i="1"/>
  <c r="O947" i="1"/>
  <c r="O925" i="1"/>
  <c r="O908" i="1"/>
  <c r="O884" i="1"/>
  <c r="O860" i="1"/>
  <c r="O839" i="1"/>
  <c r="O817" i="1"/>
  <c r="O793" i="1"/>
  <c r="O772" i="1"/>
  <c r="O751" i="1"/>
  <c r="O725" i="1"/>
  <c r="O699" i="1"/>
  <c r="O663" i="1"/>
  <c r="O634" i="1"/>
  <c r="O598" i="1"/>
  <c r="O570" i="1"/>
  <c r="O541" i="1"/>
  <c r="O505" i="1"/>
  <c r="O477" i="1"/>
  <c r="O441" i="1"/>
  <c r="O413" i="1"/>
  <c r="O382" i="1"/>
  <c r="O343" i="1"/>
  <c r="O311" i="1"/>
  <c r="O272" i="1"/>
  <c r="O240" i="1"/>
  <c r="O210" i="1"/>
  <c r="O166" i="1"/>
  <c r="O124" i="1"/>
  <c r="O80" i="1"/>
  <c r="O36" i="1"/>
  <c r="O1599" i="1"/>
  <c r="O1587" i="1"/>
  <c r="O1575" i="1"/>
  <c r="O1563" i="1"/>
  <c r="O1551" i="1"/>
  <c r="O1539" i="1"/>
  <c r="O1527" i="1"/>
  <c r="O1515" i="1"/>
  <c r="O1503" i="1"/>
  <c r="O1491" i="1"/>
  <c r="O1479" i="1"/>
  <c r="O1467" i="1"/>
  <c r="O1455" i="1"/>
  <c r="O1443" i="1"/>
  <c r="O1431" i="1"/>
  <c r="O1419" i="1"/>
  <c r="O1407" i="1"/>
  <c r="O1395" i="1"/>
  <c r="O1383" i="1"/>
  <c r="O1371" i="1"/>
  <c r="O1359" i="1"/>
  <c r="O1347" i="1"/>
  <c r="O1335" i="1"/>
  <c r="O1323" i="1"/>
  <c r="O1311" i="1"/>
  <c r="O1299" i="1"/>
  <c r="O1287" i="1"/>
  <c r="O1275" i="1"/>
  <c r="O1263" i="1"/>
  <c r="O1251" i="1"/>
  <c r="O1239" i="1"/>
  <c r="O1227" i="1"/>
  <c r="O1215" i="1"/>
  <c r="O1203" i="1"/>
  <c r="O1191" i="1"/>
  <c r="O1179" i="1"/>
  <c r="O1167" i="1"/>
  <c r="O1155" i="1"/>
  <c r="O1142" i="1"/>
  <c r="O1128" i="1"/>
  <c r="O1113" i="1"/>
  <c r="O1099" i="1"/>
  <c r="O1085" i="1"/>
  <c r="O1070" i="1"/>
  <c r="O1056" i="1"/>
  <c r="O1041" i="1"/>
  <c r="O1027" i="1"/>
  <c r="O1013" i="1"/>
  <c r="O996" i="1"/>
  <c r="O981" i="1"/>
  <c r="O963" i="1"/>
  <c r="O944" i="1"/>
  <c r="O924" i="1"/>
  <c r="O905" i="1"/>
  <c r="O883" i="1"/>
  <c r="O859" i="1"/>
  <c r="O837" i="1"/>
  <c r="O816" i="1"/>
  <c r="O792" i="1"/>
  <c r="O768" i="1"/>
  <c r="O748" i="1"/>
  <c r="O721" i="1"/>
  <c r="O690" i="1"/>
  <c r="O661" i="1"/>
  <c r="O633" i="1"/>
  <c r="O597" i="1"/>
  <c r="O569" i="1"/>
  <c r="O533" i="1"/>
  <c r="O504" i="1"/>
  <c r="O476" i="1"/>
  <c r="O440" i="1"/>
  <c r="O412" i="1"/>
  <c r="O372" i="1"/>
  <c r="O342" i="1"/>
  <c r="O310" i="1"/>
  <c r="O271" i="1"/>
  <c r="O239" i="1"/>
  <c r="O199" i="1"/>
  <c r="O155" i="1"/>
  <c r="O113" i="1"/>
  <c r="O69" i="1"/>
  <c r="O25" i="1"/>
  <c r="O1598" i="1"/>
  <c r="O1586" i="1"/>
  <c r="O1574" i="1"/>
  <c r="O1562" i="1"/>
  <c r="O1550" i="1"/>
  <c r="O1538" i="1"/>
  <c r="O1526" i="1"/>
  <c r="O1514" i="1"/>
  <c r="O1502" i="1"/>
  <c r="O1490" i="1"/>
  <c r="O1478" i="1"/>
  <c r="O1466" i="1"/>
  <c r="O1454" i="1"/>
  <c r="O1442" i="1"/>
  <c r="O1430" i="1"/>
  <c r="O1418" i="1"/>
  <c r="O1406" i="1"/>
  <c r="O1394" i="1"/>
  <c r="O1382" i="1"/>
  <c r="O1370" i="1"/>
  <c r="O1358" i="1"/>
  <c r="O1346" i="1"/>
  <c r="O1334" i="1"/>
  <c r="O1322" i="1"/>
  <c r="O1310" i="1"/>
  <c r="O1298" i="1"/>
  <c r="O1286" i="1"/>
  <c r="O1274" i="1"/>
  <c r="O1262" i="1"/>
  <c r="O1250" i="1"/>
  <c r="O1238" i="1"/>
  <c r="O1226" i="1"/>
  <c r="O1214" i="1"/>
  <c r="O1202" i="1"/>
  <c r="O1190" i="1"/>
  <c r="O1178" i="1"/>
  <c r="O1166" i="1"/>
  <c r="O1154" i="1"/>
  <c r="O1141" i="1"/>
  <c r="O1126" i="1"/>
  <c r="O1112" i="1"/>
  <c r="O1098" i="1"/>
  <c r="O1084" i="1"/>
  <c r="O1069" i="1"/>
  <c r="O1054" i="1"/>
  <c r="O1040" i="1"/>
  <c r="O1026" i="1"/>
  <c r="O1012" i="1"/>
  <c r="O995" i="1"/>
  <c r="O978" i="1"/>
  <c r="O961" i="1"/>
  <c r="O943" i="1"/>
  <c r="O923" i="1"/>
  <c r="O903" i="1"/>
  <c r="O882" i="1"/>
  <c r="O858" i="1"/>
  <c r="O834" i="1"/>
  <c r="O813" i="1"/>
  <c r="O791" i="1"/>
  <c r="O767" i="1"/>
  <c r="O742" i="1"/>
  <c r="O716" i="1"/>
  <c r="O689" i="1"/>
  <c r="O660" i="1"/>
  <c r="O624" i="1"/>
  <c r="O596" i="1"/>
  <c r="O568" i="1"/>
  <c r="O532" i="1"/>
  <c r="O503" i="1"/>
  <c r="O467" i="1"/>
  <c r="O439" i="1"/>
  <c r="O411" i="1"/>
  <c r="O371" i="1"/>
  <c r="O341" i="1"/>
  <c r="O300" i="1"/>
  <c r="O270" i="1"/>
  <c r="O238" i="1"/>
  <c r="O198" i="1"/>
  <c r="O154" i="1"/>
  <c r="O112" i="1"/>
  <c r="O68" i="1"/>
  <c r="O24" i="1"/>
  <c r="O1597" i="1"/>
  <c r="O1585" i="1"/>
  <c r="O1573" i="1"/>
  <c r="O1561" i="1"/>
  <c r="O1549" i="1"/>
  <c r="O1537" i="1"/>
  <c r="O1525" i="1"/>
  <c r="O1513" i="1"/>
  <c r="O1501" i="1"/>
  <c r="O1489" i="1"/>
  <c r="O1477" i="1"/>
  <c r="O1465" i="1"/>
  <c r="O1453" i="1"/>
  <c r="O1441" i="1"/>
  <c r="O1429" i="1"/>
  <c r="O1417" i="1"/>
  <c r="O1405" i="1"/>
  <c r="O1393" i="1"/>
  <c r="O1381" i="1"/>
  <c r="O1369" i="1"/>
  <c r="O1357" i="1"/>
  <c r="O1345" i="1"/>
  <c r="O1333" i="1"/>
  <c r="O1321" i="1"/>
  <c r="O1309" i="1"/>
  <c r="O1297" i="1"/>
  <c r="O1285" i="1"/>
  <c r="O1273" i="1"/>
  <c r="O1261" i="1"/>
  <c r="O1249" i="1"/>
  <c r="O1237" i="1"/>
  <c r="O1225" i="1"/>
  <c r="O1213" i="1"/>
  <c r="O1201" i="1"/>
  <c r="O1189" i="1"/>
  <c r="O1177" i="1"/>
  <c r="O1165" i="1"/>
  <c r="O1153" i="1"/>
  <c r="O1140" i="1"/>
  <c r="O1125" i="1"/>
  <c r="O1111" i="1"/>
  <c r="O1097" i="1"/>
  <c r="O1082" i="1"/>
  <c r="O1068" i="1"/>
  <c r="O1053" i="1"/>
  <c r="O1039" i="1"/>
  <c r="O1025" i="1"/>
  <c r="O1009" i="1"/>
  <c r="O994" i="1"/>
  <c r="O977" i="1"/>
  <c r="O960" i="1"/>
  <c r="O942" i="1"/>
  <c r="O922" i="1"/>
  <c r="O899" i="1"/>
  <c r="O879" i="1"/>
  <c r="O857" i="1"/>
  <c r="O833" i="1"/>
  <c r="O811" i="1"/>
  <c r="O790" i="1"/>
  <c r="O766" i="1"/>
  <c r="O741" i="1"/>
  <c r="O715" i="1"/>
  <c r="O688" i="1"/>
  <c r="O659" i="1"/>
  <c r="O623" i="1"/>
  <c r="O595" i="1"/>
  <c r="O559" i="1"/>
  <c r="O531" i="1"/>
  <c r="O502" i="1"/>
  <c r="O466" i="1"/>
  <c r="O438" i="1"/>
  <c r="O402" i="1"/>
  <c r="O370" i="1"/>
  <c r="O340" i="1"/>
  <c r="O299" i="1"/>
  <c r="O269" i="1"/>
  <c r="O228" i="1"/>
  <c r="O197" i="1"/>
  <c r="O153" i="1"/>
  <c r="O109" i="1"/>
  <c r="O67" i="1"/>
  <c r="O23" i="1"/>
  <c r="O1596" i="1"/>
  <c r="O1584" i="1"/>
  <c r="O1572" i="1"/>
  <c r="O1560" i="1"/>
  <c r="O1548" i="1"/>
  <c r="O1536" i="1"/>
  <c r="O1524" i="1"/>
  <c r="O1512" i="1"/>
  <c r="O1500" i="1"/>
  <c r="O1488" i="1"/>
  <c r="O1476" i="1"/>
  <c r="O1464" i="1"/>
  <c r="O1452" i="1"/>
  <c r="O1440" i="1"/>
  <c r="O1428" i="1"/>
  <c r="O1416" i="1"/>
  <c r="O1404" i="1"/>
  <c r="O1392" i="1"/>
  <c r="O1380" i="1"/>
  <c r="O1368" i="1"/>
  <c r="O1356" i="1"/>
  <c r="O1344" i="1"/>
  <c r="O1332" i="1"/>
  <c r="O1320" i="1"/>
  <c r="O1308" i="1"/>
  <c r="O1296" i="1"/>
  <c r="O1284" i="1"/>
  <c r="O1272" i="1"/>
  <c r="O1260" i="1"/>
  <c r="O1248" i="1"/>
  <c r="O1236" i="1"/>
  <c r="O1224" i="1"/>
  <c r="O1212" i="1"/>
  <c r="O1200" i="1"/>
  <c r="O1188" i="1"/>
  <c r="O1176" i="1"/>
  <c r="O1164" i="1"/>
  <c r="O1152" i="1"/>
  <c r="O1138" i="1"/>
  <c r="O1124" i="1"/>
  <c r="O1110" i="1"/>
  <c r="O1096" i="1"/>
  <c r="O1081" i="1"/>
  <c r="O1066" i="1"/>
  <c r="O1052" i="1"/>
  <c r="O1038" i="1"/>
  <c r="O1024" i="1"/>
  <c r="O1008" i="1"/>
  <c r="O992" i="1"/>
  <c r="O976" i="1"/>
  <c r="O959" i="1"/>
  <c r="O939" i="1"/>
  <c r="O921" i="1"/>
  <c r="O898" i="1"/>
  <c r="O876" i="1"/>
  <c r="O856" i="1"/>
  <c r="O832" i="1"/>
  <c r="O808" i="1"/>
  <c r="O787" i="1"/>
  <c r="O765" i="1"/>
  <c r="O740" i="1"/>
  <c r="O714" i="1"/>
  <c r="O687" i="1"/>
  <c r="O651" i="1"/>
  <c r="O622" i="1"/>
  <c r="O594" i="1"/>
  <c r="O558" i="1"/>
  <c r="O529" i="1"/>
  <c r="O493" i="1"/>
  <c r="O465" i="1"/>
  <c r="O437" i="1"/>
  <c r="O401" i="1"/>
  <c r="O369" i="1"/>
  <c r="O330" i="1"/>
  <c r="O298" i="1"/>
  <c r="O268" i="1"/>
  <c r="O227" i="1"/>
  <c r="O196" i="1"/>
  <c r="O152" i="1"/>
  <c r="O108" i="1"/>
  <c r="O66" i="1"/>
  <c r="O22" i="1"/>
  <c r="D12" i="2"/>
  <c r="D13" i="2"/>
  <c r="D14" i="2"/>
  <c r="E18" i="2" l="1"/>
  <c r="E1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<sst xmlns="http://schemas.openxmlformats.org/spreadsheetml/2006/main" count="115" uniqueCount="49">
  <si>
    <t>fixed acidity</t>
  </si>
  <si>
    <t>volatile acidity</t>
  </si>
  <si>
    <t>citric acid</t>
  </si>
  <si>
    <t>residual sugar</t>
  </si>
  <si>
    <t>chlorides</t>
  </si>
  <si>
    <t>free sulfur dioxide</t>
  </si>
  <si>
    <t>total sulfur dioxide</t>
  </si>
  <si>
    <t>density</t>
  </si>
  <si>
    <t>pH</t>
  </si>
  <si>
    <t>sulphates</t>
  </si>
  <si>
    <t>alcohol</t>
  </si>
  <si>
    <t>quality</t>
  </si>
  <si>
    <t>quality_category</t>
  </si>
  <si>
    <t>Calculate the following statistics for each numeric variable using formulas:</t>
  </si>
  <si>
    <t>Average</t>
  </si>
  <si>
    <t>Medium</t>
  </si>
  <si>
    <t>STDV</t>
  </si>
  <si>
    <t>Minimum</t>
  </si>
  <si>
    <t>Maximum</t>
  </si>
  <si>
    <t>Percentage of wines in each quality category.</t>
  </si>
  <si>
    <t>Low</t>
  </si>
  <si>
    <t>High</t>
  </si>
  <si>
    <t>High_risk</t>
  </si>
  <si>
    <t>Quality_score_index</t>
  </si>
  <si>
    <t>Rank</t>
  </si>
  <si>
    <t>Use XLOOKUP or INDEX-MATCH to retrieve the Alcohol value of the top-ranked wine.</t>
  </si>
  <si>
    <t>Xlookup</t>
  </si>
  <si>
    <t>Index-match</t>
  </si>
  <si>
    <t>Sulfur_diff</t>
  </si>
  <si>
    <t>Use the CORREL function to determine the correlation between:</t>
  </si>
  <si>
    <t>Alcohol and Quality</t>
  </si>
  <si>
    <t>pH and Quality</t>
  </si>
  <si>
    <t>Volatile Acidity and Quality.</t>
  </si>
  <si>
    <t>Grand Total</t>
  </si>
  <si>
    <t>Row Labels</t>
  </si>
  <si>
    <t>Average of alcohol</t>
  </si>
  <si>
    <t>Average of pH</t>
  </si>
  <si>
    <t>Count of wines</t>
  </si>
  <si>
    <t>Average of citric acid</t>
  </si>
  <si>
    <t>Average of volatile acidity</t>
  </si>
  <si>
    <t>Sum of Quality_score_index</t>
  </si>
  <si>
    <t>wine_name</t>
  </si>
  <si>
    <t>Wine_id</t>
  </si>
  <si>
    <t>Red wine</t>
  </si>
  <si>
    <t>White wine</t>
  </si>
  <si>
    <t>Count of Wine_id</t>
  </si>
  <si>
    <t>highest alcohol value</t>
  </si>
  <si>
    <t>lowest ph value</t>
  </si>
  <si>
    <t>most common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</si>
</sst>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rgb="FF000000"/>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2" fontId="0" fillId="0" borderId="0" xfId="0" applyNumberFormat="1" applyAlignment="1">
      <alignment horizontal="center" vertical="center"/>
    </xf>
    <xf numFmtId="0" fontId="0" fillId="0" borderId="0" xfId="0" applyAlignment="1">
      <alignment horizontal="center" vertical="center"/>
    </xf>
    <xf numFmtId="0" fontId="0" fillId="0" borderId="10" xfId="0" applyBorder="1"/>
    <xf numFmtId="0" fontId="0" fillId="0" borderId="10" xfId="0" applyBorder="1" applyAlignment="1">
      <alignment horizontal="center"/>
    </xf>
    <xf numFmtId="2" fontId="0" fillId="0" borderId="10" xfId="0" applyNumberFormat="1" applyBorder="1"/>
    <xf numFmtId="0" fontId="0" fillId="33" borderId="10" xfId="0" applyFill="1" applyBorder="1"/>
    <xf numFmtId="0" fontId="0" fillId="34" borderId="10" xfId="0" applyFill="1" applyBorder="1" applyAlignment="1">
      <alignment horizontal="center" vertical="center"/>
    </xf>
    <xf numFmtId="2"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18" fillId="0" borderId="0" xfId="0" applyFont="1" applyAlignment="1">
      <alignment vertical="center" wrapText="1"/>
    </xf>
    <xf numFmtId="1" fontId="0" fillId="0" borderId="0" xfId="0" applyNumberFormat="1" applyAlignment="1">
      <alignment horizontal="center" vertical="center"/>
    </xf>
    <xf numFmtId="1" fontId="0" fillId="0" borderId="0" xfId="0" applyNumberFormat="1" applyAlignment="1">
      <alignment horizontal="left"/>
    </xf>
    <xf numFmtId="0" fontId="0" fillId="0" borderId="0" xfId="0" applyAlignment="1">
      <alignment horizontal="left" indent="1"/>
    </xf>
    <xf numFmtId="0" fontId="0" fillId="0" borderId="10" xfId="0" applyBorder="1" applyAlignment="1">
      <alignment horizontal="center" vertical="center"/>
    </xf>
    <xf numFmtId="0" fontId="0" fillId="0" borderId="10" xfId="0" applyBorder="1" applyAlignment="1">
      <alignment horizontal="center"/>
    </xf>
    <xf numFmtId="0" fontId="0" fillId="33" borderId="10" xfId="0" applyFill="1" applyBorder="1" applyAlignment="1">
      <alignment horizontal="center"/>
    </xf>
    <xf numFmtId="0" fontId="0" fillId="36" borderId="10" xfId="0" applyFill="1" applyBorder="1" applyAlignment="1">
      <alignment horizontal="center"/>
    </xf>
    <xf numFmtId="0" fontId="0" fillId="35" borderId="10" xfId="0" applyFill="1" applyBorder="1" applyAlignment="1">
      <alignment horizontal="center"/>
    </xf>
    <xf numFmtId="0" fontId="0" fillId="33" borderId="10" xfId="0" applyFill="1" applyBorder="1" applyAlignment="1">
      <alignment horizontal="center" wrapText="1"/>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0000"/>
        </patternFill>
      </fill>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Alcohol</a:t>
            </a:r>
            <a:r>
              <a:rPr lang="en-IN" baseline="0"/>
              <a:t> vs Quality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'winequality-red(in) (1)'!$L$2:$L$1600</c:f>
              <c:numCache>
                <c:formatCode>0.00</c:formatCode>
                <c:ptCount val="1599"/>
                <c:pt idx="0">
                  <c:v>9.4</c:v>
                </c:pt>
                <c:pt idx="1">
                  <c:v>9.8000000000000007</c:v>
                </c:pt>
                <c:pt idx="2">
                  <c:v>9.8000000000000007</c:v>
                </c:pt>
                <c:pt idx="3">
                  <c:v>9.8000000000000007</c:v>
                </c:pt>
                <c:pt idx="4">
                  <c:v>9.4</c:v>
                </c:pt>
                <c:pt idx="5">
                  <c:v>9.4</c:v>
                </c:pt>
                <c:pt idx="6">
                  <c:v>9.4</c:v>
                </c:pt>
                <c:pt idx="7">
                  <c:v>10</c:v>
                </c:pt>
                <c:pt idx="8">
                  <c:v>9.5</c:v>
                </c:pt>
                <c:pt idx="9">
                  <c:v>10.5</c:v>
                </c:pt>
                <c:pt idx="10">
                  <c:v>9.1999999999999993</c:v>
                </c:pt>
                <c:pt idx="11">
                  <c:v>10.5</c:v>
                </c:pt>
                <c:pt idx="12">
                  <c:v>9.9</c:v>
                </c:pt>
                <c:pt idx="13">
                  <c:v>9.1</c:v>
                </c:pt>
                <c:pt idx="14">
                  <c:v>9.1999999999999993</c:v>
                </c:pt>
                <c:pt idx="15">
                  <c:v>9.1999999999999993</c:v>
                </c:pt>
                <c:pt idx="16">
                  <c:v>10.5</c:v>
                </c:pt>
                <c:pt idx="17">
                  <c:v>9.3000000000000007</c:v>
                </c:pt>
                <c:pt idx="18">
                  <c:v>9</c:v>
                </c:pt>
                <c:pt idx="19">
                  <c:v>9.1999999999999993</c:v>
                </c:pt>
                <c:pt idx="20">
                  <c:v>9.4</c:v>
                </c:pt>
                <c:pt idx="21">
                  <c:v>9.6999999999999993</c:v>
                </c:pt>
                <c:pt idx="22">
                  <c:v>9.5</c:v>
                </c:pt>
                <c:pt idx="23">
                  <c:v>9.4</c:v>
                </c:pt>
                <c:pt idx="24">
                  <c:v>9.6999999999999993</c:v>
                </c:pt>
                <c:pt idx="25">
                  <c:v>9.3000000000000007</c:v>
                </c:pt>
                <c:pt idx="26">
                  <c:v>9.5</c:v>
                </c:pt>
                <c:pt idx="27">
                  <c:v>9.5</c:v>
                </c:pt>
                <c:pt idx="28">
                  <c:v>9.4</c:v>
                </c:pt>
                <c:pt idx="29">
                  <c:v>9.8000000000000007</c:v>
                </c:pt>
                <c:pt idx="30">
                  <c:v>10.1</c:v>
                </c:pt>
                <c:pt idx="31">
                  <c:v>10.6</c:v>
                </c:pt>
                <c:pt idx="32">
                  <c:v>9.8000000000000007</c:v>
                </c:pt>
                <c:pt idx="33">
                  <c:v>9.4</c:v>
                </c:pt>
                <c:pt idx="34">
                  <c:v>9.1999999999999993</c:v>
                </c:pt>
                <c:pt idx="35">
                  <c:v>9.6</c:v>
                </c:pt>
                <c:pt idx="36">
                  <c:v>10.8</c:v>
                </c:pt>
                <c:pt idx="37">
                  <c:v>9.6999999999999993</c:v>
                </c:pt>
                <c:pt idx="38">
                  <c:v>9.8000000000000007</c:v>
                </c:pt>
                <c:pt idx="39">
                  <c:v>10.5</c:v>
                </c:pt>
                <c:pt idx="40">
                  <c:v>10.5</c:v>
                </c:pt>
                <c:pt idx="41">
                  <c:v>9.3000000000000007</c:v>
                </c:pt>
                <c:pt idx="42">
                  <c:v>10.5</c:v>
                </c:pt>
                <c:pt idx="43">
                  <c:v>10.3</c:v>
                </c:pt>
                <c:pt idx="44">
                  <c:v>9.5</c:v>
                </c:pt>
                <c:pt idx="45">
                  <c:v>13.1</c:v>
                </c:pt>
                <c:pt idx="46">
                  <c:v>9.1999999999999993</c:v>
                </c:pt>
                <c:pt idx="47">
                  <c:v>9.5</c:v>
                </c:pt>
                <c:pt idx="48">
                  <c:v>9.1999999999999993</c:v>
                </c:pt>
                <c:pt idx="49">
                  <c:v>9.1999999999999993</c:v>
                </c:pt>
                <c:pt idx="50">
                  <c:v>9.1999999999999993</c:v>
                </c:pt>
                <c:pt idx="51">
                  <c:v>9.4</c:v>
                </c:pt>
                <c:pt idx="52">
                  <c:v>9.4</c:v>
                </c:pt>
                <c:pt idx="53">
                  <c:v>9.4</c:v>
                </c:pt>
                <c:pt idx="54">
                  <c:v>10.199999999999999</c:v>
                </c:pt>
                <c:pt idx="55">
                  <c:v>9.5</c:v>
                </c:pt>
                <c:pt idx="56">
                  <c:v>9.6</c:v>
                </c:pt>
                <c:pt idx="57">
                  <c:v>9.4</c:v>
                </c:pt>
                <c:pt idx="58">
                  <c:v>10</c:v>
                </c:pt>
                <c:pt idx="59">
                  <c:v>9.4</c:v>
                </c:pt>
                <c:pt idx="60">
                  <c:v>9.1999999999999993</c:v>
                </c:pt>
                <c:pt idx="61">
                  <c:v>9.3000000000000007</c:v>
                </c:pt>
                <c:pt idx="62">
                  <c:v>9.5</c:v>
                </c:pt>
                <c:pt idx="63">
                  <c:v>9.8000000000000007</c:v>
                </c:pt>
                <c:pt idx="64">
                  <c:v>10.9</c:v>
                </c:pt>
                <c:pt idx="65">
                  <c:v>10.9</c:v>
                </c:pt>
                <c:pt idx="66">
                  <c:v>9.6</c:v>
                </c:pt>
                <c:pt idx="67">
                  <c:v>10.7</c:v>
                </c:pt>
                <c:pt idx="68">
                  <c:v>10.7</c:v>
                </c:pt>
                <c:pt idx="69">
                  <c:v>10.5</c:v>
                </c:pt>
                <c:pt idx="70">
                  <c:v>9.5</c:v>
                </c:pt>
                <c:pt idx="71">
                  <c:v>9.5</c:v>
                </c:pt>
                <c:pt idx="72">
                  <c:v>9.5</c:v>
                </c:pt>
                <c:pt idx="73">
                  <c:v>9.1999999999999993</c:v>
                </c:pt>
                <c:pt idx="74">
                  <c:v>9.6</c:v>
                </c:pt>
                <c:pt idx="75">
                  <c:v>10.5</c:v>
                </c:pt>
                <c:pt idx="76">
                  <c:v>10.5</c:v>
                </c:pt>
                <c:pt idx="77">
                  <c:v>10.7</c:v>
                </c:pt>
                <c:pt idx="78">
                  <c:v>10.1</c:v>
                </c:pt>
                <c:pt idx="79">
                  <c:v>9.1</c:v>
                </c:pt>
                <c:pt idx="80">
                  <c:v>9.1999999999999993</c:v>
                </c:pt>
                <c:pt idx="81">
                  <c:v>9.4</c:v>
                </c:pt>
                <c:pt idx="82">
                  <c:v>9.1</c:v>
                </c:pt>
                <c:pt idx="83">
                  <c:v>9.4</c:v>
                </c:pt>
                <c:pt idx="84">
                  <c:v>10.3</c:v>
                </c:pt>
                <c:pt idx="85">
                  <c:v>10.1</c:v>
                </c:pt>
                <c:pt idx="86">
                  <c:v>9.9</c:v>
                </c:pt>
                <c:pt idx="87">
                  <c:v>9.6</c:v>
                </c:pt>
                <c:pt idx="88">
                  <c:v>9.5</c:v>
                </c:pt>
                <c:pt idx="89">
                  <c:v>9</c:v>
                </c:pt>
                <c:pt idx="90">
                  <c:v>9.5</c:v>
                </c:pt>
                <c:pt idx="91">
                  <c:v>9.9</c:v>
                </c:pt>
                <c:pt idx="92">
                  <c:v>9.8000000000000007</c:v>
                </c:pt>
                <c:pt idx="93">
                  <c:v>9.6</c:v>
                </c:pt>
                <c:pt idx="94">
                  <c:v>10.5</c:v>
                </c:pt>
                <c:pt idx="95">
                  <c:v>12.9</c:v>
                </c:pt>
                <c:pt idx="96">
                  <c:v>10.7</c:v>
                </c:pt>
                <c:pt idx="97">
                  <c:v>9.1999999999999993</c:v>
                </c:pt>
                <c:pt idx="98">
                  <c:v>9.8000000000000007</c:v>
                </c:pt>
                <c:pt idx="99">
                  <c:v>9</c:v>
                </c:pt>
                <c:pt idx="100">
                  <c:v>10.199999999999999</c:v>
                </c:pt>
                <c:pt idx="101">
                  <c:v>10.4</c:v>
                </c:pt>
                <c:pt idx="102">
                  <c:v>9</c:v>
                </c:pt>
                <c:pt idx="103">
                  <c:v>9.1999999999999993</c:v>
                </c:pt>
                <c:pt idx="104">
                  <c:v>9.4</c:v>
                </c:pt>
                <c:pt idx="105">
                  <c:v>9.1999999999999993</c:v>
                </c:pt>
                <c:pt idx="106">
                  <c:v>9.3000000000000007</c:v>
                </c:pt>
                <c:pt idx="107">
                  <c:v>9.3000000000000007</c:v>
                </c:pt>
                <c:pt idx="108">
                  <c:v>9.6</c:v>
                </c:pt>
                <c:pt idx="109">
                  <c:v>9.3000000000000007</c:v>
                </c:pt>
                <c:pt idx="110">
                  <c:v>9.5</c:v>
                </c:pt>
                <c:pt idx="111">
                  <c:v>9.8000000000000007</c:v>
                </c:pt>
                <c:pt idx="112">
                  <c:v>9.8000000000000007</c:v>
                </c:pt>
                <c:pt idx="113">
                  <c:v>9.6999999999999993</c:v>
                </c:pt>
                <c:pt idx="114">
                  <c:v>9.5</c:v>
                </c:pt>
                <c:pt idx="115">
                  <c:v>10.5</c:v>
                </c:pt>
                <c:pt idx="116">
                  <c:v>10</c:v>
                </c:pt>
                <c:pt idx="117">
                  <c:v>9.4</c:v>
                </c:pt>
                <c:pt idx="118">
                  <c:v>10.9</c:v>
                </c:pt>
                <c:pt idx="119">
                  <c:v>9.1999999999999993</c:v>
                </c:pt>
                <c:pt idx="120">
                  <c:v>9</c:v>
                </c:pt>
                <c:pt idx="121">
                  <c:v>10.9</c:v>
                </c:pt>
                <c:pt idx="122">
                  <c:v>9.1999999999999993</c:v>
                </c:pt>
                <c:pt idx="123">
                  <c:v>9.5</c:v>
                </c:pt>
                <c:pt idx="124">
                  <c:v>9.5</c:v>
                </c:pt>
                <c:pt idx="125">
                  <c:v>9.4</c:v>
                </c:pt>
                <c:pt idx="126">
                  <c:v>10.9</c:v>
                </c:pt>
                <c:pt idx="127">
                  <c:v>10.9</c:v>
                </c:pt>
                <c:pt idx="128">
                  <c:v>10.5</c:v>
                </c:pt>
                <c:pt idx="129">
                  <c:v>9.4</c:v>
                </c:pt>
                <c:pt idx="130">
                  <c:v>9.4</c:v>
                </c:pt>
                <c:pt idx="131">
                  <c:v>13</c:v>
                </c:pt>
                <c:pt idx="132">
                  <c:v>13</c:v>
                </c:pt>
                <c:pt idx="133">
                  <c:v>9.8000000000000007</c:v>
                </c:pt>
                <c:pt idx="134">
                  <c:v>9.9</c:v>
                </c:pt>
                <c:pt idx="135">
                  <c:v>9.6</c:v>
                </c:pt>
                <c:pt idx="136">
                  <c:v>9.5</c:v>
                </c:pt>
                <c:pt idx="137">
                  <c:v>9.1999999999999993</c:v>
                </c:pt>
                <c:pt idx="138">
                  <c:v>9.5</c:v>
                </c:pt>
                <c:pt idx="139">
                  <c:v>9.5</c:v>
                </c:pt>
                <c:pt idx="140">
                  <c:v>9.6</c:v>
                </c:pt>
                <c:pt idx="141">
                  <c:v>9.5</c:v>
                </c:pt>
                <c:pt idx="142">
                  <c:v>14</c:v>
                </c:pt>
                <c:pt idx="143">
                  <c:v>9.4</c:v>
                </c:pt>
                <c:pt idx="144">
                  <c:v>14</c:v>
                </c:pt>
                <c:pt idx="145">
                  <c:v>9.4</c:v>
                </c:pt>
                <c:pt idx="146">
                  <c:v>10</c:v>
                </c:pt>
                <c:pt idx="147">
                  <c:v>9.3000000000000007</c:v>
                </c:pt>
                <c:pt idx="148">
                  <c:v>10.199999999999999</c:v>
                </c:pt>
                <c:pt idx="149">
                  <c:v>10.5</c:v>
                </c:pt>
                <c:pt idx="150">
                  <c:v>10.3</c:v>
                </c:pt>
                <c:pt idx="151">
                  <c:v>9.4</c:v>
                </c:pt>
                <c:pt idx="152">
                  <c:v>10.1</c:v>
                </c:pt>
                <c:pt idx="153">
                  <c:v>10.1</c:v>
                </c:pt>
                <c:pt idx="154">
                  <c:v>10.5</c:v>
                </c:pt>
                <c:pt idx="155">
                  <c:v>10.5</c:v>
                </c:pt>
                <c:pt idx="156">
                  <c:v>10.5</c:v>
                </c:pt>
                <c:pt idx="157">
                  <c:v>10.5</c:v>
                </c:pt>
                <c:pt idx="158">
                  <c:v>9.3000000000000007</c:v>
                </c:pt>
                <c:pt idx="159">
                  <c:v>9.3000000000000007</c:v>
                </c:pt>
                <c:pt idx="160">
                  <c:v>9.6</c:v>
                </c:pt>
                <c:pt idx="161">
                  <c:v>9.1999999999999993</c:v>
                </c:pt>
                <c:pt idx="162">
                  <c:v>10</c:v>
                </c:pt>
                <c:pt idx="163">
                  <c:v>9.4</c:v>
                </c:pt>
                <c:pt idx="164">
                  <c:v>9.4</c:v>
                </c:pt>
                <c:pt idx="165">
                  <c:v>9.5</c:v>
                </c:pt>
                <c:pt idx="166">
                  <c:v>10.199999999999999</c:v>
                </c:pt>
                <c:pt idx="167">
                  <c:v>9</c:v>
                </c:pt>
                <c:pt idx="168">
                  <c:v>10.4</c:v>
                </c:pt>
                <c:pt idx="169">
                  <c:v>9.5</c:v>
                </c:pt>
                <c:pt idx="170">
                  <c:v>9.1</c:v>
                </c:pt>
                <c:pt idx="171">
                  <c:v>9.1999999999999993</c:v>
                </c:pt>
                <c:pt idx="172">
                  <c:v>9.1999999999999993</c:v>
                </c:pt>
                <c:pt idx="173">
                  <c:v>11.5</c:v>
                </c:pt>
                <c:pt idx="174">
                  <c:v>9.5</c:v>
                </c:pt>
                <c:pt idx="175">
                  <c:v>9.5</c:v>
                </c:pt>
                <c:pt idx="176">
                  <c:v>9.5</c:v>
                </c:pt>
                <c:pt idx="177">
                  <c:v>10.5</c:v>
                </c:pt>
                <c:pt idx="178">
                  <c:v>9.6</c:v>
                </c:pt>
                <c:pt idx="179">
                  <c:v>9.5</c:v>
                </c:pt>
                <c:pt idx="180">
                  <c:v>9.5</c:v>
                </c:pt>
                <c:pt idx="181">
                  <c:v>9.3000000000000007</c:v>
                </c:pt>
                <c:pt idx="182">
                  <c:v>9.3000000000000007</c:v>
                </c:pt>
                <c:pt idx="183">
                  <c:v>9.3000000000000007</c:v>
                </c:pt>
                <c:pt idx="184">
                  <c:v>9.3000000000000007</c:v>
                </c:pt>
                <c:pt idx="185">
                  <c:v>9.6999999999999993</c:v>
                </c:pt>
                <c:pt idx="186">
                  <c:v>9.1999999999999993</c:v>
                </c:pt>
                <c:pt idx="187">
                  <c:v>9.6999999999999993</c:v>
                </c:pt>
                <c:pt idx="188">
                  <c:v>9.5</c:v>
                </c:pt>
                <c:pt idx="189">
                  <c:v>9.5</c:v>
                </c:pt>
                <c:pt idx="190">
                  <c:v>9.4</c:v>
                </c:pt>
                <c:pt idx="191">
                  <c:v>9.8000000000000007</c:v>
                </c:pt>
                <c:pt idx="192">
                  <c:v>9.5</c:v>
                </c:pt>
                <c:pt idx="193">
                  <c:v>9.6999999999999993</c:v>
                </c:pt>
                <c:pt idx="194">
                  <c:v>9.6999999999999993</c:v>
                </c:pt>
                <c:pt idx="195">
                  <c:v>9.4</c:v>
                </c:pt>
                <c:pt idx="196">
                  <c:v>10.199999999999999</c:v>
                </c:pt>
                <c:pt idx="197">
                  <c:v>10.1</c:v>
                </c:pt>
                <c:pt idx="198">
                  <c:v>13</c:v>
                </c:pt>
                <c:pt idx="199">
                  <c:v>11.4</c:v>
                </c:pt>
                <c:pt idx="200">
                  <c:v>10.3</c:v>
                </c:pt>
                <c:pt idx="201">
                  <c:v>9.3000000000000007</c:v>
                </c:pt>
                <c:pt idx="202">
                  <c:v>9.5</c:v>
                </c:pt>
                <c:pt idx="203">
                  <c:v>9.1999999999999993</c:v>
                </c:pt>
                <c:pt idx="204">
                  <c:v>9.1999999999999993</c:v>
                </c:pt>
                <c:pt idx="205">
                  <c:v>10.8</c:v>
                </c:pt>
                <c:pt idx="206">
                  <c:v>10.8</c:v>
                </c:pt>
                <c:pt idx="207">
                  <c:v>9.3000000000000007</c:v>
                </c:pt>
                <c:pt idx="208">
                  <c:v>9.4</c:v>
                </c:pt>
                <c:pt idx="209">
                  <c:v>10.5</c:v>
                </c:pt>
                <c:pt idx="210">
                  <c:v>12.4</c:v>
                </c:pt>
                <c:pt idx="211">
                  <c:v>10</c:v>
                </c:pt>
                <c:pt idx="212">
                  <c:v>10.199999999999999</c:v>
                </c:pt>
                <c:pt idx="213">
                  <c:v>10.1</c:v>
                </c:pt>
                <c:pt idx="214">
                  <c:v>9.8000000000000007</c:v>
                </c:pt>
                <c:pt idx="215">
                  <c:v>10.5</c:v>
                </c:pt>
                <c:pt idx="216">
                  <c:v>11</c:v>
                </c:pt>
                <c:pt idx="217">
                  <c:v>9.1</c:v>
                </c:pt>
                <c:pt idx="218">
                  <c:v>9.6999999999999993</c:v>
                </c:pt>
                <c:pt idx="219">
                  <c:v>9.5</c:v>
                </c:pt>
                <c:pt idx="220">
                  <c:v>9.4</c:v>
                </c:pt>
                <c:pt idx="221">
                  <c:v>9.4</c:v>
                </c:pt>
                <c:pt idx="222">
                  <c:v>9.5</c:v>
                </c:pt>
                <c:pt idx="223">
                  <c:v>10</c:v>
                </c:pt>
                <c:pt idx="224">
                  <c:v>10.4</c:v>
                </c:pt>
                <c:pt idx="225">
                  <c:v>10.5</c:v>
                </c:pt>
                <c:pt idx="226">
                  <c:v>9.5</c:v>
                </c:pt>
                <c:pt idx="227">
                  <c:v>9.8000000000000007</c:v>
                </c:pt>
                <c:pt idx="228">
                  <c:v>10.5</c:v>
                </c:pt>
                <c:pt idx="229">
                  <c:v>11</c:v>
                </c:pt>
                <c:pt idx="230">
                  <c:v>12.2</c:v>
                </c:pt>
                <c:pt idx="231">
                  <c:v>9.9</c:v>
                </c:pt>
                <c:pt idx="232">
                  <c:v>9.6</c:v>
                </c:pt>
                <c:pt idx="233">
                  <c:v>11</c:v>
                </c:pt>
                <c:pt idx="234">
                  <c:v>9</c:v>
                </c:pt>
                <c:pt idx="235">
                  <c:v>9</c:v>
                </c:pt>
                <c:pt idx="236">
                  <c:v>9</c:v>
                </c:pt>
                <c:pt idx="237">
                  <c:v>9.1999999999999993</c:v>
                </c:pt>
                <c:pt idx="238">
                  <c:v>9</c:v>
                </c:pt>
                <c:pt idx="239">
                  <c:v>9</c:v>
                </c:pt>
                <c:pt idx="240">
                  <c:v>9.3000000000000007</c:v>
                </c:pt>
                <c:pt idx="241">
                  <c:v>10.9</c:v>
                </c:pt>
                <c:pt idx="242">
                  <c:v>9.8000000000000007</c:v>
                </c:pt>
                <c:pt idx="243">
                  <c:v>9.1999999999999993</c:v>
                </c:pt>
                <c:pt idx="244">
                  <c:v>9.1999999999999993</c:v>
                </c:pt>
                <c:pt idx="245">
                  <c:v>9.9</c:v>
                </c:pt>
                <c:pt idx="246">
                  <c:v>9.5</c:v>
                </c:pt>
                <c:pt idx="247">
                  <c:v>9.3000000000000007</c:v>
                </c:pt>
                <c:pt idx="248">
                  <c:v>9.8000000000000007</c:v>
                </c:pt>
                <c:pt idx="249">
                  <c:v>9.9</c:v>
                </c:pt>
                <c:pt idx="250">
                  <c:v>10</c:v>
                </c:pt>
                <c:pt idx="251">
                  <c:v>9.9</c:v>
                </c:pt>
                <c:pt idx="252">
                  <c:v>10.5</c:v>
                </c:pt>
                <c:pt idx="253">
                  <c:v>9.5</c:v>
                </c:pt>
                <c:pt idx="254">
                  <c:v>9.9</c:v>
                </c:pt>
                <c:pt idx="255">
                  <c:v>9.3000000000000007</c:v>
                </c:pt>
                <c:pt idx="256">
                  <c:v>9.1999999999999993</c:v>
                </c:pt>
                <c:pt idx="257">
                  <c:v>9.1999999999999993</c:v>
                </c:pt>
                <c:pt idx="258">
                  <c:v>9.4</c:v>
                </c:pt>
                <c:pt idx="259">
                  <c:v>10.5</c:v>
                </c:pt>
                <c:pt idx="260">
                  <c:v>9.3000000000000007</c:v>
                </c:pt>
                <c:pt idx="261">
                  <c:v>9.4</c:v>
                </c:pt>
                <c:pt idx="262">
                  <c:v>10</c:v>
                </c:pt>
                <c:pt idx="263">
                  <c:v>9.3000000000000007</c:v>
                </c:pt>
                <c:pt idx="264">
                  <c:v>10.9</c:v>
                </c:pt>
                <c:pt idx="265">
                  <c:v>10.199999999999999</c:v>
                </c:pt>
                <c:pt idx="266">
                  <c:v>9.8000000000000007</c:v>
                </c:pt>
                <c:pt idx="267">
                  <c:v>12.8</c:v>
                </c:pt>
                <c:pt idx="268">
                  <c:v>9.4</c:v>
                </c:pt>
                <c:pt idx="269">
                  <c:v>10.1</c:v>
                </c:pt>
                <c:pt idx="270">
                  <c:v>10.7</c:v>
                </c:pt>
                <c:pt idx="271">
                  <c:v>10.1</c:v>
                </c:pt>
                <c:pt idx="272">
                  <c:v>10.1</c:v>
                </c:pt>
                <c:pt idx="273">
                  <c:v>9.4</c:v>
                </c:pt>
                <c:pt idx="274">
                  <c:v>9.4</c:v>
                </c:pt>
                <c:pt idx="275">
                  <c:v>10.7</c:v>
                </c:pt>
                <c:pt idx="276">
                  <c:v>9.4</c:v>
                </c:pt>
                <c:pt idx="277">
                  <c:v>10.1</c:v>
                </c:pt>
                <c:pt idx="278">
                  <c:v>12.6</c:v>
                </c:pt>
                <c:pt idx="279">
                  <c:v>10.5</c:v>
                </c:pt>
                <c:pt idx="280">
                  <c:v>9.3000000000000007</c:v>
                </c:pt>
                <c:pt idx="281">
                  <c:v>9.9</c:v>
                </c:pt>
                <c:pt idx="282">
                  <c:v>9.1</c:v>
                </c:pt>
                <c:pt idx="283">
                  <c:v>10.5</c:v>
                </c:pt>
                <c:pt idx="284">
                  <c:v>9.8000000000000007</c:v>
                </c:pt>
                <c:pt idx="285">
                  <c:v>9.8000000000000007</c:v>
                </c:pt>
                <c:pt idx="286">
                  <c:v>10.3</c:v>
                </c:pt>
                <c:pt idx="287">
                  <c:v>10.3</c:v>
                </c:pt>
                <c:pt idx="288">
                  <c:v>10.6</c:v>
                </c:pt>
                <c:pt idx="289">
                  <c:v>9.1999999999999993</c:v>
                </c:pt>
                <c:pt idx="290">
                  <c:v>10.6</c:v>
                </c:pt>
                <c:pt idx="291">
                  <c:v>10.5</c:v>
                </c:pt>
                <c:pt idx="292">
                  <c:v>10.3</c:v>
                </c:pt>
                <c:pt idx="293">
                  <c:v>10.1</c:v>
                </c:pt>
                <c:pt idx="294">
                  <c:v>9.5</c:v>
                </c:pt>
                <c:pt idx="295">
                  <c:v>9.5</c:v>
                </c:pt>
                <c:pt idx="296">
                  <c:v>9.9</c:v>
                </c:pt>
                <c:pt idx="297">
                  <c:v>9.6</c:v>
                </c:pt>
                <c:pt idx="298">
                  <c:v>9.6999999999999993</c:v>
                </c:pt>
                <c:pt idx="299">
                  <c:v>9.6</c:v>
                </c:pt>
                <c:pt idx="300">
                  <c:v>10.7</c:v>
                </c:pt>
                <c:pt idx="301">
                  <c:v>10.1</c:v>
                </c:pt>
                <c:pt idx="302">
                  <c:v>10</c:v>
                </c:pt>
                <c:pt idx="303">
                  <c:v>9.5</c:v>
                </c:pt>
                <c:pt idx="304">
                  <c:v>9.1999999999999993</c:v>
                </c:pt>
                <c:pt idx="305">
                  <c:v>9.3000000000000007</c:v>
                </c:pt>
                <c:pt idx="306">
                  <c:v>9.4</c:v>
                </c:pt>
                <c:pt idx="307">
                  <c:v>9.5</c:v>
                </c:pt>
                <c:pt idx="308">
                  <c:v>9.5</c:v>
                </c:pt>
                <c:pt idx="309">
                  <c:v>9.5</c:v>
                </c:pt>
                <c:pt idx="310">
                  <c:v>9.3000000000000007</c:v>
                </c:pt>
                <c:pt idx="311">
                  <c:v>9.4</c:v>
                </c:pt>
                <c:pt idx="312">
                  <c:v>9.5</c:v>
                </c:pt>
                <c:pt idx="313">
                  <c:v>9.4</c:v>
                </c:pt>
                <c:pt idx="314">
                  <c:v>11</c:v>
                </c:pt>
                <c:pt idx="315">
                  <c:v>11</c:v>
                </c:pt>
                <c:pt idx="316">
                  <c:v>10.1</c:v>
                </c:pt>
                <c:pt idx="317">
                  <c:v>10.4</c:v>
                </c:pt>
                <c:pt idx="318">
                  <c:v>11.5</c:v>
                </c:pt>
                <c:pt idx="319">
                  <c:v>10.4</c:v>
                </c:pt>
                <c:pt idx="320">
                  <c:v>11.5</c:v>
                </c:pt>
                <c:pt idx="321">
                  <c:v>9.6999999999999993</c:v>
                </c:pt>
                <c:pt idx="322">
                  <c:v>9.3000000000000007</c:v>
                </c:pt>
                <c:pt idx="323">
                  <c:v>9.5</c:v>
                </c:pt>
                <c:pt idx="324">
                  <c:v>9.1999999999999993</c:v>
                </c:pt>
                <c:pt idx="325">
                  <c:v>9.1999999999999993</c:v>
                </c:pt>
                <c:pt idx="326">
                  <c:v>11.5</c:v>
                </c:pt>
                <c:pt idx="327">
                  <c:v>11.5</c:v>
                </c:pt>
                <c:pt idx="328">
                  <c:v>9.6999999999999993</c:v>
                </c:pt>
                <c:pt idx="329">
                  <c:v>9.5</c:v>
                </c:pt>
                <c:pt idx="330">
                  <c:v>12.5</c:v>
                </c:pt>
                <c:pt idx="331">
                  <c:v>12.5</c:v>
                </c:pt>
                <c:pt idx="332">
                  <c:v>9.4</c:v>
                </c:pt>
                <c:pt idx="333">
                  <c:v>11</c:v>
                </c:pt>
                <c:pt idx="334">
                  <c:v>11.7</c:v>
                </c:pt>
                <c:pt idx="335">
                  <c:v>12.2</c:v>
                </c:pt>
                <c:pt idx="336">
                  <c:v>12.5</c:v>
                </c:pt>
                <c:pt idx="337">
                  <c:v>10.3</c:v>
                </c:pt>
                <c:pt idx="338">
                  <c:v>11.5</c:v>
                </c:pt>
                <c:pt idx="339">
                  <c:v>9.8000000000000007</c:v>
                </c:pt>
                <c:pt idx="340">
                  <c:v>9.1999999999999993</c:v>
                </c:pt>
                <c:pt idx="341">
                  <c:v>11.3</c:v>
                </c:pt>
                <c:pt idx="342">
                  <c:v>9.8000000000000007</c:v>
                </c:pt>
                <c:pt idx="343">
                  <c:v>9.8000000000000007</c:v>
                </c:pt>
                <c:pt idx="344">
                  <c:v>10.7</c:v>
                </c:pt>
                <c:pt idx="345">
                  <c:v>9.9</c:v>
                </c:pt>
                <c:pt idx="346">
                  <c:v>12.3</c:v>
                </c:pt>
                <c:pt idx="347">
                  <c:v>12</c:v>
                </c:pt>
                <c:pt idx="348">
                  <c:v>10</c:v>
                </c:pt>
                <c:pt idx="349">
                  <c:v>9.4</c:v>
                </c:pt>
                <c:pt idx="350">
                  <c:v>9.9</c:v>
                </c:pt>
                <c:pt idx="351">
                  <c:v>9.4</c:v>
                </c:pt>
                <c:pt idx="352">
                  <c:v>9.3000000000000007</c:v>
                </c:pt>
                <c:pt idx="353">
                  <c:v>13</c:v>
                </c:pt>
                <c:pt idx="354">
                  <c:v>11.9</c:v>
                </c:pt>
                <c:pt idx="355">
                  <c:v>12.8</c:v>
                </c:pt>
                <c:pt idx="356">
                  <c:v>11</c:v>
                </c:pt>
                <c:pt idx="357">
                  <c:v>11.7</c:v>
                </c:pt>
                <c:pt idx="358">
                  <c:v>10.4</c:v>
                </c:pt>
                <c:pt idx="359">
                  <c:v>9.8000000000000007</c:v>
                </c:pt>
                <c:pt idx="360">
                  <c:v>9.4</c:v>
                </c:pt>
                <c:pt idx="361">
                  <c:v>9.9</c:v>
                </c:pt>
                <c:pt idx="362">
                  <c:v>10</c:v>
                </c:pt>
                <c:pt idx="363">
                  <c:v>10.199999999999999</c:v>
                </c:pt>
                <c:pt idx="364">
                  <c:v>10</c:v>
                </c:pt>
                <c:pt idx="365">
                  <c:v>11.8</c:v>
                </c:pt>
                <c:pt idx="366">
                  <c:v>10</c:v>
                </c:pt>
                <c:pt idx="367">
                  <c:v>9</c:v>
                </c:pt>
                <c:pt idx="368">
                  <c:v>9.4</c:v>
                </c:pt>
                <c:pt idx="369">
                  <c:v>12</c:v>
                </c:pt>
                <c:pt idx="370">
                  <c:v>9.9</c:v>
                </c:pt>
                <c:pt idx="371">
                  <c:v>8.6999999999999993</c:v>
                </c:pt>
                <c:pt idx="372">
                  <c:v>10.6</c:v>
                </c:pt>
                <c:pt idx="373">
                  <c:v>9.1999999999999993</c:v>
                </c:pt>
                <c:pt idx="374">
                  <c:v>10.8</c:v>
                </c:pt>
                <c:pt idx="375">
                  <c:v>11.8</c:v>
                </c:pt>
                <c:pt idx="376">
                  <c:v>11</c:v>
                </c:pt>
                <c:pt idx="377">
                  <c:v>12</c:v>
                </c:pt>
                <c:pt idx="378">
                  <c:v>13.3</c:v>
                </c:pt>
                <c:pt idx="379">
                  <c:v>10.8</c:v>
                </c:pt>
                <c:pt idx="380">
                  <c:v>9.4</c:v>
                </c:pt>
                <c:pt idx="381">
                  <c:v>10</c:v>
                </c:pt>
                <c:pt idx="382">
                  <c:v>9.4</c:v>
                </c:pt>
                <c:pt idx="383">
                  <c:v>9.4</c:v>
                </c:pt>
                <c:pt idx="384">
                  <c:v>9.1999999999999993</c:v>
                </c:pt>
                <c:pt idx="385">
                  <c:v>9.6999999999999993</c:v>
                </c:pt>
                <c:pt idx="386">
                  <c:v>9.1999999999999993</c:v>
                </c:pt>
                <c:pt idx="387">
                  <c:v>9.6</c:v>
                </c:pt>
                <c:pt idx="388">
                  <c:v>9.1999999999999993</c:v>
                </c:pt>
                <c:pt idx="389">
                  <c:v>10</c:v>
                </c:pt>
                <c:pt idx="390">
                  <c:v>12.9</c:v>
                </c:pt>
                <c:pt idx="391">
                  <c:v>10</c:v>
                </c:pt>
                <c:pt idx="392">
                  <c:v>9.5</c:v>
                </c:pt>
                <c:pt idx="393">
                  <c:v>9.1</c:v>
                </c:pt>
                <c:pt idx="394">
                  <c:v>9.9</c:v>
                </c:pt>
                <c:pt idx="395">
                  <c:v>13</c:v>
                </c:pt>
                <c:pt idx="396">
                  <c:v>9.9</c:v>
                </c:pt>
                <c:pt idx="397">
                  <c:v>11</c:v>
                </c:pt>
                <c:pt idx="398">
                  <c:v>11</c:v>
                </c:pt>
                <c:pt idx="399">
                  <c:v>9.4</c:v>
                </c:pt>
                <c:pt idx="400">
                  <c:v>9.9</c:v>
                </c:pt>
                <c:pt idx="401">
                  <c:v>10.8</c:v>
                </c:pt>
                <c:pt idx="402">
                  <c:v>10.5</c:v>
                </c:pt>
                <c:pt idx="403">
                  <c:v>10.5</c:v>
                </c:pt>
                <c:pt idx="404">
                  <c:v>9.1</c:v>
                </c:pt>
                <c:pt idx="405">
                  <c:v>10.1</c:v>
                </c:pt>
                <c:pt idx="406">
                  <c:v>10.8</c:v>
                </c:pt>
                <c:pt idx="407">
                  <c:v>10.8</c:v>
                </c:pt>
                <c:pt idx="408">
                  <c:v>11.3</c:v>
                </c:pt>
                <c:pt idx="409">
                  <c:v>9.6</c:v>
                </c:pt>
                <c:pt idx="410">
                  <c:v>9.5</c:v>
                </c:pt>
                <c:pt idx="411">
                  <c:v>9.5</c:v>
                </c:pt>
                <c:pt idx="412">
                  <c:v>9.3000000000000007</c:v>
                </c:pt>
                <c:pt idx="413">
                  <c:v>11.7</c:v>
                </c:pt>
                <c:pt idx="414">
                  <c:v>9.5</c:v>
                </c:pt>
                <c:pt idx="415">
                  <c:v>9.3000000000000007</c:v>
                </c:pt>
                <c:pt idx="416">
                  <c:v>11.7</c:v>
                </c:pt>
                <c:pt idx="417">
                  <c:v>10.5</c:v>
                </c:pt>
                <c:pt idx="418">
                  <c:v>10.4</c:v>
                </c:pt>
                <c:pt idx="419">
                  <c:v>9.9</c:v>
                </c:pt>
                <c:pt idx="420">
                  <c:v>11.8</c:v>
                </c:pt>
                <c:pt idx="421">
                  <c:v>12.3</c:v>
                </c:pt>
                <c:pt idx="422">
                  <c:v>10.9</c:v>
                </c:pt>
                <c:pt idx="423">
                  <c:v>11</c:v>
                </c:pt>
                <c:pt idx="424">
                  <c:v>10.9</c:v>
                </c:pt>
                <c:pt idx="425">
                  <c:v>12.3</c:v>
                </c:pt>
                <c:pt idx="426">
                  <c:v>11.4</c:v>
                </c:pt>
                <c:pt idx="427">
                  <c:v>10.6</c:v>
                </c:pt>
                <c:pt idx="428">
                  <c:v>9.3000000000000007</c:v>
                </c:pt>
                <c:pt idx="429">
                  <c:v>10.4</c:v>
                </c:pt>
                <c:pt idx="430">
                  <c:v>11</c:v>
                </c:pt>
                <c:pt idx="431">
                  <c:v>9.1999999999999993</c:v>
                </c:pt>
                <c:pt idx="432">
                  <c:v>12.8</c:v>
                </c:pt>
                <c:pt idx="433">
                  <c:v>9.5</c:v>
                </c:pt>
                <c:pt idx="434">
                  <c:v>9.9</c:v>
                </c:pt>
                <c:pt idx="435">
                  <c:v>9.5</c:v>
                </c:pt>
                <c:pt idx="436">
                  <c:v>10.199999999999999</c:v>
                </c:pt>
                <c:pt idx="437">
                  <c:v>11.2</c:v>
                </c:pt>
                <c:pt idx="438">
                  <c:v>9.9</c:v>
                </c:pt>
                <c:pt idx="439">
                  <c:v>9.3000000000000007</c:v>
                </c:pt>
                <c:pt idx="440">
                  <c:v>9.8000000000000007</c:v>
                </c:pt>
                <c:pt idx="441">
                  <c:v>11.3</c:v>
                </c:pt>
                <c:pt idx="442">
                  <c:v>11.2</c:v>
                </c:pt>
                <c:pt idx="443">
                  <c:v>11.6</c:v>
                </c:pt>
                <c:pt idx="444">
                  <c:v>12.5</c:v>
                </c:pt>
                <c:pt idx="445">
                  <c:v>10.1</c:v>
                </c:pt>
                <c:pt idx="446">
                  <c:v>10.5</c:v>
                </c:pt>
                <c:pt idx="447">
                  <c:v>11.2</c:v>
                </c:pt>
                <c:pt idx="448">
                  <c:v>10.199999999999999</c:v>
                </c:pt>
                <c:pt idx="449">
                  <c:v>10.8</c:v>
                </c:pt>
                <c:pt idx="450">
                  <c:v>10.8</c:v>
                </c:pt>
                <c:pt idx="451">
                  <c:v>9.1</c:v>
                </c:pt>
                <c:pt idx="452">
                  <c:v>10</c:v>
                </c:pt>
                <c:pt idx="453">
                  <c:v>11.2</c:v>
                </c:pt>
                <c:pt idx="454">
                  <c:v>11.1</c:v>
                </c:pt>
                <c:pt idx="455">
                  <c:v>13.4</c:v>
                </c:pt>
                <c:pt idx="456">
                  <c:v>10.3</c:v>
                </c:pt>
                <c:pt idx="457">
                  <c:v>9.6</c:v>
                </c:pt>
                <c:pt idx="458">
                  <c:v>11.2</c:v>
                </c:pt>
                <c:pt idx="459">
                  <c:v>9</c:v>
                </c:pt>
                <c:pt idx="460">
                  <c:v>11.3</c:v>
                </c:pt>
                <c:pt idx="461">
                  <c:v>9.3000000000000007</c:v>
                </c:pt>
                <c:pt idx="462">
                  <c:v>11.8</c:v>
                </c:pt>
                <c:pt idx="463">
                  <c:v>9</c:v>
                </c:pt>
                <c:pt idx="464">
                  <c:v>9.1999999999999993</c:v>
                </c:pt>
                <c:pt idx="465">
                  <c:v>9.6999999999999993</c:v>
                </c:pt>
                <c:pt idx="466">
                  <c:v>11.5</c:v>
                </c:pt>
                <c:pt idx="467">
                  <c:v>14</c:v>
                </c:pt>
                <c:pt idx="468">
                  <c:v>9.1999999999999993</c:v>
                </c:pt>
                <c:pt idx="469">
                  <c:v>9.8000000000000007</c:v>
                </c:pt>
                <c:pt idx="470">
                  <c:v>10.6</c:v>
                </c:pt>
                <c:pt idx="471">
                  <c:v>11.4</c:v>
                </c:pt>
                <c:pt idx="472">
                  <c:v>10.4</c:v>
                </c:pt>
                <c:pt idx="473">
                  <c:v>10.6</c:v>
                </c:pt>
                <c:pt idx="474">
                  <c:v>9.4</c:v>
                </c:pt>
                <c:pt idx="475">
                  <c:v>10.199999999999999</c:v>
                </c:pt>
                <c:pt idx="476">
                  <c:v>9.6999999999999993</c:v>
                </c:pt>
                <c:pt idx="477">
                  <c:v>11</c:v>
                </c:pt>
                <c:pt idx="478">
                  <c:v>10.199999999999999</c:v>
                </c:pt>
                <c:pt idx="479">
                  <c:v>10.1</c:v>
                </c:pt>
                <c:pt idx="480">
                  <c:v>9.1999999999999993</c:v>
                </c:pt>
                <c:pt idx="481">
                  <c:v>11.7</c:v>
                </c:pt>
                <c:pt idx="482">
                  <c:v>9.4</c:v>
                </c:pt>
                <c:pt idx="483">
                  <c:v>9.4</c:v>
                </c:pt>
                <c:pt idx="484">
                  <c:v>13.4</c:v>
                </c:pt>
                <c:pt idx="485">
                  <c:v>10</c:v>
                </c:pt>
                <c:pt idx="486">
                  <c:v>10</c:v>
                </c:pt>
                <c:pt idx="487">
                  <c:v>10</c:v>
                </c:pt>
                <c:pt idx="488">
                  <c:v>10.8</c:v>
                </c:pt>
                <c:pt idx="489">
                  <c:v>10.199999999999999</c:v>
                </c:pt>
                <c:pt idx="490">
                  <c:v>10.6</c:v>
                </c:pt>
                <c:pt idx="491">
                  <c:v>13.3</c:v>
                </c:pt>
                <c:pt idx="492">
                  <c:v>13.4</c:v>
                </c:pt>
                <c:pt idx="493">
                  <c:v>11.6</c:v>
                </c:pt>
                <c:pt idx="494">
                  <c:v>12.1</c:v>
                </c:pt>
                <c:pt idx="495">
                  <c:v>11</c:v>
                </c:pt>
                <c:pt idx="496">
                  <c:v>9</c:v>
                </c:pt>
                <c:pt idx="497">
                  <c:v>11.1</c:v>
                </c:pt>
                <c:pt idx="498">
                  <c:v>11</c:v>
                </c:pt>
                <c:pt idx="499">
                  <c:v>11.6</c:v>
                </c:pt>
                <c:pt idx="500">
                  <c:v>9</c:v>
                </c:pt>
                <c:pt idx="501">
                  <c:v>12</c:v>
                </c:pt>
                <c:pt idx="502">
                  <c:v>12</c:v>
                </c:pt>
                <c:pt idx="503">
                  <c:v>10.9</c:v>
                </c:pt>
                <c:pt idx="504">
                  <c:v>10.8</c:v>
                </c:pt>
                <c:pt idx="505">
                  <c:v>12.5</c:v>
                </c:pt>
                <c:pt idx="506">
                  <c:v>10.8</c:v>
                </c:pt>
                <c:pt idx="507">
                  <c:v>9.5</c:v>
                </c:pt>
                <c:pt idx="508">
                  <c:v>10.199999999999999</c:v>
                </c:pt>
                <c:pt idx="509">
                  <c:v>11.4</c:v>
                </c:pt>
                <c:pt idx="510">
                  <c:v>9.5</c:v>
                </c:pt>
                <c:pt idx="511">
                  <c:v>10.199999999999999</c:v>
                </c:pt>
                <c:pt idx="512">
                  <c:v>9.6999999999999993</c:v>
                </c:pt>
                <c:pt idx="513">
                  <c:v>11.8</c:v>
                </c:pt>
                <c:pt idx="514">
                  <c:v>11.8</c:v>
                </c:pt>
                <c:pt idx="515">
                  <c:v>9.3000000000000007</c:v>
                </c:pt>
                <c:pt idx="516">
                  <c:v>11.9</c:v>
                </c:pt>
                <c:pt idx="517">
                  <c:v>8.4</c:v>
                </c:pt>
                <c:pt idx="518">
                  <c:v>11.7</c:v>
                </c:pt>
                <c:pt idx="519">
                  <c:v>11</c:v>
                </c:pt>
                <c:pt idx="520">
                  <c:v>10</c:v>
                </c:pt>
                <c:pt idx="521">
                  <c:v>9.1</c:v>
                </c:pt>
                <c:pt idx="522">
                  <c:v>9.8000000000000007</c:v>
                </c:pt>
                <c:pt idx="523">
                  <c:v>9.4</c:v>
                </c:pt>
                <c:pt idx="524">
                  <c:v>9.5</c:v>
                </c:pt>
                <c:pt idx="525">
                  <c:v>9.9</c:v>
                </c:pt>
                <c:pt idx="526">
                  <c:v>11</c:v>
                </c:pt>
                <c:pt idx="527">
                  <c:v>11.4</c:v>
                </c:pt>
                <c:pt idx="528">
                  <c:v>8.6999999999999993</c:v>
                </c:pt>
                <c:pt idx="529">
                  <c:v>9.4</c:v>
                </c:pt>
                <c:pt idx="530">
                  <c:v>10.3</c:v>
                </c:pt>
                <c:pt idx="531">
                  <c:v>10.3</c:v>
                </c:pt>
                <c:pt idx="532">
                  <c:v>10.3</c:v>
                </c:pt>
                <c:pt idx="533">
                  <c:v>12.8</c:v>
                </c:pt>
                <c:pt idx="534">
                  <c:v>10</c:v>
                </c:pt>
                <c:pt idx="535">
                  <c:v>10.3</c:v>
                </c:pt>
                <c:pt idx="536">
                  <c:v>9.4</c:v>
                </c:pt>
                <c:pt idx="537">
                  <c:v>10.7</c:v>
                </c:pt>
                <c:pt idx="538">
                  <c:v>12</c:v>
                </c:pt>
                <c:pt idx="539">
                  <c:v>11.2</c:v>
                </c:pt>
                <c:pt idx="540">
                  <c:v>9.6</c:v>
                </c:pt>
                <c:pt idx="541">
                  <c:v>11</c:v>
                </c:pt>
                <c:pt idx="542">
                  <c:v>9.9</c:v>
                </c:pt>
                <c:pt idx="543">
                  <c:v>11</c:v>
                </c:pt>
                <c:pt idx="544">
                  <c:v>8.4</c:v>
                </c:pt>
                <c:pt idx="545">
                  <c:v>9.1</c:v>
                </c:pt>
                <c:pt idx="546">
                  <c:v>9.5</c:v>
                </c:pt>
                <c:pt idx="547">
                  <c:v>10.7</c:v>
                </c:pt>
                <c:pt idx="548">
                  <c:v>10.4</c:v>
                </c:pt>
                <c:pt idx="549">
                  <c:v>9.4</c:v>
                </c:pt>
                <c:pt idx="550">
                  <c:v>9.5</c:v>
                </c:pt>
                <c:pt idx="551">
                  <c:v>10</c:v>
                </c:pt>
                <c:pt idx="552">
                  <c:v>10</c:v>
                </c:pt>
                <c:pt idx="553">
                  <c:v>11.5</c:v>
                </c:pt>
                <c:pt idx="554">
                  <c:v>11.1</c:v>
                </c:pt>
                <c:pt idx="555">
                  <c:v>11.1</c:v>
                </c:pt>
                <c:pt idx="556">
                  <c:v>11.7</c:v>
                </c:pt>
                <c:pt idx="557">
                  <c:v>11.1</c:v>
                </c:pt>
                <c:pt idx="558">
                  <c:v>11.7</c:v>
                </c:pt>
                <c:pt idx="559">
                  <c:v>12.7</c:v>
                </c:pt>
                <c:pt idx="560">
                  <c:v>11.4</c:v>
                </c:pt>
                <c:pt idx="561">
                  <c:v>9.1999999999999993</c:v>
                </c:pt>
                <c:pt idx="562">
                  <c:v>9.1999999999999993</c:v>
                </c:pt>
                <c:pt idx="563">
                  <c:v>10.1</c:v>
                </c:pt>
                <c:pt idx="564">
                  <c:v>12.7</c:v>
                </c:pt>
                <c:pt idx="565">
                  <c:v>11.4</c:v>
                </c:pt>
                <c:pt idx="566">
                  <c:v>9</c:v>
                </c:pt>
                <c:pt idx="567">
                  <c:v>9</c:v>
                </c:pt>
                <c:pt idx="568">
                  <c:v>10.7</c:v>
                </c:pt>
                <c:pt idx="569">
                  <c:v>11.7</c:v>
                </c:pt>
                <c:pt idx="570">
                  <c:v>11</c:v>
                </c:pt>
                <c:pt idx="571">
                  <c:v>11.7</c:v>
                </c:pt>
                <c:pt idx="572">
                  <c:v>10.4</c:v>
                </c:pt>
                <c:pt idx="573">
                  <c:v>9.6</c:v>
                </c:pt>
                <c:pt idx="574">
                  <c:v>10</c:v>
                </c:pt>
                <c:pt idx="575">
                  <c:v>10.199999999999999</c:v>
                </c:pt>
                <c:pt idx="576">
                  <c:v>10</c:v>
                </c:pt>
                <c:pt idx="577">
                  <c:v>9.5</c:v>
                </c:pt>
                <c:pt idx="578">
                  <c:v>9.8000000000000007</c:v>
                </c:pt>
                <c:pt idx="579">
                  <c:v>9.8000000000000007</c:v>
                </c:pt>
                <c:pt idx="580">
                  <c:v>9.6</c:v>
                </c:pt>
                <c:pt idx="581">
                  <c:v>9.6</c:v>
                </c:pt>
                <c:pt idx="582">
                  <c:v>9.1999999999999993</c:v>
                </c:pt>
                <c:pt idx="583">
                  <c:v>9.9</c:v>
                </c:pt>
                <c:pt idx="584">
                  <c:v>10.7</c:v>
                </c:pt>
                <c:pt idx="585">
                  <c:v>9.6</c:v>
                </c:pt>
                <c:pt idx="586">
                  <c:v>10.6</c:v>
                </c:pt>
                <c:pt idx="587">
                  <c:v>9.3000000000000007</c:v>
                </c:pt>
                <c:pt idx="588">
                  <c:v>14</c:v>
                </c:pt>
                <c:pt idx="589">
                  <c:v>10.5</c:v>
                </c:pt>
                <c:pt idx="590">
                  <c:v>9.6999999999999993</c:v>
                </c:pt>
                <c:pt idx="591">
                  <c:v>11.5</c:v>
                </c:pt>
                <c:pt idx="592">
                  <c:v>9.6999999999999993</c:v>
                </c:pt>
                <c:pt idx="593">
                  <c:v>9</c:v>
                </c:pt>
                <c:pt idx="594">
                  <c:v>9.5</c:v>
                </c:pt>
                <c:pt idx="595">
                  <c:v>9.3000000000000007</c:v>
                </c:pt>
                <c:pt idx="596">
                  <c:v>9.3000000000000007</c:v>
                </c:pt>
                <c:pt idx="597">
                  <c:v>10</c:v>
                </c:pt>
                <c:pt idx="598">
                  <c:v>9.8000000000000007</c:v>
                </c:pt>
                <c:pt idx="599">
                  <c:v>9.3000000000000007</c:v>
                </c:pt>
                <c:pt idx="600">
                  <c:v>10</c:v>
                </c:pt>
                <c:pt idx="601">
                  <c:v>9</c:v>
                </c:pt>
                <c:pt idx="602">
                  <c:v>9.3000000000000007</c:v>
                </c:pt>
                <c:pt idx="603">
                  <c:v>9</c:v>
                </c:pt>
                <c:pt idx="604">
                  <c:v>9.1</c:v>
                </c:pt>
                <c:pt idx="605">
                  <c:v>9.1999999999999993</c:v>
                </c:pt>
                <c:pt idx="606">
                  <c:v>12.2</c:v>
                </c:pt>
                <c:pt idx="607">
                  <c:v>10.5</c:v>
                </c:pt>
                <c:pt idx="608">
                  <c:v>10.4</c:v>
                </c:pt>
                <c:pt idx="609">
                  <c:v>12.7</c:v>
                </c:pt>
                <c:pt idx="610">
                  <c:v>9.1999999999999993</c:v>
                </c:pt>
                <c:pt idx="611">
                  <c:v>9.4</c:v>
                </c:pt>
                <c:pt idx="612">
                  <c:v>10</c:v>
                </c:pt>
                <c:pt idx="613">
                  <c:v>9.8000000000000007</c:v>
                </c:pt>
                <c:pt idx="614">
                  <c:v>10.199999999999999</c:v>
                </c:pt>
                <c:pt idx="615">
                  <c:v>9.6999999999999993</c:v>
                </c:pt>
                <c:pt idx="616">
                  <c:v>9.6999999999999993</c:v>
                </c:pt>
                <c:pt idx="617">
                  <c:v>9.8000000000000007</c:v>
                </c:pt>
                <c:pt idx="618">
                  <c:v>10.199999999999999</c:v>
                </c:pt>
                <c:pt idx="619">
                  <c:v>9.3000000000000007</c:v>
                </c:pt>
                <c:pt idx="620">
                  <c:v>9.4</c:v>
                </c:pt>
                <c:pt idx="621">
                  <c:v>9.4</c:v>
                </c:pt>
                <c:pt idx="622">
                  <c:v>9.5</c:v>
                </c:pt>
                <c:pt idx="623">
                  <c:v>12.1</c:v>
                </c:pt>
                <c:pt idx="624">
                  <c:v>10.199999999999999</c:v>
                </c:pt>
                <c:pt idx="625">
                  <c:v>10.199999999999999</c:v>
                </c:pt>
                <c:pt idx="626">
                  <c:v>9.1</c:v>
                </c:pt>
                <c:pt idx="627">
                  <c:v>9.1</c:v>
                </c:pt>
                <c:pt idx="628">
                  <c:v>9.3000000000000007</c:v>
                </c:pt>
                <c:pt idx="629">
                  <c:v>9.3000000000000007</c:v>
                </c:pt>
                <c:pt idx="630">
                  <c:v>9.3000000000000007</c:v>
                </c:pt>
                <c:pt idx="631">
                  <c:v>9.5</c:v>
                </c:pt>
                <c:pt idx="632">
                  <c:v>10.5</c:v>
                </c:pt>
                <c:pt idx="633">
                  <c:v>11.3</c:v>
                </c:pt>
                <c:pt idx="634">
                  <c:v>9.5</c:v>
                </c:pt>
                <c:pt idx="635">
                  <c:v>9.6999999999999993</c:v>
                </c:pt>
                <c:pt idx="636">
                  <c:v>9.4</c:v>
                </c:pt>
                <c:pt idx="637">
                  <c:v>9.4</c:v>
                </c:pt>
                <c:pt idx="638">
                  <c:v>10.199999999999999</c:v>
                </c:pt>
                <c:pt idx="639">
                  <c:v>10.3</c:v>
                </c:pt>
                <c:pt idx="640">
                  <c:v>9.4</c:v>
                </c:pt>
                <c:pt idx="641">
                  <c:v>9.5</c:v>
                </c:pt>
                <c:pt idx="642">
                  <c:v>9.4</c:v>
                </c:pt>
                <c:pt idx="643">
                  <c:v>9.5</c:v>
                </c:pt>
                <c:pt idx="644">
                  <c:v>9.4</c:v>
                </c:pt>
                <c:pt idx="645">
                  <c:v>10.1</c:v>
                </c:pt>
                <c:pt idx="646">
                  <c:v>10.1</c:v>
                </c:pt>
                <c:pt idx="647">
                  <c:v>11</c:v>
                </c:pt>
                <c:pt idx="648">
                  <c:v>11.2</c:v>
                </c:pt>
                <c:pt idx="649">
                  <c:v>11.3</c:v>
                </c:pt>
                <c:pt idx="650">
                  <c:v>9.6</c:v>
                </c:pt>
                <c:pt idx="651">
                  <c:v>11.2</c:v>
                </c:pt>
                <c:pt idx="652">
                  <c:v>14.9</c:v>
                </c:pt>
                <c:pt idx="653">
                  <c:v>12</c:v>
                </c:pt>
                <c:pt idx="654">
                  <c:v>9.5</c:v>
                </c:pt>
                <c:pt idx="655">
                  <c:v>9.4</c:v>
                </c:pt>
                <c:pt idx="656">
                  <c:v>9.6</c:v>
                </c:pt>
                <c:pt idx="657">
                  <c:v>10.5</c:v>
                </c:pt>
                <c:pt idx="658">
                  <c:v>9.6</c:v>
                </c:pt>
                <c:pt idx="659">
                  <c:v>11</c:v>
                </c:pt>
                <c:pt idx="660">
                  <c:v>9.6</c:v>
                </c:pt>
                <c:pt idx="661">
                  <c:v>9</c:v>
                </c:pt>
                <c:pt idx="662">
                  <c:v>9.6</c:v>
                </c:pt>
                <c:pt idx="663">
                  <c:v>10.199999999999999</c:v>
                </c:pt>
                <c:pt idx="664">
                  <c:v>10.199999999999999</c:v>
                </c:pt>
                <c:pt idx="665">
                  <c:v>9.6999999999999993</c:v>
                </c:pt>
                <c:pt idx="666">
                  <c:v>9.5</c:v>
                </c:pt>
                <c:pt idx="667">
                  <c:v>9.1999999999999993</c:v>
                </c:pt>
                <c:pt idx="668">
                  <c:v>11</c:v>
                </c:pt>
                <c:pt idx="669">
                  <c:v>9.1999999999999993</c:v>
                </c:pt>
                <c:pt idx="670">
                  <c:v>10</c:v>
                </c:pt>
                <c:pt idx="671">
                  <c:v>9.5</c:v>
                </c:pt>
                <c:pt idx="672">
                  <c:v>9.5</c:v>
                </c:pt>
                <c:pt idx="673">
                  <c:v>9.5</c:v>
                </c:pt>
                <c:pt idx="674">
                  <c:v>9.3000000000000007</c:v>
                </c:pt>
                <c:pt idx="675">
                  <c:v>10.199999999999999</c:v>
                </c:pt>
                <c:pt idx="676">
                  <c:v>9.3000000000000007</c:v>
                </c:pt>
                <c:pt idx="677">
                  <c:v>9.9</c:v>
                </c:pt>
                <c:pt idx="678">
                  <c:v>10</c:v>
                </c:pt>
                <c:pt idx="679">
                  <c:v>9.6</c:v>
                </c:pt>
                <c:pt idx="680">
                  <c:v>9</c:v>
                </c:pt>
                <c:pt idx="681">
                  <c:v>10.199999999999999</c:v>
                </c:pt>
                <c:pt idx="682">
                  <c:v>9.8000000000000007</c:v>
                </c:pt>
                <c:pt idx="683">
                  <c:v>11.3</c:v>
                </c:pt>
                <c:pt idx="684">
                  <c:v>9.4</c:v>
                </c:pt>
                <c:pt idx="685">
                  <c:v>11.3</c:v>
                </c:pt>
                <c:pt idx="686">
                  <c:v>9.1</c:v>
                </c:pt>
                <c:pt idx="687">
                  <c:v>9.6999999999999993</c:v>
                </c:pt>
                <c:pt idx="688">
                  <c:v>9.4</c:v>
                </c:pt>
                <c:pt idx="689">
                  <c:v>9.4</c:v>
                </c:pt>
                <c:pt idx="690">
                  <c:v>10.7</c:v>
                </c:pt>
                <c:pt idx="691">
                  <c:v>9.8000000000000007</c:v>
                </c:pt>
                <c:pt idx="692">
                  <c:v>9</c:v>
                </c:pt>
                <c:pt idx="693">
                  <c:v>9.4</c:v>
                </c:pt>
                <c:pt idx="694">
                  <c:v>9.4</c:v>
                </c:pt>
                <c:pt idx="695">
                  <c:v>12.8</c:v>
                </c:pt>
                <c:pt idx="696">
                  <c:v>9.5</c:v>
                </c:pt>
                <c:pt idx="697">
                  <c:v>9.5</c:v>
                </c:pt>
                <c:pt idx="698">
                  <c:v>9.6999999999999993</c:v>
                </c:pt>
                <c:pt idx="699">
                  <c:v>10.8</c:v>
                </c:pt>
                <c:pt idx="700">
                  <c:v>10.1</c:v>
                </c:pt>
                <c:pt idx="701">
                  <c:v>9.5</c:v>
                </c:pt>
                <c:pt idx="702">
                  <c:v>9.4</c:v>
                </c:pt>
                <c:pt idx="703">
                  <c:v>9.6</c:v>
                </c:pt>
                <c:pt idx="704">
                  <c:v>9.6999999999999993</c:v>
                </c:pt>
                <c:pt idx="705">
                  <c:v>9.9</c:v>
                </c:pt>
                <c:pt idx="706">
                  <c:v>10</c:v>
                </c:pt>
                <c:pt idx="707">
                  <c:v>10.5</c:v>
                </c:pt>
                <c:pt idx="708">
                  <c:v>11.6</c:v>
                </c:pt>
                <c:pt idx="709">
                  <c:v>10</c:v>
                </c:pt>
                <c:pt idx="710">
                  <c:v>10.1</c:v>
                </c:pt>
                <c:pt idx="711">
                  <c:v>9.5</c:v>
                </c:pt>
                <c:pt idx="712">
                  <c:v>9.4</c:v>
                </c:pt>
                <c:pt idx="713">
                  <c:v>9.4</c:v>
                </c:pt>
                <c:pt idx="714">
                  <c:v>9.8000000000000007</c:v>
                </c:pt>
                <c:pt idx="715">
                  <c:v>9.1999999999999993</c:v>
                </c:pt>
                <c:pt idx="716">
                  <c:v>9.4</c:v>
                </c:pt>
                <c:pt idx="717">
                  <c:v>10</c:v>
                </c:pt>
                <c:pt idx="718">
                  <c:v>9.6</c:v>
                </c:pt>
                <c:pt idx="719">
                  <c:v>9.5</c:v>
                </c:pt>
                <c:pt idx="720">
                  <c:v>9.6</c:v>
                </c:pt>
                <c:pt idx="721">
                  <c:v>9.1999999999999993</c:v>
                </c:pt>
                <c:pt idx="722">
                  <c:v>10</c:v>
                </c:pt>
                <c:pt idx="723">
                  <c:v>9.5</c:v>
                </c:pt>
                <c:pt idx="724">
                  <c:v>11.2</c:v>
                </c:pt>
                <c:pt idx="725">
                  <c:v>10.4</c:v>
                </c:pt>
                <c:pt idx="726">
                  <c:v>11.1</c:v>
                </c:pt>
                <c:pt idx="727">
                  <c:v>9.5</c:v>
                </c:pt>
                <c:pt idx="728">
                  <c:v>9.5</c:v>
                </c:pt>
                <c:pt idx="729">
                  <c:v>12.7</c:v>
                </c:pt>
                <c:pt idx="730">
                  <c:v>9.6</c:v>
                </c:pt>
                <c:pt idx="731">
                  <c:v>11.5</c:v>
                </c:pt>
                <c:pt idx="732">
                  <c:v>9.6</c:v>
                </c:pt>
                <c:pt idx="733">
                  <c:v>9.5</c:v>
                </c:pt>
                <c:pt idx="734">
                  <c:v>9.3000000000000007</c:v>
                </c:pt>
                <c:pt idx="735">
                  <c:v>9.5</c:v>
                </c:pt>
                <c:pt idx="736">
                  <c:v>9.5</c:v>
                </c:pt>
                <c:pt idx="737">
                  <c:v>9.3000000000000007</c:v>
                </c:pt>
                <c:pt idx="738">
                  <c:v>9.1999999999999993</c:v>
                </c:pt>
                <c:pt idx="739">
                  <c:v>9.3000000000000007</c:v>
                </c:pt>
                <c:pt idx="740">
                  <c:v>11.5</c:v>
                </c:pt>
                <c:pt idx="741">
                  <c:v>9.5</c:v>
                </c:pt>
                <c:pt idx="742">
                  <c:v>9.1999999999999993</c:v>
                </c:pt>
                <c:pt idx="743">
                  <c:v>10</c:v>
                </c:pt>
                <c:pt idx="744">
                  <c:v>9.5</c:v>
                </c:pt>
                <c:pt idx="745">
                  <c:v>9.5</c:v>
                </c:pt>
                <c:pt idx="746">
                  <c:v>9</c:v>
                </c:pt>
                <c:pt idx="747">
                  <c:v>9.4</c:v>
                </c:pt>
                <c:pt idx="748">
                  <c:v>9.6</c:v>
                </c:pt>
                <c:pt idx="749">
                  <c:v>9.5</c:v>
                </c:pt>
                <c:pt idx="750">
                  <c:v>9.5</c:v>
                </c:pt>
                <c:pt idx="751">
                  <c:v>9.5</c:v>
                </c:pt>
                <c:pt idx="752">
                  <c:v>9.4</c:v>
                </c:pt>
                <c:pt idx="753">
                  <c:v>9.5</c:v>
                </c:pt>
                <c:pt idx="754">
                  <c:v>9.1</c:v>
                </c:pt>
                <c:pt idx="755">
                  <c:v>10.7</c:v>
                </c:pt>
                <c:pt idx="756">
                  <c:v>11.2</c:v>
                </c:pt>
                <c:pt idx="757">
                  <c:v>9.8000000000000007</c:v>
                </c:pt>
                <c:pt idx="758">
                  <c:v>9.8000000000000007</c:v>
                </c:pt>
                <c:pt idx="759">
                  <c:v>9.1999999999999993</c:v>
                </c:pt>
                <c:pt idx="760">
                  <c:v>9.6999999999999993</c:v>
                </c:pt>
                <c:pt idx="761">
                  <c:v>9.6</c:v>
                </c:pt>
                <c:pt idx="762">
                  <c:v>10</c:v>
                </c:pt>
                <c:pt idx="763">
                  <c:v>9.6</c:v>
                </c:pt>
                <c:pt idx="764">
                  <c:v>9.5</c:v>
                </c:pt>
                <c:pt idx="765">
                  <c:v>9.5</c:v>
                </c:pt>
                <c:pt idx="766">
                  <c:v>9.4</c:v>
                </c:pt>
                <c:pt idx="767">
                  <c:v>9.5</c:v>
                </c:pt>
                <c:pt idx="768">
                  <c:v>9.6999999999999993</c:v>
                </c:pt>
                <c:pt idx="769">
                  <c:v>9.6</c:v>
                </c:pt>
                <c:pt idx="770">
                  <c:v>9.6999999999999993</c:v>
                </c:pt>
                <c:pt idx="771">
                  <c:v>9.4</c:v>
                </c:pt>
                <c:pt idx="772">
                  <c:v>9.4</c:v>
                </c:pt>
                <c:pt idx="773">
                  <c:v>9.5</c:v>
                </c:pt>
                <c:pt idx="774">
                  <c:v>9.5</c:v>
                </c:pt>
                <c:pt idx="775">
                  <c:v>10</c:v>
                </c:pt>
                <c:pt idx="776">
                  <c:v>10.3</c:v>
                </c:pt>
                <c:pt idx="777">
                  <c:v>10.3</c:v>
                </c:pt>
                <c:pt idx="778">
                  <c:v>10.5</c:v>
                </c:pt>
                <c:pt idx="779">
                  <c:v>9.8000000000000007</c:v>
                </c:pt>
                <c:pt idx="780">
                  <c:v>9.4</c:v>
                </c:pt>
                <c:pt idx="781">
                  <c:v>9.8000000000000007</c:v>
                </c:pt>
                <c:pt idx="782">
                  <c:v>10</c:v>
                </c:pt>
                <c:pt idx="783">
                  <c:v>9.8000000000000007</c:v>
                </c:pt>
                <c:pt idx="784">
                  <c:v>9.8000000000000007</c:v>
                </c:pt>
                <c:pt idx="785">
                  <c:v>9.5</c:v>
                </c:pt>
                <c:pt idx="786">
                  <c:v>9.5</c:v>
                </c:pt>
                <c:pt idx="787">
                  <c:v>10.1</c:v>
                </c:pt>
                <c:pt idx="788">
                  <c:v>10.1</c:v>
                </c:pt>
                <c:pt idx="789">
                  <c:v>9.3000000000000007</c:v>
                </c:pt>
                <c:pt idx="790">
                  <c:v>9.6999999999999993</c:v>
                </c:pt>
                <c:pt idx="791">
                  <c:v>9.6</c:v>
                </c:pt>
                <c:pt idx="792">
                  <c:v>9.6999999999999993</c:v>
                </c:pt>
                <c:pt idx="793">
                  <c:v>10.8</c:v>
                </c:pt>
                <c:pt idx="794">
                  <c:v>12.5</c:v>
                </c:pt>
                <c:pt idx="795">
                  <c:v>10.199999999999999</c:v>
                </c:pt>
                <c:pt idx="796">
                  <c:v>9.6</c:v>
                </c:pt>
                <c:pt idx="797">
                  <c:v>10.8</c:v>
                </c:pt>
                <c:pt idx="798">
                  <c:v>10.7</c:v>
                </c:pt>
                <c:pt idx="799">
                  <c:v>10.7</c:v>
                </c:pt>
                <c:pt idx="800">
                  <c:v>9.4</c:v>
                </c:pt>
                <c:pt idx="801">
                  <c:v>10</c:v>
                </c:pt>
                <c:pt idx="802">
                  <c:v>12.9</c:v>
                </c:pt>
                <c:pt idx="803">
                  <c:v>9.6</c:v>
                </c:pt>
                <c:pt idx="804">
                  <c:v>9.9</c:v>
                </c:pt>
                <c:pt idx="805">
                  <c:v>12.8</c:v>
                </c:pt>
                <c:pt idx="806">
                  <c:v>12.5</c:v>
                </c:pt>
                <c:pt idx="807">
                  <c:v>12.8</c:v>
                </c:pt>
                <c:pt idx="808">
                  <c:v>9.1999999999999993</c:v>
                </c:pt>
                <c:pt idx="809">
                  <c:v>10.3</c:v>
                </c:pt>
                <c:pt idx="810">
                  <c:v>10.5</c:v>
                </c:pt>
                <c:pt idx="811">
                  <c:v>10.9</c:v>
                </c:pt>
                <c:pt idx="812">
                  <c:v>10.8</c:v>
                </c:pt>
                <c:pt idx="813">
                  <c:v>11.4</c:v>
                </c:pt>
                <c:pt idx="814">
                  <c:v>11.3</c:v>
                </c:pt>
                <c:pt idx="815">
                  <c:v>10.8</c:v>
                </c:pt>
                <c:pt idx="816">
                  <c:v>10.5</c:v>
                </c:pt>
                <c:pt idx="817">
                  <c:v>11.9</c:v>
                </c:pt>
                <c:pt idx="818">
                  <c:v>9.4</c:v>
                </c:pt>
                <c:pt idx="819">
                  <c:v>9.6</c:v>
                </c:pt>
                <c:pt idx="820">
                  <c:v>9.6999999999999993</c:v>
                </c:pt>
                <c:pt idx="821">
                  <c:v>14</c:v>
                </c:pt>
                <c:pt idx="822">
                  <c:v>9.8000000000000007</c:v>
                </c:pt>
                <c:pt idx="823">
                  <c:v>9.8000000000000007</c:v>
                </c:pt>
                <c:pt idx="824">
                  <c:v>10.3</c:v>
                </c:pt>
                <c:pt idx="825">
                  <c:v>10.7</c:v>
                </c:pt>
                <c:pt idx="826">
                  <c:v>11</c:v>
                </c:pt>
                <c:pt idx="827">
                  <c:v>10.7</c:v>
                </c:pt>
                <c:pt idx="828">
                  <c:v>12.7</c:v>
                </c:pt>
                <c:pt idx="829">
                  <c:v>11.1</c:v>
                </c:pt>
                <c:pt idx="830">
                  <c:v>10.9</c:v>
                </c:pt>
                <c:pt idx="831">
                  <c:v>11.1</c:v>
                </c:pt>
                <c:pt idx="832">
                  <c:v>9.9</c:v>
                </c:pt>
                <c:pt idx="833">
                  <c:v>9.9</c:v>
                </c:pt>
                <c:pt idx="834">
                  <c:v>9.4</c:v>
                </c:pt>
                <c:pt idx="835">
                  <c:v>9.3000000000000007</c:v>
                </c:pt>
                <c:pt idx="836">
                  <c:v>11.7</c:v>
                </c:pt>
                <c:pt idx="837">
                  <c:v>11.7</c:v>
                </c:pt>
                <c:pt idx="838">
                  <c:v>11.2</c:v>
                </c:pt>
                <c:pt idx="839">
                  <c:v>10</c:v>
                </c:pt>
                <c:pt idx="840">
                  <c:v>12.1</c:v>
                </c:pt>
                <c:pt idx="841">
                  <c:v>10.3</c:v>
                </c:pt>
                <c:pt idx="842">
                  <c:v>10.9</c:v>
                </c:pt>
                <c:pt idx="843">
                  <c:v>9.4</c:v>
                </c:pt>
                <c:pt idx="844">
                  <c:v>10.6</c:v>
                </c:pt>
                <c:pt idx="845">
                  <c:v>9.8000000000000007</c:v>
                </c:pt>
                <c:pt idx="846">
                  <c:v>9.8000000000000007</c:v>
                </c:pt>
                <c:pt idx="847">
                  <c:v>9.9</c:v>
                </c:pt>
                <c:pt idx="848">
                  <c:v>9.8000000000000007</c:v>
                </c:pt>
                <c:pt idx="849">
                  <c:v>9.8000000000000007</c:v>
                </c:pt>
                <c:pt idx="850">
                  <c:v>9.5</c:v>
                </c:pt>
                <c:pt idx="851">
                  <c:v>9.5</c:v>
                </c:pt>
                <c:pt idx="852">
                  <c:v>9.6999999999999993</c:v>
                </c:pt>
                <c:pt idx="853">
                  <c:v>10.9</c:v>
                </c:pt>
                <c:pt idx="854">
                  <c:v>10.9</c:v>
                </c:pt>
                <c:pt idx="855">
                  <c:v>11.7</c:v>
                </c:pt>
                <c:pt idx="856">
                  <c:v>10.9</c:v>
                </c:pt>
                <c:pt idx="857">
                  <c:v>11.3</c:v>
                </c:pt>
                <c:pt idx="858">
                  <c:v>10.6</c:v>
                </c:pt>
                <c:pt idx="859">
                  <c:v>11.2</c:v>
                </c:pt>
                <c:pt idx="860">
                  <c:v>9.5</c:v>
                </c:pt>
                <c:pt idx="861">
                  <c:v>11.5</c:v>
                </c:pt>
                <c:pt idx="862">
                  <c:v>10.4</c:v>
                </c:pt>
                <c:pt idx="863">
                  <c:v>9.6999999999999993</c:v>
                </c:pt>
                <c:pt idx="864">
                  <c:v>9.5</c:v>
                </c:pt>
                <c:pt idx="865">
                  <c:v>9.6999999999999993</c:v>
                </c:pt>
                <c:pt idx="866">
                  <c:v>11.3</c:v>
                </c:pt>
                <c:pt idx="867">
                  <c:v>11.2</c:v>
                </c:pt>
                <c:pt idx="868">
                  <c:v>11.2</c:v>
                </c:pt>
                <c:pt idx="869">
                  <c:v>10.9</c:v>
                </c:pt>
                <c:pt idx="870">
                  <c:v>11.8</c:v>
                </c:pt>
                <c:pt idx="871">
                  <c:v>10.6</c:v>
                </c:pt>
                <c:pt idx="872">
                  <c:v>10</c:v>
                </c:pt>
                <c:pt idx="873">
                  <c:v>11.1</c:v>
                </c:pt>
                <c:pt idx="874">
                  <c:v>11.8</c:v>
                </c:pt>
                <c:pt idx="875">
                  <c:v>11.8</c:v>
                </c:pt>
                <c:pt idx="876">
                  <c:v>10.9</c:v>
                </c:pt>
                <c:pt idx="877">
                  <c:v>11.8</c:v>
                </c:pt>
                <c:pt idx="878">
                  <c:v>10</c:v>
                </c:pt>
                <c:pt idx="879">
                  <c:v>9.5</c:v>
                </c:pt>
                <c:pt idx="880">
                  <c:v>9.9</c:v>
                </c:pt>
                <c:pt idx="881">
                  <c:v>11.4</c:v>
                </c:pt>
                <c:pt idx="882">
                  <c:v>12</c:v>
                </c:pt>
                <c:pt idx="883">
                  <c:v>9.5</c:v>
                </c:pt>
                <c:pt idx="884">
                  <c:v>10</c:v>
                </c:pt>
                <c:pt idx="885">
                  <c:v>10.5</c:v>
                </c:pt>
                <c:pt idx="886">
                  <c:v>10.4</c:v>
                </c:pt>
                <c:pt idx="887">
                  <c:v>12.1</c:v>
                </c:pt>
                <c:pt idx="888">
                  <c:v>11.2</c:v>
                </c:pt>
                <c:pt idx="889">
                  <c:v>9.3000000000000007</c:v>
                </c:pt>
                <c:pt idx="890">
                  <c:v>10.1</c:v>
                </c:pt>
                <c:pt idx="891">
                  <c:v>9.6999999999999993</c:v>
                </c:pt>
                <c:pt idx="892">
                  <c:v>9.3000000000000007</c:v>
                </c:pt>
                <c:pt idx="893">
                  <c:v>9.6999999999999993</c:v>
                </c:pt>
                <c:pt idx="894">
                  <c:v>9.8000000000000007</c:v>
                </c:pt>
                <c:pt idx="895">
                  <c:v>10.7</c:v>
                </c:pt>
                <c:pt idx="896">
                  <c:v>12.5</c:v>
                </c:pt>
                <c:pt idx="897">
                  <c:v>10.7</c:v>
                </c:pt>
                <c:pt idx="898">
                  <c:v>12.5</c:v>
                </c:pt>
                <c:pt idx="899">
                  <c:v>11</c:v>
                </c:pt>
                <c:pt idx="900">
                  <c:v>11.8</c:v>
                </c:pt>
                <c:pt idx="901">
                  <c:v>10.8</c:v>
                </c:pt>
                <c:pt idx="902">
                  <c:v>10.8</c:v>
                </c:pt>
                <c:pt idx="903">
                  <c:v>10.8</c:v>
                </c:pt>
                <c:pt idx="904">
                  <c:v>10.8</c:v>
                </c:pt>
                <c:pt idx="905">
                  <c:v>9.5</c:v>
                </c:pt>
                <c:pt idx="906">
                  <c:v>11</c:v>
                </c:pt>
                <c:pt idx="907">
                  <c:v>11.5</c:v>
                </c:pt>
                <c:pt idx="908">
                  <c:v>10.8</c:v>
                </c:pt>
                <c:pt idx="909">
                  <c:v>11.5</c:v>
                </c:pt>
                <c:pt idx="910">
                  <c:v>13.2</c:v>
                </c:pt>
                <c:pt idx="911">
                  <c:v>10.9</c:v>
                </c:pt>
                <c:pt idx="912">
                  <c:v>12.2</c:v>
                </c:pt>
                <c:pt idx="913">
                  <c:v>12.2</c:v>
                </c:pt>
                <c:pt idx="914">
                  <c:v>11.5</c:v>
                </c:pt>
                <c:pt idx="915">
                  <c:v>11.9</c:v>
                </c:pt>
                <c:pt idx="916">
                  <c:v>11</c:v>
                </c:pt>
                <c:pt idx="917">
                  <c:v>10.1</c:v>
                </c:pt>
                <c:pt idx="918">
                  <c:v>11</c:v>
                </c:pt>
                <c:pt idx="919">
                  <c:v>11.8</c:v>
                </c:pt>
                <c:pt idx="920">
                  <c:v>10.5</c:v>
                </c:pt>
                <c:pt idx="921">
                  <c:v>11</c:v>
                </c:pt>
                <c:pt idx="922">
                  <c:v>11.8</c:v>
                </c:pt>
                <c:pt idx="923">
                  <c:v>10.1</c:v>
                </c:pt>
                <c:pt idx="924">
                  <c:v>11.2</c:v>
                </c:pt>
                <c:pt idx="925">
                  <c:v>11</c:v>
                </c:pt>
                <c:pt idx="926">
                  <c:v>10.199999999999999</c:v>
                </c:pt>
                <c:pt idx="927">
                  <c:v>9.1999999999999993</c:v>
                </c:pt>
                <c:pt idx="928">
                  <c:v>11.2</c:v>
                </c:pt>
                <c:pt idx="929">
                  <c:v>12</c:v>
                </c:pt>
                <c:pt idx="930">
                  <c:v>10.5</c:v>
                </c:pt>
                <c:pt idx="931">
                  <c:v>9.8000000000000007</c:v>
                </c:pt>
                <c:pt idx="932">
                  <c:v>9.5</c:v>
                </c:pt>
                <c:pt idx="933">
                  <c:v>9.8000000000000007</c:v>
                </c:pt>
                <c:pt idx="934">
                  <c:v>10.5</c:v>
                </c:pt>
                <c:pt idx="935">
                  <c:v>11.8</c:v>
                </c:pt>
                <c:pt idx="936">
                  <c:v>11.8</c:v>
                </c:pt>
                <c:pt idx="937">
                  <c:v>10.4</c:v>
                </c:pt>
                <c:pt idx="938">
                  <c:v>12.9</c:v>
                </c:pt>
                <c:pt idx="939">
                  <c:v>11.4</c:v>
                </c:pt>
                <c:pt idx="940">
                  <c:v>12.4</c:v>
                </c:pt>
                <c:pt idx="941">
                  <c:v>12.5</c:v>
                </c:pt>
                <c:pt idx="942">
                  <c:v>10</c:v>
                </c:pt>
                <c:pt idx="943">
                  <c:v>9.6999999999999993</c:v>
                </c:pt>
                <c:pt idx="944">
                  <c:v>12.1</c:v>
                </c:pt>
                <c:pt idx="945">
                  <c:v>11.1</c:v>
                </c:pt>
                <c:pt idx="946">
                  <c:v>12</c:v>
                </c:pt>
                <c:pt idx="947">
                  <c:v>12.4</c:v>
                </c:pt>
                <c:pt idx="948">
                  <c:v>11.9</c:v>
                </c:pt>
                <c:pt idx="949">
                  <c:v>11.9</c:v>
                </c:pt>
                <c:pt idx="950">
                  <c:v>11.9</c:v>
                </c:pt>
                <c:pt idx="951">
                  <c:v>12.4</c:v>
                </c:pt>
                <c:pt idx="952">
                  <c:v>11.2</c:v>
                </c:pt>
                <c:pt idx="953">
                  <c:v>12.1</c:v>
                </c:pt>
                <c:pt idx="954">
                  <c:v>12.2</c:v>
                </c:pt>
                <c:pt idx="955">
                  <c:v>10.4</c:v>
                </c:pt>
                <c:pt idx="956">
                  <c:v>11.3</c:v>
                </c:pt>
                <c:pt idx="957">
                  <c:v>11.1</c:v>
                </c:pt>
                <c:pt idx="958">
                  <c:v>11.3</c:v>
                </c:pt>
                <c:pt idx="959">
                  <c:v>10</c:v>
                </c:pt>
                <c:pt idx="960">
                  <c:v>11.1</c:v>
                </c:pt>
                <c:pt idx="961">
                  <c:v>9.3000000000000007</c:v>
                </c:pt>
                <c:pt idx="962">
                  <c:v>9.5</c:v>
                </c:pt>
                <c:pt idx="963">
                  <c:v>11.2</c:v>
                </c:pt>
                <c:pt idx="964">
                  <c:v>11.1</c:v>
                </c:pt>
                <c:pt idx="965">
                  <c:v>11</c:v>
                </c:pt>
                <c:pt idx="966">
                  <c:v>11.9</c:v>
                </c:pt>
                <c:pt idx="967">
                  <c:v>9.1999999999999993</c:v>
                </c:pt>
                <c:pt idx="968">
                  <c:v>12.2</c:v>
                </c:pt>
                <c:pt idx="969">
                  <c:v>10.199999999999999</c:v>
                </c:pt>
                <c:pt idx="970">
                  <c:v>10.9</c:v>
                </c:pt>
                <c:pt idx="971">
                  <c:v>10.9</c:v>
                </c:pt>
                <c:pt idx="972">
                  <c:v>11.6</c:v>
                </c:pt>
                <c:pt idx="973">
                  <c:v>10.7</c:v>
                </c:pt>
                <c:pt idx="974">
                  <c:v>12.1</c:v>
                </c:pt>
                <c:pt idx="975">
                  <c:v>9.4</c:v>
                </c:pt>
                <c:pt idx="976">
                  <c:v>9.4</c:v>
                </c:pt>
                <c:pt idx="977">
                  <c:v>9.1</c:v>
                </c:pt>
                <c:pt idx="978">
                  <c:v>11.3</c:v>
                </c:pt>
                <c:pt idx="979">
                  <c:v>10.4</c:v>
                </c:pt>
                <c:pt idx="980">
                  <c:v>10.5</c:v>
                </c:pt>
                <c:pt idx="981">
                  <c:v>10</c:v>
                </c:pt>
                <c:pt idx="982">
                  <c:v>12.9</c:v>
                </c:pt>
                <c:pt idx="983">
                  <c:v>10.5</c:v>
                </c:pt>
                <c:pt idx="984">
                  <c:v>10.4</c:v>
                </c:pt>
                <c:pt idx="985">
                  <c:v>11.3</c:v>
                </c:pt>
                <c:pt idx="986">
                  <c:v>11.4</c:v>
                </c:pt>
                <c:pt idx="987">
                  <c:v>9.4</c:v>
                </c:pt>
                <c:pt idx="988">
                  <c:v>9.4</c:v>
                </c:pt>
                <c:pt idx="989">
                  <c:v>10.9</c:v>
                </c:pt>
                <c:pt idx="990">
                  <c:v>9.4</c:v>
                </c:pt>
                <c:pt idx="991">
                  <c:v>9.4</c:v>
                </c:pt>
                <c:pt idx="992">
                  <c:v>9.4</c:v>
                </c:pt>
                <c:pt idx="993">
                  <c:v>9.4</c:v>
                </c:pt>
                <c:pt idx="994">
                  <c:v>9.4</c:v>
                </c:pt>
                <c:pt idx="995">
                  <c:v>10.1</c:v>
                </c:pt>
                <c:pt idx="996">
                  <c:v>12.8</c:v>
                </c:pt>
                <c:pt idx="997">
                  <c:v>12.8</c:v>
                </c:pt>
                <c:pt idx="998">
                  <c:v>9.1</c:v>
                </c:pt>
                <c:pt idx="999">
                  <c:v>12.9</c:v>
                </c:pt>
                <c:pt idx="1000">
                  <c:v>11.5</c:v>
                </c:pt>
                <c:pt idx="1001">
                  <c:v>10.6</c:v>
                </c:pt>
                <c:pt idx="1002">
                  <c:v>11.7</c:v>
                </c:pt>
                <c:pt idx="1003">
                  <c:v>12.8</c:v>
                </c:pt>
                <c:pt idx="1004">
                  <c:v>10.3</c:v>
                </c:pt>
                <c:pt idx="1005">
                  <c:v>12.8</c:v>
                </c:pt>
                <c:pt idx="1006">
                  <c:v>11.7</c:v>
                </c:pt>
                <c:pt idx="1007">
                  <c:v>11.7</c:v>
                </c:pt>
                <c:pt idx="1008">
                  <c:v>12</c:v>
                </c:pt>
                <c:pt idx="1009">
                  <c:v>10.9</c:v>
                </c:pt>
                <c:pt idx="1010">
                  <c:v>12.3</c:v>
                </c:pt>
                <c:pt idx="1011">
                  <c:v>10.4</c:v>
                </c:pt>
                <c:pt idx="1012">
                  <c:v>10</c:v>
                </c:pt>
                <c:pt idx="1013">
                  <c:v>10</c:v>
                </c:pt>
                <c:pt idx="1014">
                  <c:v>11.2</c:v>
                </c:pt>
                <c:pt idx="1015">
                  <c:v>11.4</c:v>
                </c:pt>
                <c:pt idx="1016">
                  <c:v>12.6</c:v>
                </c:pt>
                <c:pt idx="1017">
                  <c:v>12.7</c:v>
                </c:pt>
                <c:pt idx="1018">
                  <c:v>12.7</c:v>
                </c:pt>
                <c:pt idx="1019">
                  <c:v>10.4</c:v>
                </c:pt>
                <c:pt idx="1020">
                  <c:v>11.9</c:v>
                </c:pt>
                <c:pt idx="1021">
                  <c:v>11.9</c:v>
                </c:pt>
                <c:pt idx="1022">
                  <c:v>10.5</c:v>
                </c:pt>
                <c:pt idx="1023">
                  <c:v>12.3</c:v>
                </c:pt>
                <c:pt idx="1024">
                  <c:v>10.5</c:v>
                </c:pt>
                <c:pt idx="1025">
                  <c:v>10.4</c:v>
                </c:pt>
                <c:pt idx="1026">
                  <c:v>12.6</c:v>
                </c:pt>
                <c:pt idx="1027">
                  <c:v>11.6</c:v>
                </c:pt>
                <c:pt idx="1028">
                  <c:v>10.1</c:v>
                </c:pt>
                <c:pt idx="1029">
                  <c:v>10.5</c:v>
                </c:pt>
                <c:pt idx="1030">
                  <c:v>11.5</c:v>
                </c:pt>
                <c:pt idx="1031">
                  <c:v>11</c:v>
                </c:pt>
                <c:pt idx="1032">
                  <c:v>9.6</c:v>
                </c:pt>
                <c:pt idx="1033">
                  <c:v>10.4</c:v>
                </c:pt>
                <c:pt idx="1034">
                  <c:v>9.6999999999999993</c:v>
                </c:pt>
                <c:pt idx="1035">
                  <c:v>10.6</c:v>
                </c:pt>
                <c:pt idx="1036">
                  <c:v>12.5</c:v>
                </c:pt>
                <c:pt idx="1037">
                  <c:v>9.1999999999999993</c:v>
                </c:pt>
                <c:pt idx="1038">
                  <c:v>12.6</c:v>
                </c:pt>
                <c:pt idx="1039">
                  <c:v>11.1</c:v>
                </c:pt>
                <c:pt idx="1040">
                  <c:v>10.199999999999999</c:v>
                </c:pt>
                <c:pt idx="1041">
                  <c:v>9.8000000000000007</c:v>
                </c:pt>
                <c:pt idx="1042">
                  <c:v>11.1</c:v>
                </c:pt>
                <c:pt idx="1043">
                  <c:v>10.9</c:v>
                </c:pt>
                <c:pt idx="1044">
                  <c:v>12.2</c:v>
                </c:pt>
                <c:pt idx="1045">
                  <c:v>11.4</c:v>
                </c:pt>
                <c:pt idx="1046">
                  <c:v>10.7</c:v>
                </c:pt>
                <c:pt idx="1047">
                  <c:v>10.4</c:v>
                </c:pt>
                <c:pt idx="1048">
                  <c:v>10.9</c:v>
                </c:pt>
                <c:pt idx="1049">
                  <c:v>10.8</c:v>
                </c:pt>
                <c:pt idx="1050">
                  <c:v>10.4</c:v>
                </c:pt>
                <c:pt idx="1051">
                  <c:v>9.1999999999999993</c:v>
                </c:pt>
                <c:pt idx="1052">
                  <c:v>12.9</c:v>
                </c:pt>
                <c:pt idx="1053">
                  <c:v>12.7</c:v>
                </c:pt>
                <c:pt idx="1054">
                  <c:v>9.1</c:v>
                </c:pt>
                <c:pt idx="1055">
                  <c:v>9.1</c:v>
                </c:pt>
                <c:pt idx="1056">
                  <c:v>12.1</c:v>
                </c:pt>
                <c:pt idx="1057">
                  <c:v>9.1</c:v>
                </c:pt>
                <c:pt idx="1058">
                  <c:v>11.6</c:v>
                </c:pt>
                <c:pt idx="1059">
                  <c:v>12.1</c:v>
                </c:pt>
                <c:pt idx="1060">
                  <c:v>9.9</c:v>
                </c:pt>
                <c:pt idx="1061">
                  <c:v>12.5</c:v>
                </c:pt>
                <c:pt idx="1062">
                  <c:v>11.4</c:v>
                </c:pt>
                <c:pt idx="1063">
                  <c:v>11.8</c:v>
                </c:pt>
                <c:pt idx="1064">
                  <c:v>11.8</c:v>
                </c:pt>
                <c:pt idx="1065">
                  <c:v>10.199999999999999</c:v>
                </c:pt>
                <c:pt idx="1066">
                  <c:v>12.5</c:v>
                </c:pt>
                <c:pt idx="1067">
                  <c:v>10.9</c:v>
                </c:pt>
                <c:pt idx="1068">
                  <c:v>10.9</c:v>
                </c:pt>
                <c:pt idx="1069">
                  <c:v>10.8</c:v>
                </c:pt>
                <c:pt idx="1070">
                  <c:v>11.1</c:v>
                </c:pt>
                <c:pt idx="1071">
                  <c:v>9.1999999999999993</c:v>
                </c:pt>
                <c:pt idx="1072">
                  <c:v>9.5</c:v>
                </c:pt>
                <c:pt idx="1073">
                  <c:v>10.7</c:v>
                </c:pt>
                <c:pt idx="1074">
                  <c:v>9.1999999999999993</c:v>
                </c:pt>
                <c:pt idx="1075">
                  <c:v>10.199999999999999</c:v>
                </c:pt>
                <c:pt idx="1076">
                  <c:v>11.4</c:v>
                </c:pt>
                <c:pt idx="1077">
                  <c:v>11</c:v>
                </c:pt>
                <c:pt idx="1078">
                  <c:v>11</c:v>
                </c:pt>
                <c:pt idx="1079">
                  <c:v>12.3</c:v>
                </c:pt>
                <c:pt idx="1080">
                  <c:v>11.8</c:v>
                </c:pt>
                <c:pt idx="1081">
                  <c:v>12.3</c:v>
                </c:pt>
                <c:pt idx="1082">
                  <c:v>9.5</c:v>
                </c:pt>
                <c:pt idx="1083">
                  <c:v>12</c:v>
                </c:pt>
                <c:pt idx="1084">
                  <c:v>9.5</c:v>
                </c:pt>
                <c:pt idx="1085">
                  <c:v>9.6</c:v>
                </c:pt>
                <c:pt idx="1086">
                  <c:v>11.6</c:v>
                </c:pt>
                <c:pt idx="1087">
                  <c:v>11.2</c:v>
                </c:pt>
                <c:pt idx="1088">
                  <c:v>9.9</c:v>
                </c:pt>
                <c:pt idx="1089">
                  <c:v>9.9</c:v>
                </c:pt>
                <c:pt idx="1090">
                  <c:v>11.8</c:v>
                </c:pt>
                <c:pt idx="1091">
                  <c:v>11.4</c:v>
                </c:pt>
                <c:pt idx="1092">
                  <c:v>11.5</c:v>
                </c:pt>
                <c:pt idx="1093">
                  <c:v>12</c:v>
                </c:pt>
                <c:pt idx="1094">
                  <c:v>10.8</c:v>
                </c:pt>
                <c:pt idx="1095">
                  <c:v>10.5</c:v>
                </c:pt>
                <c:pt idx="1096">
                  <c:v>10.8</c:v>
                </c:pt>
                <c:pt idx="1097">
                  <c:v>9.4</c:v>
                </c:pt>
                <c:pt idx="1098">
                  <c:v>12.5</c:v>
                </c:pt>
                <c:pt idx="1099">
                  <c:v>9.4</c:v>
                </c:pt>
                <c:pt idx="1100">
                  <c:v>12.4</c:v>
                </c:pt>
                <c:pt idx="1101">
                  <c:v>12</c:v>
                </c:pt>
                <c:pt idx="1102">
                  <c:v>11.2</c:v>
                </c:pt>
                <c:pt idx="1103">
                  <c:v>12</c:v>
                </c:pt>
                <c:pt idx="1104">
                  <c:v>12.4</c:v>
                </c:pt>
                <c:pt idx="1105">
                  <c:v>12.8</c:v>
                </c:pt>
                <c:pt idx="1106">
                  <c:v>12.3</c:v>
                </c:pt>
                <c:pt idx="1107">
                  <c:v>11.7</c:v>
                </c:pt>
                <c:pt idx="1108">
                  <c:v>9.5</c:v>
                </c:pt>
                <c:pt idx="1109">
                  <c:v>10.8</c:v>
                </c:pt>
                <c:pt idx="1110">
                  <c:v>10</c:v>
                </c:pt>
                <c:pt idx="1111">
                  <c:v>12.3</c:v>
                </c:pt>
                <c:pt idx="1112">
                  <c:v>11</c:v>
                </c:pt>
                <c:pt idx="1113">
                  <c:v>9.5</c:v>
                </c:pt>
                <c:pt idx="1114">
                  <c:v>13.6</c:v>
                </c:pt>
                <c:pt idx="1115">
                  <c:v>11.3</c:v>
                </c:pt>
                <c:pt idx="1116">
                  <c:v>11.3</c:v>
                </c:pt>
                <c:pt idx="1117">
                  <c:v>11.3</c:v>
                </c:pt>
                <c:pt idx="1118">
                  <c:v>13.3</c:v>
                </c:pt>
                <c:pt idx="1119">
                  <c:v>12.9</c:v>
                </c:pt>
                <c:pt idx="1120">
                  <c:v>13.1</c:v>
                </c:pt>
                <c:pt idx="1121">
                  <c:v>12.3</c:v>
                </c:pt>
                <c:pt idx="1122">
                  <c:v>12.3</c:v>
                </c:pt>
                <c:pt idx="1123">
                  <c:v>11.2</c:v>
                </c:pt>
                <c:pt idx="1124">
                  <c:v>11.5</c:v>
                </c:pt>
                <c:pt idx="1125">
                  <c:v>11.3</c:v>
                </c:pt>
                <c:pt idx="1126">
                  <c:v>13.5</c:v>
                </c:pt>
                <c:pt idx="1127">
                  <c:v>11.5</c:v>
                </c:pt>
                <c:pt idx="1128">
                  <c:v>10</c:v>
                </c:pt>
                <c:pt idx="1129">
                  <c:v>10.5</c:v>
                </c:pt>
                <c:pt idx="1130">
                  <c:v>10.4</c:v>
                </c:pt>
                <c:pt idx="1131">
                  <c:v>9.5</c:v>
                </c:pt>
                <c:pt idx="1132">
                  <c:v>13.6</c:v>
                </c:pt>
                <c:pt idx="1133">
                  <c:v>11.2</c:v>
                </c:pt>
                <c:pt idx="1134">
                  <c:v>11.8</c:v>
                </c:pt>
                <c:pt idx="1135">
                  <c:v>11.9</c:v>
                </c:pt>
                <c:pt idx="1136">
                  <c:v>11.4</c:v>
                </c:pt>
                <c:pt idx="1137">
                  <c:v>11.4</c:v>
                </c:pt>
                <c:pt idx="1138">
                  <c:v>9.1</c:v>
                </c:pt>
                <c:pt idx="1139">
                  <c:v>9.5</c:v>
                </c:pt>
                <c:pt idx="1140">
                  <c:v>9.5</c:v>
                </c:pt>
                <c:pt idx="1141">
                  <c:v>11</c:v>
                </c:pt>
                <c:pt idx="1142">
                  <c:v>11.4</c:v>
                </c:pt>
                <c:pt idx="1143">
                  <c:v>10</c:v>
                </c:pt>
                <c:pt idx="1144">
                  <c:v>10.1</c:v>
                </c:pt>
                <c:pt idx="1145">
                  <c:v>10.4</c:v>
                </c:pt>
                <c:pt idx="1146">
                  <c:v>9.8000000000000007</c:v>
                </c:pt>
                <c:pt idx="1147">
                  <c:v>11.8</c:v>
                </c:pt>
                <c:pt idx="1148">
                  <c:v>11.6</c:v>
                </c:pt>
                <c:pt idx="1149">
                  <c:v>12</c:v>
                </c:pt>
                <c:pt idx="1150">
                  <c:v>12.8</c:v>
                </c:pt>
                <c:pt idx="1151">
                  <c:v>12.5</c:v>
                </c:pt>
                <c:pt idx="1152">
                  <c:v>9.8000000000000007</c:v>
                </c:pt>
                <c:pt idx="1153">
                  <c:v>11.1</c:v>
                </c:pt>
                <c:pt idx="1154">
                  <c:v>11.4</c:v>
                </c:pt>
                <c:pt idx="1155">
                  <c:v>9.8000000000000007</c:v>
                </c:pt>
                <c:pt idx="1156">
                  <c:v>11.8</c:v>
                </c:pt>
                <c:pt idx="1157">
                  <c:v>12.9</c:v>
                </c:pt>
                <c:pt idx="1158">
                  <c:v>10.6</c:v>
                </c:pt>
                <c:pt idx="1159">
                  <c:v>10.8</c:v>
                </c:pt>
                <c:pt idx="1160">
                  <c:v>11.1</c:v>
                </c:pt>
                <c:pt idx="1161">
                  <c:v>10.199999999999999</c:v>
                </c:pt>
                <c:pt idx="1162">
                  <c:v>11.8</c:v>
                </c:pt>
                <c:pt idx="1163">
                  <c:v>10</c:v>
                </c:pt>
                <c:pt idx="1164">
                  <c:v>10</c:v>
                </c:pt>
                <c:pt idx="1165">
                  <c:v>9.4</c:v>
                </c:pt>
                <c:pt idx="1166">
                  <c:v>10.199999999999999</c:v>
                </c:pt>
                <c:pt idx="1167">
                  <c:v>12.4</c:v>
                </c:pt>
                <c:pt idx="1168">
                  <c:v>12</c:v>
                </c:pt>
                <c:pt idx="1169">
                  <c:v>11.5</c:v>
                </c:pt>
                <c:pt idx="1170">
                  <c:v>10.5</c:v>
                </c:pt>
                <c:pt idx="1171">
                  <c:v>10.8</c:v>
                </c:pt>
                <c:pt idx="1172">
                  <c:v>12.3</c:v>
                </c:pt>
                <c:pt idx="1173">
                  <c:v>9.5</c:v>
                </c:pt>
                <c:pt idx="1174">
                  <c:v>9.5</c:v>
                </c:pt>
                <c:pt idx="1175">
                  <c:v>11.5</c:v>
                </c:pt>
                <c:pt idx="1176">
                  <c:v>11.2</c:v>
                </c:pt>
                <c:pt idx="1177">
                  <c:v>12.7</c:v>
                </c:pt>
                <c:pt idx="1178">
                  <c:v>11.4</c:v>
                </c:pt>
                <c:pt idx="1179">
                  <c:v>11</c:v>
                </c:pt>
                <c:pt idx="1180">
                  <c:v>11</c:v>
                </c:pt>
                <c:pt idx="1181">
                  <c:v>11.4</c:v>
                </c:pt>
                <c:pt idx="1182">
                  <c:v>10.5</c:v>
                </c:pt>
                <c:pt idx="1183">
                  <c:v>9.3000000000000007</c:v>
                </c:pt>
                <c:pt idx="1184">
                  <c:v>10.9</c:v>
                </c:pt>
                <c:pt idx="1185">
                  <c:v>11.9</c:v>
                </c:pt>
                <c:pt idx="1186">
                  <c:v>12.2</c:v>
                </c:pt>
                <c:pt idx="1187">
                  <c:v>11.9</c:v>
                </c:pt>
                <c:pt idx="1188">
                  <c:v>10.9</c:v>
                </c:pt>
                <c:pt idx="1189">
                  <c:v>9.6</c:v>
                </c:pt>
                <c:pt idx="1190">
                  <c:v>12.5</c:v>
                </c:pt>
                <c:pt idx="1191">
                  <c:v>10.8</c:v>
                </c:pt>
                <c:pt idx="1192">
                  <c:v>12.4</c:v>
                </c:pt>
                <c:pt idx="1193">
                  <c:v>10.8</c:v>
                </c:pt>
                <c:pt idx="1194">
                  <c:v>9.5</c:v>
                </c:pt>
                <c:pt idx="1195">
                  <c:v>9.5</c:v>
                </c:pt>
                <c:pt idx="1196">
                  <c:v>9.5</c:v>
                </c:pt>
                <c:pt idx="1197">
                  <c:v>9.8000000000000007</c:v>
                </c:pt>
                <c:pt idx="1198">
                  <c:v>10.9</c:v>
                </c:pt>
                <c:pt idx="1199">
                  <c:v>9.5</c:v>
                </c:pt>
                <c:pt idx="1200">
                  <c:v>9.8000000000000007</c:v>
                </c:pt>
                <c:pt idx="1201">
                  <c:v>11.2</c:v>
                </c:pt>
                <c:pt idx="1202">
                  <c:v>11.7</c:v>
                </c:pt>
                <c:pt idx="1203">
                  <c:v>9.4</c:v>
                </c:pt>
                <c:pt idx="1204">
                  <c:v>11</c:v>
                </c:pt>
                <c:pt idx="1205">
                  <c:v>11</c:v>
                </c:pt>
                <c:pt idx="1206">
                  <c:v>11</c:v>
                </c:pt>
                <c:pt idx="1207">
                  <c:v>10</c:v>
                </c:pt>
                <c:pt idx="1208">
                  <c:v>11</c:v>
                </c:pt>
                <c:pt idx="1209">
                  <c:v>11.2</c:v>
                </c:pt>
                <c:pt idx="1210">
                  <c:v>10.4</c:v>
                </c:pt>
                <c:pt idx="1211">
                  <c:v>9.3000000000000007</c:v>
                </c:pt>
                <c:pt idx="1212">
                  <c:v>10.4</c:v>
                </c:pt>
                <c:pt idx="1213">
                  <c:v>10.5</c:v>
                </c:pt>
                <c:pt idx="1214">
                  <c:v>10.4</c:v>
                </c:pt>
                <c:pt idx="1215">
                  <c:v>11.3</c:v>
                </c:pt>
                <c:pt idx="1216">
                  <c:v>9.5</c:v>
                </c:pt>
                <c:pt idx="1217">
                  <c:v>12</c:v>
                </c:pt>
                <c:pt idx="1218">
                  <c:v>10.6</c:v>
                </c:pt>
                <c:pt idx="1219">
                  <c:v>10.9</c:v>
                </c:pt>
                <c:pt idx="1220">
                  <c:v>11.5</c:v>
                </c:pt>
                <c:pt idx="1221">
                  <c:v>11.5</c:v>
                </c:pt>
                <c:pt idx="1222">
                  <c:v>9.6</c:v>
                </c:pt>
                <c:pt idx="1223">
                  <c:v>12</c:v>
                </c:pt>
                <c:pt idx="1224">
                  <c:v>10.3</c:v>
                </c:pt>
                <c:pt idx="1225">
                  <c:v>9.4</c:v>
                </c:pt>
                <c:pt idx="1226">
                  <c:v>9.1999999999999993</c:v>
                </c:pt>
                <c:pt idx="1227">
                  <c:v>9.6</c:v>
                </c:pt>
                <c:pt idx="1228">
                  <c:v>13.6</c:v>
                </c:pt>
                <c:pt idx="1229">
                  <c:v>9.5</c:v>
                </c:pt>
                <c:pt idx="1230">
                  <c:v>11.8</c:v>
                </c:pt>
                <c:pt idx="1231">
                  <c:v>10.8</c:v>
                </c:pt>
                <c:pt idx="1232">
                  <c:v>9.5</c:v>
                </c:pt>
                <c:pt idx="1233">
                  <c:v>9.3000000000000007</c:v>
                </c:pt>
                <c:pt idx="1234">
                  <c:v>12.8</c:v>
                </c:pt>
                <c:pt idx="1235">
                  <c:v>11.5</c:v>
                </c:pt>
                <c:pt idx="1236">
                  <c:v>9.4</c:v>
                </c:pt>
                <c:pt idx="1237">
                  <c:v>12.8</c:v>
                </c:pt>
                <c:pt idx="1238">
                  <c:v>9.6</c:v>
                </c:pt>
                <c:pt idx="1239">
                  <c:v>11.8</c:v>
                </c:pt>
                <c:pt idx="1240">
                  <c:v>9.3000000000000007</c:v>
                </c:pt>
                <c:pt idx="1241">
                  <c:v>9.8000000000000007</c:v>
                </c:pt>
                <c:pt idx="1242">
                  <c:v>12.2</c:v>
                </c:pt>
                <c:pt idx="1243">
                  <c:v>9.5</c:v>
                </c:pt>
                <c:pt idx="1244">
                  <c:v>10.3</c:v>
                </c:pt>
                <c:pt idx="1245">
                  <c:v>10.5</c:v>
                </c:pt>
                <c:pt idx="1246">
                  <c:v>10</c:v>
                </c:pt>
                <c:pt idx="1247">
                  <c:v>10.5</c:v>
                </c:pt>
                <c:pt idx="1248">
                  <c:v>11.1</c:v>
                </c:pt>
                <c:pt idx="1249">
                  <c:v>10.9</c:v>
                </c:pt>
                <c:pt idx="1250">
                  <c:v>10.9</c:v>
                </c:pt>
                <c:pt idx="1251">
                  <c:v>9.8000000000000007</c:v>
                </c:pt>
                <c:pt idx="1252">
                  <c:v>9.8000000000000007</c:v>
                </c:pt>
                <c:pt idx="1253">
                  <c:v>9.5</c:v>
                </c:pt>
                <c:pt idx="1254">
                  <c:v>10.9</c:v>
                </c:pt>
                <c:pt idx="1255">
                  <c:v>11</c:v>
                </c:pt>
                <c:pt idx="1256">
                  <c:v>9.1999999999999993</c:v>
                </c:pt>
                <c:pt idx="1257">
                  <c:v>11</c:v>
                </c:pt>
                <c:pt idx="1258">
                  <c:v>11.3</c:v>
                </c:pt>
                <c:pt idx="1259">
                  <c:v>11.3</c:v>
                </c:pt>
                <c:pt idx="1260">
                  <c:v>9.3000000000000007</c:v>
                </c:pt>
                <c:pt idx="1261">
                  <c:v>11.2</c:v>
                </c:pt>
                <c:pt idx="1262">
                  <c:v>9.8000000000000007</c:v>
                </c:pt>
                <c:pt idx="1263">
                  <c:v>9.6</c:v>
                </c:pt>
                <c:pt idx="1264">
                  <c:v>11.8</c:v>
                </c:pt>
                <c:pt idx="1265">
                  <c:v>10.3</c:v>
                </c:pt>
                <c:pt idx="1266">
                  <c:v>10.3</c:v>
                </c:pt>
                <c:pt idx="1267">
                  <c:v>11.4</c:v>
                </c:pt>
                <c:pt idx="1268">
                  <c:v>9.5</c:v>
                </c:pt>
                <c:pt idx="1269">
                  <c:v>14</c:v>
                </c:pt>
                <c:pt idx="1270">
                  <c:v>14</c:v>
                </c:pt>
                <c:pt idx="1271">
                  <c:v>11.7</c:v>
                </c:pt>
                <c:pt idx="1272">
                  <c:v>11.2</c:v>
                </c:pt>
                <c:pt idx="1273">
                  <c:v>9.3000000000000007</c:v>
                </c:pt>
                <c:pt idx="1274">
                  <c:v>11.2</c:v>
                </c:pt>
                <c:pt idx="1275">
                  <c:v>9.5</c:v>
                </c:pt>
                <c:pt idx="1276">
                  <c:v>12</c:v>
                </c:pt>
                <c:pt idx="1277">
                  <c:v>9.6999999999999993</c:v>
                </c:pt>
                <c:pt idx="1278">
                  <c:v>9.5</c:v>
                </c:pt>
                <c:pt idx="1279">
                  <c:v>11.5</c:v>
                </c:pt>
                <c:pt idx="1280">
                  <c:v>10.4</c:v>
                </c:pt>
                <c:pt idx="1281">
                  <c:v>10.4</c:v>
                </c:pt>
                <c:pt idx="1282">
                  <c:v>10.9</c:v>
                </c:pt>
                <c:pt idx="1283">
                  <c:v>10.199999999999999</c:v>
                </c:pt>
                <c:pt idx="1284">
                  <c:v>10.9</c:v>
                </c:pt>
                <c:pt idx="1285">
                  <c:v>10.5</c:v>
                </c:pt>
                <c:pt idx="1286">
                  <c:v>12.4</c:v>
                </c:pt>
                <c:pt idx="1287">
                  <c:v>13</c:v>
                </c:pt>
                <c:pt idx="1288">
                  <c:v>10.199999999999999</c:v>
                </c:pt>
                <c:pt idx="1289">
                  <c:v>10.199999999999999</c:v>
                </c:pt>
                <c:pt idx="1290">
                  <c:v>11</c:v>
                </c:pt>
                <c:pt idx="1291">
                  <c:v>10.9</c:v>
                </c:pt>
                <c:pt idx="1292">
                  <c:v>12.4</c:v>
                </c:pt>
                <c:pt idx="1293">
                  <c:v>9.6999999999999993</c:v>
                </c:pt>
                <c:pt idx="1294">
                  <c:v>10.9</c:v>
                </c:pt>
                <c:pt idx="1295">
                  <c:v>9.5</c:v>
                </c:pt>
                <c:pt idx="1296">
                  <c:v>9.5</c:v>
                </c:pt>
                <c:pt idx="1297">
                  <c:v>12.1</c:v>
                </c:pt>
                <c:pt idx="1298">
                  <c:v>12.2</c:v>
                </c:pt>
                <c:pt idx="1299">
                  <c:v>10.9</c:v>
                </c:pt>
                <c:pt idx="1300">
                  <c:v>12.5</c:v>
                </c:pt>
                <c:pt idx="1301">
                  <c:v>11.7</c:v>
                </c:pt>
                <c:pt idx="1302">
                  <c:v>11.2</c:v>
                </c:pt>
                <c:pt idx="1303">
                  <c:v>11.2</c:v>
                </c:pt>
                <c:pt idx="1304">
                  <c:v>9.1999999999999993</c:v>
                </c:pt>
                <c:pt idx="1305">
                  <c:v>9.8000000000000007</c:v>
                </c:pt>
                <c:pt idx="1306">
                  <c:v>10.1</c:v>
                </c:pt>
                <c:pt idx="1307">
                  <c:v>11.1</c:v>
                </c:pt>
                <c:pt idx="1308">
                  <c:v>10.1</c:v>
                </c:pt>
                <c:pt idx="1309">
                  <c:v>9.1999999999999993</c:v>
                </c:pt>
                <c:pt idx="1310">
                  <c:v>9.8000000000000007</c:v>
                </c:pt>
                <c:pt idx="1311">
                  <c:v>12.8</c:v>
                </c:pt>
                <c:pt idx="1312">
                  <c:v>10.5</c:v>
                </c:pt>
                <c:pt idx="1313">
                  <c:v>10.1</c:v>
                </c:pt>
                <c:pt idx="1314">
                  <c:v>10.1</c:v>
                </c:pt>
                <c:pt idx="1315">
                  <c:v>9.8000000000000007</c:v>
                </c:pt>
                <c:pt idx="1316">
                  <c:v>12.5</c:v>
                </c:pt>
                <c:pt idx="1317">
                  <c:v>11.9</c:v>
                </c:pt>
                <c:pt idx="1318">
                  <c:v>9.8000000000000007</c:v>
                </c:pt>
                <c:pt idx="1319">
                  <c:v>9.1</c:v>
                </c:pt>
                <c:pt idx="1320">
                  <c:v>10.1</c:v>
                </c:pt>
                <c:pt idx="1321">
                  <c:v>12.5</c:v>
                </c:pt>
                <c:pt idx="1322">
                  <c:v>11.4</c:v>
                </c:pt>
                <c:pt idx="1323">
                  <c:v>11</c:v>
                </c:pt>
                <c:pt idx="1324">
                  <c:v>10.6</c:v>
                </c:pt>
                <c:pt idx="1325">
                  <c:v>10.6</c:v>
                </c:pt>
                <c:pt idx="1326">
                  <c:v>10.6</c:v>
                </c:pt>
                <c:pt idx="1327">
                  <c:v>10.6</c:v>
                </c:pt>
                <c:pt idx="1328">
                  <c:v>9.3000000000000007</c:v>
                </c:pt>
                <c:pt idx="1329">
                  <c:v>9.8000000000000007</c:v>
                </c:pt>
                <c:pt idx="1330">
                  <c:v>9.8000000000000007</c:v>
                </c:pt>
                <c:pt idx="1331">
                  <c:v>9.1999999999999993</c:v>
                </c:pt>
                <c:pt idx="1332">
                  <c:v>9.6999999999999993</c:v>
                </c:pt>
                <c:pt idx="1333">
                  <c:v>9.6</c:v>
                </c:pt>
                <c:pt idx="1334">
                  <c:v>10</c:v>
                </c:pt>
                <c:pt idx="1335">
                  <c:v>12.6</c:v>
                </c:pt>
                <c:pt idx="1336">
                  <c:v>9.5</c:v>
                </c:pt>
                <c:pt idx="1337">
                  <c:v>9.5</c:v>
                </c:pt>
                <c:pt idx="1338">
                  <c:v>9.5</c:v>
                </c:pt>
                <c:pt idx="1339">
                  <c:v>10.5</c:v>
                </c:pt>
                <c:pt idx="1340">
                  <c:v>10.5</c:v>
                </c:pt>
                <c:pt idx="1341">
                  <c:v>10.5</c:v>
                </c:pt>
                <c:pt idx="1342">
                  <c:v>10.4</c:v>
                </c:pt>
                <c:pt idx="1343">
                  <c:v>10.5</c:v>
                </c:pt>
                <c:pt idx="1344">
                  <c:v>11</c:v>
                </c:pt>
                <c:pt idx="1345">
                  <c:v>10.199999999999999</c:v>
                </c:pt>
                <c:pt idx="1346">
                  <c:v>11.4</c:v>
                </c:pt>
                <c:pt idx="1347">
                  <c:v>9.5</c:v>
                </c:pt>
                <c:pt idx="1348">
                  <c:v>9.5</c:v>
                </c:pt>
                <c:pt idx="1349">
                  <c:v>10.8</c:v>
                </c:pt>
                <c:pt idx="1350">
                  <c:v>10</c:v>
                </c:pt>
                <c:pt idx="1351">
                  <c:v>11.8</c:v>
                </c:pt>
                <c:pt idx="1352">
                  <c:v>10.3</c:v>
                </c:pt>
                <c:pt idx="1353">
                  <c:v>10.3</c:v>
                </c:pt>
                <c:pt idx="1354">
                  <c:v>10</c:v>
                </c:pt>
                <c:pt idx="1355">
                  <c:v>10.1</c:v>
                </c:pt>
                <c:pt idx="1356">
                  <c:v>10.1</c:v>
                </c:pt>
                <c:pt idx="1357">
                  <c:v>11.1</c:v>
                </c:pt>
                <c:pt idx="1358">
                  <c:v>9.5</c:v>
                </c:pt>
                <c:pt idx="1359">
                  <c:v>10.033333333333299</c:v>
                </c:pt>
                <c:pt idx="1360">
                  <c:v>10.9</c:v>
                </c:pt>
                <c:pt idx="1361">
                  <c:v>10.1</c:v>
                </c:pt>
                <c:pt idx="1362">
                  <c:v>10.033333333333299</c:v>
                </c:pt>
                <c:pt idx="1363">
                  <c:v>9.8000000000000007</c:v>
                </c:pt>
                <c:pt idx="1364">
                  <c:v>11.8</c:v>
                </c:pt>
                <c:pt idx="1365">
                  <c:v>9.5</c:v>
                </c:pt>
                <c:pt idx="1366">
                  <c:v>9.8000000000000007</c:v>
                </c:pt>
                <c:pt idx="1367">
                  <c:v>10.5</c:v>
                </c:pt>
                <c:pt idx="1368">
                  <c:v>9.8000000000000007</c:v>
                </c:pt>
                <c:pt idx="1369">
                  <c:v>10.4</c:v>
                </c:pt>
                <c:pt idx="1370">
                  <c:v>9.1999999999999993</c:v>
                </c:pt>
                <c:pt idx="1371">
                  <c:v>11.6</c:v>
                </c:pt>
                <c:pt idx="1372">
                  <c:v>9.1999999999999993</c:v>
                </c:pt>
                <c:pt idx="1373">
                  <c:v>9.3000000000000007</c:v>
                </c:pt>
                <c:pt idx="1374">
                  <c:v>9.8000000000000007</c:v>
                </c:pt>
                <c:pt idx="1375">
                  <c:v>9.9</c:v>
                </c:pt>
                <c:pt idx="1376">
                  <c:v>10</c:v>
                </c:pt>
                <c:pt idx="1377">
                  <c:v>12.2</c:v>
                </c:pt>
                <c:pt idx="1378">
                  <c:v>9.9</c:v>
                </c:pt>
                <c:pt idx="1379">
                  <c:v>10.8</c:v>
                </c:pt>
                <c:pt idx="1380">
                  <c:v>10.8</c:v>
                </c:pt>
                <c:pt idx="1381">
                  <c:v>9.6</c:v>
                </c:pt>
                <c:pt idx="1382">
                  <c:v>9.9</c:v>
                </c:pt>
                <c:pt idx="1383">
                  <c:v>9.9</c:v>
                </c:pt>
                <c:pt idx="1384">
                  <c:v>9.5</c:v>
                </c:pt>
                <c:pt idx="1385">
                  <c:v>9.1999999999999993</c:v>
                </c:pt>
                <c:pt idx="1386">
                  <c:v>9.6</c:v>
                </c:pt>
                <c:pt idx="1387">
                  <c:v>9.6</c:v>
                </c:pt>
                <c:pt idx="1388">
                  <c:v>10.3</c:v>
                </c:pt>
                <c:pt idx="1389">
                  <c:v>9.6999999999999993</c:v>
                </c:pt>
                <c:pt idx="1390">
                  <c:v>12.5</c:v>
                </c:pt>
                <c:pt idx="1391">
                  <c:v>11</c:v>
                </c:pt>
                <c:pt idx="1392">
                  <c:v>9.8000000000000007</c:v>
                </c:pt>
                <c:pt idx="1393">
                  <c:v>10.199999999999999</c:v>
                </c:pt>
                <c:pt idx="1394">
                  <c:v>9.1999999999999993</c:v>
                </c:pt>
                <c:pt idx="1395">
                  <c:v>9.5500000000000007</c:v>
                </c:pt>
                <c:pt idx="1396">
                  <c:v>9.5500000000000007</c:v>
                </c:pt>
                <c:pt idx="1397">
                  <c:v>9.9</c:v>
                </c:pt>
                <c:pt idx="1398">
                  <c:v>10.199999999999999</c:v>
                </c:pt>
                <c:pt idx="1399">
                  <c:v>11.1</c:v>
                </c:pt>
                <c:pt idx="1400">
                  <c:v>9.9</c:v>
                </c:pt>
                <c:pt idx="1401">
                  <c:v>9.9</c:v>
                </c:pt>
                <c:pt idx="1402">
                  <c:v>11.9</c:v>
                </c:pt>
                <c:pt idx="1403">
                  <c:v>10</c:v>
                </c:pt>
                <c:pt idx="1404">
                  <c:v>10.7</c:v>
                </c:pt>
                <c:pt idx="1405">
                  <c:v>11.3</c:v>
                </c:pt>
                <c:pt idx="1406">
                  <c:v>10.9</c:v>
                </c:pt>
                <c:pt idx="1407">
                  <c:v>10.7</c:v>
                </c:pt>
                <c:pt idx="1408">
                  <c:v>12.4</c:v>
                </c:pt>
                <c:pt idx="1409">
                  <c:v>10.7</c:v>
                </c:pt>
                <c:pt idx="1410">
                  <c:v>11.9</c:v>
                </c:pt>
                <c:pt idx="1411">
                  <c:v>10.6</c:v>
                </c:pt>
                <c:pt idx="1412">
                  <c:v>10.9</c:v>
                </c:pt>
                <c:pt idx="1413">
                  <c:v>10.1</c:v>
                </c:pt>
                <c:pt idx="1414">
                  <c:v>9.6</c:v>
                </c:pt>
                <c:pt idx="1415">
                  <c:v>9.4</c:v>
                </c:pt>
                <c:pt idx="1416">
                  <c:v>9.6</c:v>
                </c:pt>
                <c:pt idx="1417">
                  <c:v>12.1</c:v>
                </c:pt>
                <c:pt idx="1418">
                  <c:v>9.8000000000000007</c:v>
                </c:pt>
                <c:pt idx="1419">
                  <c:v>9.9</c:v>
                </c:pt>
                <c:pt idx="1420">
                  <c:v>9.8000000000000007</c:v>
                </c:pt>
                <c:pt idx="1421">
                  <c:v>9.4</c:v>
                </c:pt>
                <c:pt idx="1422">
                  <c:v>11.4</c:v>
                </c:pt>
                <c:pt idx="1423">
                  <c:v>11</c:v>
                </c:pt>
                <c:pt idx="1424">
                  <c:v>9.6</c:v>
                </c:pt>
                <c:pt idx="1425">
                  <c:v>9.6</c:v>
                </c:pt>
                <c:pt idx="1426">
                  <c:v>12.1</c:v>
                </c:pt>
                <c:pt idx="1427">
                  <c:v>11.2</c:v>
                </c:pt>
                <c:pt idx="1428">
                  <c:v>11</c:v>
                </c:pt>
                <c:pt idx="1429">
                  <c:v>11.3</c:v>
                </c:pt>
                <c:pt idx="1430">
                  <c:v>10.4</c:v>
                </c:pt>
                <c:pt idx="1431">
                  <c:v>9.9</c:v>
                </c:pt>
                <c:pt idx="1432">
                  <c:v>11.7</c:v>
                </c:pt>
                <c:pt idx="1433">
                  <c:v>10.1</c:v>
                </c:pt>
                <c:pt idx="1434">
                  <c:v>9</c:v>
                </c:pt>
                <c:pt idx="1435">
                  <c:v>9</c:v>
                </c:pt>
                <c:pt idx="1436">
                  <c:v>8.5</c:v>
                </c:pt>
                <c:pt idx="1437">
                  <c:v>11.1</c:v>
                </c:pt>
                <c:pt idx="1438">
                  <c:v>10.3</c:v>
                </c:pt>
                <c:pt idx="1439">
                  <c:v>11.0666666666667</c:v>
                </c:pt>
                <c:pt idx="1440">
                  <c:v>11.3</c:v>
                </c:pt>
                <c:pt idx="1441">
                  <c:v>9.56666666666667</c:v>
                </c:pt>
                <c:pt idx="1442">
                  <c:v>9.8000000000000007</c:v>
                </c:pt>
                <c:pt idx="1443">
                  <c:v>11.7</c:v>
                </c:pt>
                <c:pt idx="1444">
                  <c:v>11.1</c:v>
                </c:pt>
                <c:pt idx="1445">
                  <c:v>9.6</c:v>
                </c:pt>
                <c:pt idx="1446">
                  <c:v>9.8000000000000007</c:v>
                </c:pt>
                <c:pt idx="1447">
                  <c:v>9.6999999999999993</c:v>
                </c:pt>
                <c:pt idx="1448">
                  <c:v>9.6999999999999993</c:v>
                </c:pt>
                <c:pt idx="1449">
                  <c:v>11.3</c:v>
                </c:pt>
                <c:pt idx="1450">
                  <c:v>11.3</c:v>
                </c:pt>
                <c:pt idx="1451">
                  <c:v>11</c:v>
                </c:pt>
                <c:pt idx="1452">
                  <c:v>11.6</c:v>
                </c:pt>
                <c:pt idx="1453">
                  <c:v>9</c:v>
                </c:pt>
                <c:pt idx="1454">
                  <c:v>10.9</c:v>
                </c:pt>
                <c:pt idx="1455">
                  <c:v>10.9</c:v>
                </c:pt>
                <c:pt idx="1456">
                  <c:v>10.55</c:v>
                </c:pt>
                <c:pt idx="1457">
                  <c:v>9</c:v>
                </c:pt>
                <c:pt idx="1458">
                  <c:v>10.5</c:v>
                </c:pt>
                <c:pt idx="1459">
                  <c:v>11.9</c:v>
                </c:pt>
                <c:pt idx="1460">
                  <c:v>10.4</c:v>
                </c:pt>
                <c:pt idx="1461">
                  <c:v>10</c:v>
                </c:pt>
                <c:pt idx="1462">
                  <c:v>10.4</c:v>
                </c:pt>
                <c:pt idx="1463">
                  <c:v>10.8</c:v>
                </c:pt>
                <c:pt idx="1464">
                  <c:v>9.6999999999999993</c:v>
                </c:pt>
                <c:pt idx="1465">
                  <c:v>9.6999999999999993</c:v>
                </c:pt>
                <c:pt idx="1466">
                  <c:v>10</c:v>
                </c:pt>
                <c:pt idx="1467">
                  <c:v>11</c:v>
                </c:pt>
                <c:pt idx="1468">
                  <c:v>10</c:v>
                </c:pt>
                <c:pt idx="1469">
                  <c:v>9.6999999999999993</c:v>
                </c:pt>
                <c:pt idx="1470">
                  <c:v>9.6999999999999993</c:v>
                </c:pt>
                <c:pt idx="1471">
                  <c:v>12.6</c:v>
                </c:pt>
                <c:pt idx="1472">
                  <c:v>11.1</c:v>
                </c:pt>
                <c:pt idx="1473">
                  <c:v>11</c:v>
                </c:pt>
                <c:pt idx="1474">
                  <c:v>8.8000000000000007</c:v>
                </c:pt>
                <c:pt idx="1475">
                  <c:v>13.5666666666667</c:v>
                </c:pt>
                <c:pt idx="1476">
                  <c:v>8.8000000000000007</c:v>
                </c:pt>
                <c:pt idx="1477">
                  <c:v>13.6</c:v>
                </c:pt>
                <c:pt idx="1478">
                  <c:v>10.199999999999999</c:v>
                </c:pt>
                <c:pt idx="1479">
                  <c:v>10.6</c:v>
                </c:pt>
                <c:pt idx="1480">
                  <c:v>10.1</c:v>
                </c:pt>
                <c:pt idx="1481">
                  <c:v>10.6</c:v>
                </c:pt>
                <c:pt idx="1482">
                  <c:v>10.3</c:v>
                </c:pt>
                <c:pt idx="1483">
                  <c:v>10.7</c:v>
                </c:pt>
                <c:pt idx="1484">
                  <c:v>10.9</c:v>
                </c:pt>
                <c:pt idx="1485">
                  <c:v>9.6999999999999993</c:v>
                </c:pt>
                <c:pt idx="1486">
                  <c:v>10.3</c:v>
                </c:pt>
                <c:pt idx="1487">
                  <c:v>10.6</c:v>
                </c:pt>
                <c:pt idx="1488">
                  <c:v>11.4</c:v>
                </c:pt>
                <c:pt idx="1489">
                  <c:v>10.8</c:v>
                </c:pt>
                <c:pt idx="1490">
                  <c:v>12.4</c:v>
                </c:pt>
                <c:pt idx="1491">
                  <c:v>11.4</c:v>
                </c:pt>
                <c:pt idx="1492">
                  <c:v>11.95</c:v>
                </c:pt>
                <c:pt idx="1493">
                  <c:v>9.6999999999999993</c:v>
                </c:pt>
                <c:pt idx="1494">
                  <c:v>10</c:v>
                </c:pt>
                <c:pt idx="1495">
                  <c:v>10.6</c:v>
                </c:pt>
                <c:pt idx="1496">
                  <c:v>9.6999999999999993</c:v>
                </c:pt>
                <c:pt idx="1497">
                  <c:v>11.5</c:v>
                </c:pt>
                <c:pt idx="1498">
                  <c:v>10.8</c:v>
                </c:pt>
                <c:pt idx="1499">
                  <c:v>11.5</c:v>
                </c:pt>
                <c:pt idx="1500">
                  <c:v>9.6</c:v>
                </c:pt>
                <c:pt idx="1501">
                  <c:v>9.4</c:v>
                </c:pt>
                <c:pt idx="1502">
                  <c:v>9.8000000000000007</c:v>
                </c:pt>
                <c:pt idx="1503">
                  <c:v>11</c:v>
                </c:pt>
                <c:pt idx="1504">
                  <c:v>11.4</c:v>
                </c:pt>
                <c:pt idx="1505">
                  <c:v>9.9499999999999993</c:v>
                </c:pt>
                <c:pt idx="1506">
                  <c:v>10.8</c:v>
                </c:pt>
                <c:pt idx="1507">
                  <c:v>11.4</c:v>
                </c:pt>
                <c:pt idx="1508">
                  <c:v>10.6</c:v>
                </c:pt>
                <c:pt idx="1509">
                  <c:v>11.1</c:v>
                </c:pt>
                <c:pt idx="1510">
                  <c:v>9.6999999999999993</c:v>
                </c:pt>
                <c:pt idx="1511">
                  <c:v>9.8000000000000007</c:v>
                </c:pt>
                <c:pt idx="1512">
                  <c:v>10.4</c:v>
                </c:pt>
                <c:pt idx="1513">
                  <c:v>10.5</c:v>
                </c:pt>
                <c:pt idx="1514">
                  <c:v>9.2333333333333307</c:v>
                </c:pt>
                <c:pt idx="1515">
                  <c:v>9.25</c:v>
                </c:pt>
                <c:pt idx="1516">
                  <c:v>10.6</c:v>
                </c:pt>
                <c:pt idx="1517">
                  <c:v>10.3</c:v>
                </c:pt>
                <c:pt idx="1518">
                  <c:v>10.5</c:v>
                </c:pt>
                <c:pt idx="1519">
                  <c:v>10.199999999999999</c:v>
                </c:pt>
                <c:pt idx="1520">
                  <c:v>10.3</c:v>
                </c:pt>
                <c:pt idx="1521">
                  <c:v>9.0500000000000007</c:v>
                </c:pt>
                <c:pt idx="1522">
                  <c:v>10.6</c:v>
                </c:pt>
                <c:pt idx="1523">
                  <c:v>10.4</c:v>
                </c:pt>
                <c:pt idx="1524">
                  <c:v>10</c:v>
                </c:pt>
                <c:pt idx="1525">
                  <c:v>9.6999999999999993</c:v>
                </c:pt>
                <c:pt idx="1526">
                  <c:v>9.6</c:v>
                </c:pt>
                <c:pt idx="1527">
                  <c:v>10.8</c:v>
                </c:pt>
                <c:pt idx="1528">
                  <c:v>10.1</c:v>
                </c:pt>
                <c:pt idx="1529">
                  <c:v>10.199999999999999</c:v>
                </c:pt>
                <c:pt idx="1530">
                  <c:v>11.3</c:v>
                </c:pt>
                <c:pt idx="1531">
                  <c:v>10.199999999999999</c:v>
                </c:pt>
                <c:pt idx="1532">
                  <c:v>9.9</c:v>
                </c:pt>
                <c:pt idx="1533">
                  <c:v>9</c:v>
                </c:pt>
                <c:pt idx="1534">
                  <c:v>11.7</c:v>
                </c:pt>
                <c:pt idx="1535">
                  <c:v>9.6999999999999993</c:v>
                </c:pt>
                <c:pt idx="1536">
                  <c:v>10.3</c:v>
                </c:pt>
                <c:pt idx="1537">
                  <c:v>10.199999999999999</c:v>
                </c:pt>
                <c:pt idx="1538">
                  <c:v>12</c:v>
                </c:pt>
                <c:pt idx="1539">
                  <c:v>9.9</c:v>
                </c:pt>
                <c:pt idx="1540">
                  <c:v>11.6</c:v>
                </c:pt>
                <c:pt idx="1541">
                  <c:v>10.9</c:v>
                </c:pt>
                <c:pt idx="1542">
                  <c:v>10.75</c:v>
                </c:pt>
                <c:pt idx="1543">
                  <c:v>10.4</c:v>
                </c:pt>
                <c:pt idx="1544">
                  <c:v>11.2</c:v>
                </c:pt>
                <c:pt idx="1545">
                  <c:v>10.1</c:v>
                </c:pt>
                <c:pt idx="1546">
                  <c:v>10.199999999999999</c:v>
                </c:pt>
                <c:pt idx="1547">
                  <c:v>12.1</c:v>
                </c:pt>
                <c:pt idx="1548">
                  <c:v>10.4</c:v>
                </c:pt>
                <c:pt idx="1549">
                  <c:v>11.4</c:v>
                </c:pt>
                <c:pt idx="1550">
                  <c:v>9.5</c:v>
                </c:pt>
                <c:pt idx="1551">
                  <c:v>9.4</c:v>
                </c:pt>
                <c:pt idx="1552">
                  <c:v>11.3</c:v>
                </c:pt>
                <c:pt idx="1553">
                  <c:v>9.4</c:v>
                </c:pt>
                <c:pt idx="1554">
                  <c:v>11</c:v>
                </c:pt>
                <c:pt idx="1555">
                  <c:v>10.55</c:v>
                </c:pt>
                <c:pt idx="1556">
                  <c:v>9.9</c:v>
                </c:pt>
                <c:pt idx="1557">
                  <c:v>11</c:v>
                </c:pt>
                <c:pt idx="1558">
                  <c:v>9.5</c:v>
                </c:pt>
                <c:pt idx="1559">
                  <c:v>9.9</c:v>
                </c:pt>
                <c:pt idx="1560">
                  <c:v>9.9</c:v>
                </c:pt>
                <c:pt idx="1561">
                  <c:v>9.9</c:v>
                </c:pt>
                <c:pt idx="1562">
                  <c:v>10.1</c:v>
                </c:pt>
                <c:pt idx="1563">
                  <c:v>10.1</c:v>
                </c:pt>
                <c:pt idx="1564">
                  <c:v>10.1</c:v>
                </c:pt>
                <c:pt idx="1565">
                  <c:v>10.9</c:v>
                </c:pt>
                <c:pt idx="1566">
                  <c:v>11.2</c:v>
                </c:pt>
                <c:pt idx="1567">
                  <c:v>10.1</c:v>
                </c:pt>
                <c:pt idx="1568">
                  <c:v>9.1999999999999993</c:v>
                </c:pt>
                <c:pt idx="1569">
                  <c:v>11.5</c:v>
                </c:pt>
                <c:pt idx="1570">
                  <c:v>12.4</c:v>
                </c:pt>
                <c:pt idx="1571">
                  <c:v>11.1</c:v>
                </c:pt>
                <c:pt idx="1572">
                  <c:v>9.5</c:v>
                </c:pt>
                <c:pt idx="1573">
                  <c:v>12.5</c:v>
                </c:pt>
                <c:pt idx="1574">
                  <c:v>10.5</c:v>
                </c:pt>
                <c:pt idx="1575">
                  <c:v>11.8</c:v>
                </c:pt>
                <c:pt idx="1576">
                  <c:v>10.8</c:v>
                </c:pt>
                <c:pt idx="1577">
                  <c:v>11.9</c:v>
                </c:pt>
                <c:pt idx="1578">
                  <c:v>11.3</c:v>
                </c:pt>
                <c:pt idx="1579">
                  <c:v>11.3</c:v>
                </c:pt>
                <c:pt idx="1580">
                  <c:v>11.9</c:v>
                </c:pt>
                <c:pt idx="1581">
                  <c:v>11.3</c:v>
                </c:pt>
                <c:pt idx="1582">
                  <c:v>11.9</c:v>
                </c:pt>
                <c:pt idx="1583">
                  <c:v>9.8000000000000007</c:v>
                </c:pt>
                <c:pt idx="1584">
                  <c:v>11.6</c:v>
                </c:pt>
                <c:pt idx="1585">
                  <c:v>11.5</c:v>
                </c:pt>
                <c:pt idx="1586">
                  <c:v>11.4</c:v>
                </c:pt>
                <c:pt idx="1587">
                  <c:v>10.9</c:v>
                </c:pt>
                <c:pt idx="1588">
                  <c:v>12.8</c:v>
                </c:pt>
                <c:pt idx="1589">
                  <c:v>9.1999999999999993</c:v>
                </c:pt>
                <c:pt idx="1590">
                  <c:v>11.6</c:v>
                </c:pt>
                <c:pt idx="1591">
                  <c:v>11.6</c:v>
                </c:pt>
                <c:pt idx="1592">
                  <c:v>11</c:v>
                </c:pt>
                <c:pt idx="1593">
                  <c:v>9.5</c:v>
                </c:pt>
                <c:pt idx="1594">
                  <c:v>10.5</c:v>
                </c:pt>
                <c:pt idx="1595">
                  <c:v>11.2</c:v>
                </c:pt>
                <c:pt idx="1596">
                  <c:v>11</c:v>
                </c:pt>
                <c:pt idx="1597">
                  <c:v>10.199999999999999</c:v>
                </c:pt>
                <c:pt idx="1598">
                  <c:v>11</c:v>
                </c:pt>
              </c:numCache>
            </c:numRef>
          </c:xVal>
          <c:yVal>
            <c:numRef>
              <c:f>'winequality-red(in) (1)'!$M$2:$M$1600</c:f>
              <c:numCache>
                <c:formatCode>General</c:formatCode>
                <c:ptCount val="1599"/>
                <c:pt idx="0">
                  <c:v>5</c:v>
                </c:pt>
                <c:pt idx="1">
                  <c:v>5</c:v>
                </c:pt>
                <c:pt idx="2">
                  <c:v>5</c:v>
                </c:pt>
                <c:pt idx="3">
                  <c:v>6</c:v>
                </c:pt>
                <c:pt idx="4">
                  <c:v>5</c:v>
                </c:pt>
                <c:pt idx="5">
                  <c:v>5</c:v>
                </c:pt>
                <c:pt idx="6">
                  <c:v>5</c:v>
                </c:pt>
                <c:pt idx="7">
                  <c:v>7</c:v>
                </c:pt>
                <c:pt idx="8">
                  <c:v>7</c:v>
                </c:pt>
                <c:pt idx="9">
                  <c:v>5</c:v>
                </c:pt>
                <c:pt idx="10">
                  <c:v>5</c:v>
                </c:pt>
                <c:pt idx="11">
                  <c:v>5</c:v>
                </c:pt>
                <c:pt idx="12">
                  <c:v>5</c:v>
                </c:pt>
                <c:pt idx="13">
                  <c:v>5</c:v>
                </c:pt>
                <c:pt idx="14">
                  <c:v>5</c:v>
                </c:pt>
                <c:pt idx="15">
                  <c:v>5</c:v>
                </c:pt>
                <c:pt idx="16">
                  <c:v>7</c:v>
                </c:pt>
                <c:pt idx="17">
                  <c:v>5</c:v>
                </c:pt>
                <c:pt idx="18">
                  <c:v>4</c:v>
                </c:pt>
                <c:pt idx="19">
                  <c:v>6</c:v>
                </c:pt>
                <c:pt idx="20">
                  <c:v>6</c:v>
                </c:pt>
                <c:pt idx="21">
                  <c:v>5</c:v>
                </c:pt>
                <c:pt idx="22">
                  <c:v>5</c:v>
                </c:pt>
                <c:pt idx="23">
                  <c:v>5</c:v>
                </c:pt>
                <c:pt idx="24">
                  <c:v>6</c:v>
                </c:pt>
                <c:pt idx="25">
                  <c:v>5</c:v>
                </c:pt>
                <c:pt idx="26">
                  <c:v>5</c:v>
                </c:pt>
                <c:pt idx="27">
                  <c:v>5</c:v>
                </c:pt>
                <c:pt idx="28">
                  <c:v>5</c:v>
                </c:pt>
                <c:pt idx="29">
                  <c:v>6</c:v>
                </c:pt>
                <c:pt idx="30">
                  <c:v>5</c:v>
                </c:pt>
                <c:pt idx="31">
                  <c:v>6</c:v>
                </c:pt>
                <c:pt idx="32">
                  <c:v>5</c:v>
                </c:pt>
                <c:pt idx="33">
                  <c:v>6</c:v>
                </c:pt>
                <c:pt idx="34">
                  <c:v>5</c:v>
                </c:pt>
                <c:pt idx="35">
                  <c:v>6</c:v>
                </c:pt>
                <c:pt idx="36">
                  <c:v>6</c:v>
                </c:pt>
                <c:pt idx="37">
                  <c:v>7</c:v>
                </c:pt>
                <c:pt idx="38">
                  <c:v>4</c:v>
                </c:pt>
                <c:pt idx="39">
                  <c:v>5</c:v>
                </c:pt>
                <c:pt idx="40">
                  <c:v>5</c:v>
                </c:pt>
                <c:pt idx="41">
                  <c:v>4</c:v>
                </c:pt>
                <c:pt idx="42">
                  <c:v>6</c:v>
                </c:pt>
                <c:pt idx="43">
                  <c:v>5</c:v>
                </c:pt>
                <c:pt idx="44">
                  <c:v>5</c:v>
                </c:pt>
                <c:pt idx="45">
                  <c:v>4</c:v>
                </c:pt>
                <c:pt idx="46">
                  <c:v>5</c:v>
                </c:pt>
                <c:pt idx="47">
                  <c:v>5</c:v>
                </c:pt>
                <c:pt idx="48">
                  <c:v>5</c:v>
                </c:pt>
                <c:pt idx="49">
                  <c:v>5</c:v>
                </c:pt>
                <c:pt idx="50">
                  <c:v>5</c:v>
                </c:pt>
                <c:pt idx="51">
                  <c:v>6</c:v>
                </c:pt>
                <c:pt idx="52">
                  <c:v>6</c:v>
                </c:pt>
                <c:pt idx="53">
                  <c:v>5</c:v>
                </c:pt>
                <c:pt idx="54">
                  <c:v>6</c:v>
                </c:pt>
                <c:pt idx="55">
                  <c:v>5</c:v>
                </c:pt>
                <c:pt idx="56">
                  <c:v>5</c:v>
                </c:pt>
                <c:pt idx="57">
                  <c:v>5</c:v>
                </c:pt>
                <c:pt idx="58">
                  <c:v>5</c:v>
                </c:pt>
                <c:pt idx="59">
                  <c:v>6</c:v>
                </c:pt>
                <c:pt idx="60">
                  <c:v>5</c:v>
                </c:pt>
                <c:pt idx="61">
                  <c:v>5</c:v>
                </c:pt>
                <c:pt idx="62">
                  <c:v>7</c:v>
                </c:pt>
                <c:pt idx="63">
                  <c:v>5</c:v>
                </c:pt>
                <c:pt idx="64">
                  <c:v>5</c:v>
                </c:pt>
                <c:pt idx="65">
                  <c:v>5</c:v>
                </c:pt>
                <c:pt idx="66">
                  <c:v>5</c:v>
                </c:pt>
                <c:pt idx="67">
                  <c:v>5</c:v>
                </c:pt>
                <c:pt idx="68">
                  <c:v>5</c:v>
                </c:pt>
                <c:pt idx="69">
                  <c:v>6</c:v>
                </c:pt>
                <c:pt idx="70">
                  <c:v>6</c:v>
                </c:pt>
                <c:pt idx="71">
                  <c:v>5</c:v>
                </c:pt>
                <c:pt idx="72">
                  <c:v>5</c:v>
                </c:pt>
                <c:pt idx="73">
                  <c:v>4</c:v>
                </c:pt>
                <c:pt idx="74">
                  <c:v>5</c:v>
                </c:pt>
                <c:pt idx="75">
                  <c:v>5</c:v>
                </c:pt>
                <c:pt idx="76">
                  <c:v>5</c:v>
                </c:pt>
                <c:pt idx="77">
                  <c:v>6</c:v>
                </c:pt>
                <c:pt idx="78">
                  <c:v>5</c:v>
                </c:pt>
                <c:pt idx="79">
                  <c:v>4</c:v>
                </c:pt>
                <c:pt idx="80">
                  <c:v>5</c:v>
                </c:pt>
                <c:pt idx="81">
                  <c:v>5</c:v>
                </c:pt>
                <c:pt idx="82">
                  <c:v>5</c:v>
                </c:pt>
                <c:pt idx="83">
                  <c:v>5</c:v>
                </c:pt>
                <c:pt idx="84">
                  <c:v>6</c:v>
                </c:pt>
                <c:pt idx="85">
                  <c:v>5</c:v>
                </c:pt>
                <c:pt idx="86">
                  <c:v>6</c:v>
                </c:pt>
                <c:pt idx="87">
                  <c:v>5</c:v>
                </c:pt>
                <c:pt idx="88">
                  <c:v>5</c:v>
                </c:pt>
                <c:pt idx="89">
                  <c:v>5</c:v>
                </c:pt>
                <c:pt idx="90">
                  <c:v>5</c:v>
                </c:pt>
                <c:pt idx="91">
                  <c:v>6</c:v>
                </c:pt>
                <c:pt idx="92">
                  <c:v>5</c:v>
                </c:pt>
                <c:pt idx="93">
                  <c:v>5</c:v>
                </c:pt>
                <c:pt idx="94">
                  <c:v>4</c:v>
                </c:pt>
                <c:pt idx="95">
                  <c:v>6</c:v>
                </c:pt>
                <c:pt idx="96">
                  <c:v>5</c:v>
                </c:pt>
                <c:pt idx="97">
                  <c:v>5</c:v>
                </c:pt>
                <c:pt idx="98">
                  <c:v>5</c:v>
                </c:pt>
                <c:pt idx="99">
                  <c:v>6</c:v>
                </c:pt>
                <c:pt idx="100">
                  <c:v>6</c:v>
                </c:pt>
                <c:pt idx="101">
                  <c:v>6</c:v>
                </c:pt>
                <c:pt idx="102">
                  <c:v>6</c:v>
                </c:pt>
                <c:pt idx="103">
                  <c:v>5</c:v>
                </c:pt>
                <c:pt idx="104">
                  <c:v>5</c:v>
                </c:pt>
                <c:pt idx="105">
                  <c:v>5</c:v>
                </c:pt>
                <c:pt idx="106">
                  <c:v>5</c:v>
                </c:pt>
                <c:pt idx="107">
                  <c:v>5</c:v>
                </c:pt>
                <c:pt idx="108">
                  <c:v>6</c:v>
                </c:pt>
                <c:pt idx="109">
                  <c:v>5</c:v>
                </c:pt>
                <c:pt idx="110">
                  <c:v>5</c:v>
                </c:pt>
                <c:pt idx="111">
                  <c:v>5</c:v>
                </c:pt>
                <c:pt idx="112">
                  <c:v>5</c:v>
                </c:pt>
                <c:pt idx="113">
                  <c:v>6</c:v>
                </c:pt>
                <c:pt idx="114">
                  <c:v>5</c:v>
                </c:pt>
                <c:pt idx="115">
                  <c:v>6</c:v>
                </c:pt>
                <c:pt idx="116">
                  <c:v>6</c:v>
                </c:pt>
                <c:pt idx="117">
                  <c:v>6</c:v>
                </c:pt>
                <c:pt idx="118">
                  <c:v>6</c:v>
                </c:pt>
                <c:pt idx="119">
                  <c:v>6</c:v>
                </c:pt>
                <c:pt idx="120">
                  <c:v>5</c:v>
                </c:pt>
                <c:pt idx="121">
                  <c:v>6</c:v>
                </c:pt>
                <c:pt idx="122">
                  <c:v>5</c:v>
                </c:pt>
                <c:pt idx="123">
                  <c:v>5</c:v>
                </c:pt>
                <c:pt idx="124">
                  <c:v>5</c:v>
                </c:pt>
                <c:pt idx="125">
                  <c:v>5</c:v>
                </c:pt>
                <c:pt idx="126">
                  <c:v>5</c:v>
                </c:pt>
                <c:pt idx="127">
                  <c:v>5</c:v>
                </c:pt>
                <c:pt idx="128">
                  <c:v>7</c:v>
                </c:pt>
                <c:pt idx="129">
                  <c:v>5</c:v>
                </c:pt>
                <c:pt idx="130">
                  <c:v>5</c:v>
                </c:pt>
                <c:pt idx="131">
                  <c:v>5</c:v>
                </c:pt>
                <c:pt idx="132">
                  <c:v>5</c:v>
                </c:pt>
                <c:pt idx="133">
                  <c:v>6</c:v>
                </c:pt>
                <c:pt idx="134">
                  <c:v>6</c:v>
                </c:pt>
                <c:pt idx="135">
                  <c:v>5</c:v>
                </c:pt>
                <c:pt idx="136">
                  <c:v>5</c:v>
                </c:pt>
                <c:pt idx="137">
                  <c:v>5</c:v>
                </c:pt>
                <c:pt idx="138">
                  <c:v>5</c:v>
                </c:pt>
                <c:pt idx="139">
                  <c:v>5</c:v>
                </c:pt>
                <c:pt idx="140">
                  <c:v>5</c:v>
                </c:pt>
                <c:pt idx="141">
                  <c:v>5</c:v>
                </c:pt>
                <c:pt idx="142">
                  <c:v>6</c:v>
                </c:pt>
                <c:pt idx="143">
                  <c:v>5</c:v>
                </c:pt>
                <c:pt idx="144">
                  <c:v>6</c:v>
                </c:pt>
                <c:pt idx="145">
                  <c:v>5</c:v>
                </c:pt>
                <c:pt idx="146">
                  <c:v>5</c:v>
                </c:pt>
                <c:pt idx="147">
                  <c:v>5</c:v>
                </c:pt>
                <c:pt idx="148">
                  <c:v>6</c:v>
                </c:pt>
                <c:pt idx="149">
                  <c:v>6</c:v>
                </c:pt>
                <c:pt idx="150">
                  <c:v>6</c:v>
                </c:pt>
                <c:pt idx="151">
                  <c:v>4</c:v>
                </c:pt>
                <c:pt idx="152">
                  <c:v>5</c:v>
                </c:pt>
                <c:pt idx="153">
                  <c:v>5</c:v>
                </c:pt>
                <c:pt idx="154">
                  <c:v>5</c:v>
                </c:pt>
                <c:pt idx="155">
                  <c:v>5</c:v>
                </c:pt>
                <c:pt idx="156">
                  <c:v>5</c:v>
                </c:pt>
                <c:pt idx="157">
                  <c:v>5</c:v>
                </c:pt>
                <c:pt idx="158">
                  <c:v>5</c:v>
                </c:pt>
                <c:pt idx="159">
                  <c:v>6</c:v>
                </c:pt>
                <c:pt idx="160">
                  <c:v>5</c:v>
                </c:pt>
                <c:pt idx="161">
                  <c:v>4</c:v>
                </c:pt>
                <c:pt idx="162">
                  <c:v>6</c:v>
                </c:pt>
                <c:pt idx="163">
                  <c:v>5</c:v>
                </c:pt>
                <c:pt idx="164">
                  <c:v>5</c:v>
                </c:pt>
                <c:pt idx="165">
                  <c:v>5</c:v>
                </c:pt>
                <c:pt idx="166">
                  <c:v>5</c:v>
                </c:pt>
                <c:pt idx="167">
                  <c:v>4</c:v>
                </c:pt>
                <c:pt idx="168">
                  <c:v>6</c:v>
                </c:pt>
                <c:pt idx="169">
                  <c:v>5</c:v>
                </c:pt>
                <c:pt idx="170">
                  <c:v>4</c:v>
                </c:pt>
                <c:pt idx="171">
                  <c:v>6</c:v>
                </c:pt>
                <c:pt idx="172">
                  <c:v>6</c:v>
                </c:pt>
                <c:pt idx="173">
                  <c:v>6</c:v>
                </c:pt>
                <c:pt idx="174">
                  <c:v>5</c:v>
                </c:pt>
                <c:pt idx="175">
                  <c:v>5</c:v>
                </c:pt>
                <c:pt idx="176">
                  <c:v>5</c:v>
                </c:pt>
                <c:pt idx="177">
                  <c:v>6</c:v>
                </c:pt>
                <c:pt idx="178">
                  <c:v>5</c:v>
                </c:pt>
                <c:pt idx="179">
                  <c:v>5</c:v>
                </c:pt>
                <c:pt idx="180">
                  <c:v>5</c:v>
                </c:pt>
                <c:pt idx="181">
                  <c:v>5</c:v>
                </c:pt>
                <c:pt idx="182">
                  <c:v>5</c:v>
                </c:pt>
                <c:pt idx="183">
                  <c:v>5</c:v>
                </c:pt>
                <c:pt idx="184">
                  <c:v>6</c:v>
                </c:pt>
                <c:pt idx="185">
                  <c:v>5</c:v>
                </c:pt>
                <c:pt idx="186">
                  <c:v>5</c:v>
                </c:pt>
                <c:pt idx="187">
                  <c:v>5</c:v>
                </c:pt>
                <c:pt idx="188">
                  <c:v>5</c:v>
                </c:pt>
                <c:pt idx="189">
                  <c:v>5</c:v>
                </c:pt>
                <c:pt idx="190">
                  <c:v>5</c:v>
                </c:pt>
                <c:pt idx="191">
                  <c:v>6</c:v>
                </c:pt>
                <c:pt idx="192">
                  <c:v>5</c:v>
                </c:pt>
                <c:pt idx="193">
                  <c:v>5</c:v>
                </c:pt>
                <c:pt idx="194">
                  <c:v>5</c:v>
                </c:pt>
                <c:pt idx="195">
                  <c:v>5</c:v>
                </c:pt>
                <c:pt idx="196">
                  <c:v>5</c:v>
                </c:pt>
                <c:pt idx="197">
                  <c:v>6</c:v>
                </c:pt>
                <c:pt idx="198">
                  <c:v>7</c:v>
                </c:pt>
                <c:pt idx="199">
                  <c:v>4</c:v>
                </c:pt>
                <c:pt idx="200">
                  <c:v>7</c:v>
                </c:pt>
                <c:pt idx="201">
                  <c:v>5</c:v>
                </c:pt>
                <c:pt idx="202">
                  <c:v>5</c:v>
                </c:pt>
                <c:pt idx="203">
                  <c:v>5</c:v>
                </c:pt>
                <c:pt idx="204">
                  <c:v>6</c:v>
                </c:pt>
                <c:pt idx="205">
                  <c:v>7</c:v>
                </c:pt>
                <c:pt idx="206">
                  <c:v>7</c:v>
                </c:pt>
                <c:pt idx="207">
                  <c:v>5</c:v>
                </c:pt>
                <c:pt idx="208">
                  <c:v>5</c:v>
                </c:pt>
                <c:pt idx="209">
                  <c:v>7</c:v>
                </c:pt>
                <c:pt idx="210">
                  <c:v>6</c:v>
                </c:pt>
                <c:pt idx="211">
                  <c:v>6</c:v>
                </c:pt>
                <c:pt idx="212">
                  <c:v>6</c:v>
                </c:pt>
                <c:pt idx="213">
                  <c:v>5</c:v>
                </c:pt>
                <c:pt idx="214">
                  <c:v>6</c:v>
                </c:pt>
                <c:pt idx="215">
                  <c:v>5</c:v>
                </c:pt>
                <c:pt idx="216">
                  <c:v>5</c:v>
                </c:pt>
                <c:pt idx="217">
                  <c:v>5</c:v>
                </c:pt>
                <c:pt idx="218">
                  <c:v>5</c:v>
                </c:pt>
                <c:pt idx="219">
                  <c:v>5</c:v>
                </c:pt>
                <c:pt idx="220">
                  <c:v>6</c:v>
                </c:pt>
                <c:pt idx="221">
                  <c:v>5</c:v>
                </c:pt>
                <c:pt idx="222">
                  <c:v>5</c:v>
                </c:pt>
                <c:pt idx="223">
                  <c:v>6</c:v>
                </c:pt>
                <c:pt idx="224">
                  <c:v>4</c:v>
                </c:pt>
                <c:pt idx="225">
                  <c:v>6</c:v>
                </c:pt>
                <c:pt idx="226">
                  <c:v>6</c:v>
                </c:pt>
                <c:pt idx="227">
                  <c:v>5</c:v>
                </c:pt>
                <c:pt idx="228">
                  <c:v>6</c:v>
                </c:pt>
                <c:pt idx="229">
                  <c:v>5</c:v>
                </c:pt>
                <c:pt idx="230">
                  <c:v>7</c:v>
                </c:pt>
                <c:pt idx="231">
                  <c:v>6</c:v>
                </c:pt>
                <c:pt idx="232">
                  <c:v>6</c:v>
                </c:pt>
                <c:pt idx="233">
                  <c:v>5</c:v>
                </c:pt>
                <c:pt idx="234">
                  <c:v>6</c:v>
                </c:pt>
                <c:pt idx="235">
                  <c:v>6</c:v>
                </c:pt>
                <c:pt idx="236">
                  <c:v>6</c:v>
                </c:pt>
                <c:pt idx="237">
                  <c:v>6</c:v>
                </c:pt>
                <c:pt idx="238">
                  <c:v>6</c:v>
                </c:pt>
                <c:pt idx="239">
                  <c:v>6</c:v>
                </c:pt>
                <c:pt idx="240">
                  <c:v>5</c:v>
                </c:pt>
                <c:pt idx="241">
                  <c:v>6</c:v>
                </c:pt>
                <c:pt idx="242">
                  <c:v>6</c:v>
                </c:pt>
                <c:pt idx="243">
                  <c:v>7</c:v>
                </c:pt>
                <c:pt idx="244">
                  <c:v>7</c:v>
                </c:pt>
                <c:pt idx="245">
                  <c:v>6</c:v>
                </c:pt>
                <c:pt idx="246">
                  <c:v>5</c:v>
                </c:pt>
                <c:pt idx="247">
                  <c:v>5</c:v>
                </c:pt>
                <c:pt idx="248">
                  <c:v>6</c:v>
                </c:pt>
                <c:pt idx="249">
                  <c:v>6</c:v>
                </c:pt>
                <c:pt idx="250">
                  <c:v>6</c:v>
                </c:pt>
                <c:pt idx="251">
                  <c:v>6</c:v>
                </c:pt>
                <c:pt idx="252">
                  <c:v>5</c:v>
                </c:pt>
                <c:pt idx="253">
                  <c:v>5</c:v>
                </c:pt>
                <c:pt idx="254">
                  <c:v>6</c:v>
                </c:pt>
                <c:pt idx="255">
                  <c:v>5</c:v>
                </c:pt>
                <c:pt idx="256">
                  <c:v>5</c:v>
                </c:pt>
                <c:pt idx="257">
                  <c:v>5</c:v>
                </c:pt>
                <c:pt idx="258">
                  <c:v>5</c:v>
                </c:pt>
                <c:pt idx="259">
                  <c:v>7</c:v>
                </c:pt>
                <c:pt idx="260">
                  <c:v>5</c:v>
                </c:pt>
                <c:pt idx="261">
                  <c:v>4</c:v>
                </c:pt>
                <c:pt idx="262">
                  <c:v>5</c:v>
                </c:pt>
                <c:pt idx="263">
                  <c:v>5</c:v>
                </c:pt>
                <c:pt idx="264">
                  <c:v>5</c:v>
                </c:pt>
                <c:pt idx="265">
                  <c:v>7</c:v>
                </c:pt>
                <c:pt idx="266">
                  <c:v>4</c:v>
                </c:pt>
                <c:pt idx="267">
                  <c:v>8</c:v>
                </c:pt>
                <c:pt idx="268">
                  <c:v>6</c:v>
                </c:pt>
                <c:pt idx="269">
                  <c:v>6</c:v>
                </c:pt>
                <c:pt idx="270">
                  <c:v>6</c:v>
                </c:pt>
                <c:pt idx="271">
                  <c:v>6</c:v>
                </c:pt>
                <c:pt idx="272">
                  <c:v>5</c:v>
                </c:pt>
                <c:pt idx="273">
                  <c:v>5</c:v>
                </c:pt>
                <c:pt idx="274">
                  <c:v>5</c:v>
                </c:pt>
                <c:pt idx="275">
                  <c:v>6</c:v>
                </c:pt>
                <c:pt idx="276">
                  <c:v>6</c:v>
                </c:pt>
                <c:pt idx="277">
                  <c:v>6</c:v>
                </c:pt>
                <c:pt idx="278">
                  <c:v>8</c:v>
                </c:pt>
                <c:pt idx="279">
                  <c:v>7</c:v>
                </c:pt>
                <c:pt idx="280">
                  <c:v>6</c:v>
                </c:pt>
                <c:pt idx="281">
                  <c:v>7</c:v>
                </c:pt>
                <c:pt idx="282">
                  <c:v>5</c:v>
                </c:pt>
                <c:pt idx="283">
                  <c:v>7</c:v>
                </c:pt>
                <c:pt idx="284">
                  <c:v>5</c:v>
                </c:pt>
                <c:pt idx="285">
                  <c:v>5</c:v>
                </c:pt>
                <c:pt idx="286">
                  <c:v>6</c:v>
                </c:pt>
                <c:pt idx="287">
                  <c:v>6</c:v>
                </c:pt>
                <c:pt idx="288">
                  <c:v>7</c:v>
                </c:pt>
                <c:pt idx="289">
                  <c:v>5</c:v>
                </c:pt>
                <c:pt idx="290">
                  <c:v>7</c:v>
                </c:pt>
                <c:pt idx="291">
                  <c:v>5</c:v>
                </c:pt>
                <c:pt idx="292">
                  <c:v>6</c:v>
                </c:pt>
                <c:pt idx="293">
                  <c:v>6</c:v>
                </c:pt>
                <c:pt idx="294">
                  <c:v>6</c:v>
                </c:pt>
                <c:pt idx="295">
                  <c:v>5</c:v>
                </c:pt>
                <c:pt idx="296">
                  <c:v>5</c:v>
                </c:pt>
                <c:pt idx="297">
                  <c:v>5</c:v>
                </c:pt>
                <c:pt idx="298">
                  <c:v>5</c:v>
                </c:pt>
                <c:pt idx="299">
                  <c:v>5</c:v>
                </c:pt>
                <c:pt idx="300">
                  <c:v>6</c:v>
                </c:pt>
                <c:pt idx="301">
                  <c:v>6</c:v>
                </c:pt>
                <c:pt idx="302">
                  <c:v>5</c:v>
                </c:pt>
                <c:pt idx="303">
                  <c:v>5</c:v>
                </c:pt>
                <c:pt idx="304">
                  <c:v>5</c:v>
                </c:pt>
                <c:pt idx="305">
                  <c:v>6</c:v>
                </c:pt>
                <c:pt idx="306">
                  <c:v>5</c:v>
                </c:pt>
                <c:pt idx="307">
                  <c:v>6</c:v>
                </c:pt>
                <c:pt idx="308">
                  <c:v>6</c:v>
                </c:pt>
                <c:pt idx="309">
                  <c:v>6</c:v>
                </c:pt>
                <c:pt idx="310">
                  <c:v>6</c:v>
                </c:pt>
                <c:pt idx="311">
                  <c:v>6</c:v>
                </c:pt>
                <c:pt idx="312">
                  <c:v>6</c:v>
                </c:pt>
                <c:pt idx="313">
                  <c:v>5</c:v>
                </c:pt>
                <c:pt idx="314">
                  <c:v>5</c:v>
                </c:pt>
                <c:pt idx="315">
                  <c:v>6</c:v>
                </c:pt>
                <c:pt idx="316">
                  <c:v>5</c:v>
                </c:pt>
                <c:pt idx="317">
                  <c:v>6</c:v>
                </c:pt>
                <c:pt idx="318">
                  <c:v>7</c:v>
                </c:pt>
                <c:pt idx="319">
                  <c:v>6</c:v>
                </c:pt>
                <c:pt idx="320">
                  <c:v>7</c:v>
                </c:pt>
                <c:pt idx="321">
                  <c:v>5</c:v>
                </c:pt>
                <c:pt idx="322">
                  <c:v>5</c:v>
                </c:pt>
                <c:pt idx="323">
                  <c:v>6</c:v>
                </c:pt>
                <c:pt idx="324">
                  <c:v>6</c:v>
                </c:pt>
                <c:pt idx="325">
                  <c:v>6</c:v>
                </c:pt>
                <c:pt idx="326">
                  <c:v>7</c:v>
                </c:pt>
                <c:pt idx="327">
                  <c:v>5</c:v>
                </c:pt>
                <c:pt idx="328">
                  <c:v>6</c:v>
                </c:pt>
                <c:pt idx="329">
                  <c:v>5</c:v>
                </c:pt>
                <c:pt idx="330">
                  <c:v>6</c:v>
                </c:pt>
                <c:pt idx="331">
                  <c:v>6</c:v>
                </c:pt>
                <c:pt idx="332">
                  <c:v>6</c:v>
                </c:pt>
                <c:pt idx="333">
                  <c:v>5</c:v>
                </c:pt>
                <c:pt idx="334">
                  <c:v>7</c:v>
                </c:pt>
                <c:pt idx="335">
                  <c:v>7</c:v>
                </c:pt>
                <c:pt idx="336">
                  <c:v>6</c:v>
                </c:pt>
                <c:pt idx="337">
                  <c:v>5</c:v>
                </c:pt>
                <c:pt idx="338">
                  <c:v>6</c:v>
                </c:pt>
                <c:pt idx="339">
                  <c:v>7</c:v>
                </c:pt>
                <c:pt idx="340">
                  <c:v>6</c:v>
                </c:pt>
                <c:pt idx="341">
                  <c:v>6</c:v>
                </c:pt>
                <c:pt idx="342">
                  <c:v>6</c:v>
                </c:pt>
                <c:pt idx="343">
                  <c:v>6</c:v>
                </c:pt>
                <c:pt idx="344">
                  <c:v>6</c:v>
                </c:pt>
                <c:pt idx="345">
                  <c:v>5</c:v>
                </c:pt>
                <c:pt idx="346">
                  <c:v>7</c:v>
                </c:pt>
                <c:pt idx="347">
                  <c:v>6</c:v>
                </c:pt>
                <c:pt idx="348">
                  <c:v>6</c:v>
                </c:pt>
                <c:pt idx="349">
                  <c:v>6</c:v>
                </c:pt>
                <c:pt idx="350">
                  <c:v>6</c:v>
                </c:pt>
                <c:pt idx="351">
                  <c:v>6</c:v>
                </c:pt>
                <c:pt idx="352">
                  <c:v>5</c:v>
                </c:pt>
                <c:pt idx="353">
                  <c:v>5</c:v>
                </c:pt>
                <c:pt idx="354">
                  <c:v>6</c:v>
                </c:pt>
                <c:pt idx="355">
                  <c:v>6</c:v>
                </c:pt>
                <c:pt idx="356">
                  <c:v>5</c:v>
                </c:pt>
                <c:pt idx="357">
                  <c:v>7</c:v>
                </c:pt>
                <c:pt idx="358">
                  <c:v>7</c:v>
                </c:pt>
                <c:pt idx="359">
                  <c:v>6</c:v>
                </c:pt>
                <c:pt idx="360">
                  <c:v>5</c:v>
                </c:pt>
                <c:pt idx="361">
                  <c:v>6</c:v>
                </c:pt>
                <c:pt idx="362">
                  <c:v>5</c:v>
                </c:pt>
                <c:pt idx="363">
                  <c:v>5</c:v>
                </c:pt>
                <c:pt idx="364">
                  <c:v>7</c:v>
                </c:pt>
                <c:pt idx="365">
                  <c:v>6</c:v>
                </c:pt>
                <c:pt idx="366">
                  <c:v>7</c:v>
                </c:pt>
                <c:pt idx="367">
                  <c:v>5</c:v>
                </c:pt>
                <c:pt idx="368">
                  <c:v>5</c:v>
                </c:pt>
                <c:pt idx="369">
                  <c:v>7</c:v>
                </c:pt>
                <c:pt idx="370">
                  <c:v>5</c:v>
                </c:pt>
                <c:pt idx="371">
                  <c:v>6</c:v>
                </c:pt>
                <c:pt idx="372">
                  <c:v>6</c:v>
                </c:pt>
                <c:pt idx="373">
                  <c:v>5</c:v>
                </c:pt>
                <c:pt idx="374">
                  <c:v>6</c:v>
                </c:pt>
                <c:pt idx="375">
                  <c:v>7</c:v>
                </c:pt>
                <c:pt idx="376">
                  <c:v>6</c:v>
                </c:pt>
                <c:pt idx="377">
                  <c:v>7</c:v>
                </c:pt>
                <c:pt idx="378">
                  <c:v>6</c:v>
                </c:pt>
                <c:pt idx="379">
                  <c:v>6</c:v>
                </c:pt>
                <c:pt idx="380">
                  <c:v>6</c:v>
                </c:pt>
                <c:pt idx="381">
                  <c:v>6</c:v>
                </c:pt>
                <c:pt idx="382">
                  <c:v>6</c:v>
                </c:pt>
                <c:pt idx="383">
                  <c:v>6</c:v>
                </c:pt>
                <c:pt idx="384">
                  <c:v>5</c:v>
                </c:pt>
                <c:pt idx="385">
                  <c:v>6</c:v>
                </c:pt>
                <c:pt idx="386">
                  <c:v>6</c:v>
                </c:pt>
                <c:pt idx="387">
                  <c:v>6</c:v>
                </c:pt>
                <c:pt idx="388">
                  <c:v>6</c:v>
                </c:pt>
                <c:pt idx="389">
                  <c:v>7</c:v>
                </c:pt>
                <c:pt idx="390">
                  <c:v>8</c:v>
                </c:pt>
                <c:pt idx="391">
                  <c:v>6</c:v>
                </c:pt>
                <c:pt idx="392">
                  <c:v>5</c:v>
                </c:pt>
                <c:pt idx="393">
                  <c:v>5</c:v>
                </c:pt>
                <c:pt idx="394">
                  <c:v>5</c:v>
                </c:pt>
                <c:pt idx="395">
                  <c:v>7</c:v>
                </c:pt>
                <c:pt idx="396">
                  <c:v>5</c:v>
                </c:pt>
                <c:pt idx="397">
                  <c:v>6</c:v>
                </c:pt>
                <c:pt idx="398">
                  <c:v>6</c:v>
                </c:pt>
                <c:pt idx="399">
                  <c:v>5</c:v>
                </c:pt>
                <c:pt idx="400">
                  <c:v>5</c:v>
                </c:pt>
                <c:pt idx="401">
                  <c:v>6</c:v>
                </c:pt>
                <c:pt idx="402">
                  <c:v>6</c:v>
                </c:pt>
                <c:pt idx="403">
                  <c:v>6</c:v>
                </c:pt>
                <c:pt idx="404">
                  <c:v>5</c:v>
                </c:pt>
                <c:pt idx="405">
                  <c:v>6</c:v>
                </c:pt>
                <c:pt idx="406">
                  <c:v>6</c:v>
                </c:pt>
                <c:pt idx="407">
                  <c:v>7</c:v>
                </c:pt>
                <c:pt idx="408">
                  <c:v>6</c:v>
                </c:pt>
                <c:pt idx="409">
                  <c:v>4</c:v>
                </c:pt>
                <c:pt idx="410">
                  <c:v>6</c:v>
                </c:pt>
                <c:pt idx="411">
                  <c:v>5</c:v>
                </c:pt>
                <c:pt idx="412">
                  <c:v>5</c:v>
                </c:pt>
                <c:pt idx="413">
                  <c:v>7</c:v>
                </c:pt>
                <c:pt idx="414">
                  <c:v>5</c:v>
                </c:pt>
                <c:pt idx="415">
                  <c:v>5</c:v>
                </c:pt>
                <c:pt idx="416">
                  <c:v>6</c:v>
                </c:pt>
                <c:pt idx="417">
                  <c:v>5</c:v>
                </c:pt>
                <c:pt idx="418">
                  <c:v>6</c:v>
                </c:pt>
                <c:pt idx="419">
                  <c:v>5</c:v>
                </c:pt>
                <c:pt idx="420">
                  <c:v>7</c:v>
                </c:pt>
                <c:pt idx="421">
                  <c:v>7</c:v>
                </c:pt>
                <c:pt idx="422">
                  <c:v>5</c:v>
                </c:pt>
                <c:pt idx="423">
                  <c:v>7</c:v>
                </c:pt>
                <c:pt idx="424">
                  <c:v>5</c:v>
                </c:pt>
                <c:pt idx="425">
                  <c:v>7</c:v>
                </c:pt>
                <c:pt idx="426">
                  <c:v>6</c:v>
                </c:pt>
                <c:pt idx="427">
                  <c:v>6</c:v>
                </c:pt>
                <c:pt idx="428">
                  <c:v>5</c:v>
                </c:pt>
                <c:pt idx="429">
                  <c:v>6</c:v>
                </c:pt>
                <c:pt idx="430">
                  <c:v>7</c:v>
                </c:pt>
                <c:pt idx="431">
                  <c:v>5</c:v>
                </c:pt>
                <c:pt idx="432">
                  <c:v>6</c:v>
                </c:pt>
                <c:pt idx="433">
                  <c:v>5</c:v>
                </c:pt>
                <c:pt idx="434">
                  <c:v>6</c:v>
                </c:pt>
                <c:pt idx="435">
                  <c:v>5</c:v>
                </c:pt>
                <c:pt idx="436">
                  <c:v>6</c:v>
                </c:pt>
                <c:pt idx="437">
                  <c:v>6</c:v>
                </c:pt>
                <c:pt idx="438">
                  <c:v>6</c:v>
                </c:pt>
                <c:pt idx="439">
                  <c:v>5</c:v>
                </c:pt>
                <c:pt idx="440">
                  <c:v>8</c:v>
                </c:pt>
                <c:pt idx="441">
                  <c:v>6</c:v>
                </c:pt>
                <c:pt idx="442">
                  <c:v>7</c:v>
                </c:pt>
                <c:pt idx="443">
                  <c:v>7</c:v>
                </c:pt>
                <c:pt idx="444">
                  <c:v>7</c:v>
                </c:pt>
                <c:pt idx="445">
                  <c:v>6</c:v>
                </c:pt>
                <c:pt idx="446">
                  <c:v>5</c:v>
                </c:pt>
                <c:pt idx="447">
                  <c:v>5</c:v>
                </c:pt>
                <c:pt idx="448">
                  <c:v>6</c:v>
                </c:pt>
                <c:pt idx="449">
                  <c:v>6</c:v>
                </c:pt>
                <c:pt idx="450">
                  <c:v>6</c:v>
                </c:pt>
                <c:pt idx="451">
                  <c:v>6</c:v>
                </c:pt>
                <c:pt idx="452">
                  <c:v>6</c:v>
                </c:pt>
                <c:pt idx="453">
                  <c:v>7</c:v>
                </c:pt>
                <c:pt idx="454">
                  <c:v>5</c:v>
                </c:pt>
                <c:pt idx="455">
                  <c:v>8</c:v>
                </c:pt>
                <c:pt idx="456">
                  <c:v>5</c:v>
                </c:pt>
                <c:pt idx="457">
                  <c:v>5</c:v>
                </c:pt>
                <c:pt idx="458">
                  <c:v>7</c:v>
                </c:pt>
                <c:pt idx="459">
                  <c:v>3</c:v>
                </c:pt>
                <c:pt idx="460">
                  <c:v>6</c:v>
                </c:pt>
                <c:pt idx="461">
                  <c:v>5</c:v>
                </c:pt>
                <c:pt idx="462">
                  <c:v>5</c:v>
                </c:pt>
                <c:pt idx="463">
                  <c:v>5</c:v>
                </c:pt>
                <c:pt idx="464">
                  <c:v>6</c:v>
                </c:pt>
                <c:pt idx="465">
                  <c:v>5</c:v>
                </c:pt>
                <c:pt idx="466">
                  <c:v>6</c:v>
                </c:pt>
                <c:pt idx="467">
                  <c:v>6</c:v>
                </c:pt>
                <c:pt idx="468">
                  <c:v>6</c:v>
                </c:pt>
                <c:pt idx="469">
                  <c:v>5</c:v>
                </c:pt>
                <c:pt idx="470">
                  <c:v>5</c:v>
                </c:pt>
                <c:pt idx="471">
                  <c:v>6</c:v>
                </c:pt>
                <c:pt idx="472">
                  <c:v>6</c:v>
                </c:pt>
                <c:pt idx="473">
                  <c:v>5</c:v>
                </c:pt>
                <c:pt idx="474">
                  <c:v>6</c:v>
                </c:pt>
                <c:pt idx="475">
                  <c:v>5</c:v>
                </c:pt>
                <c:pt idx="476">
                  <c:v>5</c:v>
                </c:pt>
                <c:pt idx="477">
                  <c:v>6</c:v>
                </c:pt>
                <c:pt idx="478">
                  <c:v>5</c:v>
                </c:pt>
                <c:pt idx="479">
                  <c:v>6</c:v>
                </c:pt>
                <c:pt idx="480">
                  <c:v>5</c:v>
                </c:pt>
                <c:pt idx="481">
                  <c:v>8</c:v>
                </c:pt>
                <c:pt idx="482">
                  <c:v>5</c:v>
                </c:pt>
                <c:pt idx="483">
                  <c:v>5</c:v>
                </c:pt>
                <c:pt idx="484">
                  <c:v>6</c:v>
                </c:pt>
                <c:pt idx="485">
                  <c:v>5</c:v>
                </c:pt>
                <c:pt idx="486">
                  <c:v>5</c:v>
                </c:pt>
                <c:pt idx="487">
                  <c:v>6</c:v>
                </c:pt>
                <c:pt idx="488">
                  <c:v>7</c:v>
                </c:pt>
                <c:pt idx="489">
                  <c:v>6</c:v>
                </c:pt>
                <c:pt idx="490">
                  <c:v>6</c:v>
                </c:pt>
                <c:pt idx="491">
                  <c:v>7</c:v>
                </c:pt>
                <c:pt idx="492">
                  <c:v>7</c:v>
                </c:pt>
                <c:pt idx="493">
                  <c:v>6</c:v>
                </c:pt>
                <c:pt idx="494">
                  <c:v>6</c:v>
                </c:pt>
                <c:pt idx="495">
                  <c:v>8</c:v>
                </c:pt>
                <c:pt idx="496">
                  <c:v>6</c:v>
                </c:pt>
                <c:pt idx="497">
                  <c:v>5</c:v>
                </c:pt>
                <c:pt idx="498">
                  <c:v>8</c:v>
                </c:pt>
                <c:pt idx="499">
                  <c:v>6</c:v>
                </c:pt>
                <c:pt idx="500">
                  <c:v>6</c:v>
                </c:pt>
                <c:pt idx="501">
                  <c:v>7</c:v>
                </c:pt>
                <c:pt idx="502">
                  <c:v>7</c:v>
                </c:pt>
                <c:pt idx="503">
                  <c:v>7</c:v>
                </c:pt>
                <c:pt idx="504">
                  <c:v>7</c:v>
                </c:pt>
                <c:pt idx="505">
                  <c:v>7</c:v>
                </c:pt>
                <c:pt idx="506">
                  <c:v>7</c:v>
                </c:pt>
                <c:pt idx="507">
                  <c:v>6</c:v>
                </c:pt>
                <c:pt idx="508">
                  <c:v>6</c:v>
                </c:pt>
                <c:pt idx="509">
                  <c:v>7</c:v>
                </c:pt>
                <c:pt idx="510">
                  <c:v>5</c:v>
                </c:pt>
                <c:pt idx="511">
                  <c:v>6</c:v>
                </c:pt>
                <c:pt idx="512">
                  <c:v>6</c:v>
                </c:pt>
                <c:pt idx="513">
                  <c:v>7</c:v>
                </c:pt>
                <c:pt idx="514">
                  <c:v>7</c:v>
                </c:pt>
                <c:pt idx="515">
                  <c:v>5</c:v>
                </c:pt>
                <c:pt idx="516">
                  <c:v>6</c:v>
                </c:pt>
                <c:pt idx="517">
                  <c:v>3</c:v>
                </c:pt>
                <c:pt idx="518">
                  <c:v>6</c:v>
                </c:pt>
                <c:pt idx="519">
                  <c:v>5</c:v>
                </c:pt>
                <c:pt idx="520">
                  <c:v>6</c:v>
                </c:pt>
                <c:pt idx="521">
                  <c:v>5</c:v>
                </c:pt>
                <c:pt idx="522">
                  <c:v>5</c:v>
                </c:pt>
                <c:pt idx="523">
                  <c:v>5</c:v>
                </c:pt>
                <c:pt idx="524">
                  <c:v>5</c:v>
                </c:pt>
                <c:pt idx="525">
                  <c:v>5</c:v>
                </c:pt>
                <c:pt idx="526">
                  <c:v>5</c:v>
                </c:pt>
                <c:pt idx="527">
                  <c:v>6</c:v>
                </c:pt>
                <c:pt idx="528">
                  <c:v>6</c:v>
                </c:pt>
                <c:pt idx="529">
                  <c:v>5</c:v>
                </c:pt>
                <c:pt idx="530">
                  <c:v>6</c:v>
                </c:pt>
                <c:pt idx="531">
                  <c:v>5</c:v>
                </c:pt>
                <c:pt idx="532">
                  <c:v>5</c:v>
                </c:pt>
                <c:pt idx="533">
                  <c:v>6</c:v>
                </c:pt>
                <c:pt idx="534">
                  <c:v>6</c:v>
                </c:pt>
                <c:pt idx="535">
                  <c:v>6</c:v>
                </c:pt>
                <c:pt idx="536">
                  <c:v>5</c:v>
                </c:pt>
                <c:pt idx="537">
                  <c:v>6</c:v>
                </c:pt>
                <c:pt idx="538">
                  <c:v>7</c:v>
                </c:pt>
                <c:pt idx="539">
                  <c:v>5</c:v>
                </c:pt>
                <c:pt idx="540">
                  <c:v>5</c:v>
                </c:pt>
                <c:pt idx="541">
                  <c:v>6</c:v>
                </c:pt>
                <c:pt idx="542">
                  <c:v>5</c:v>
                </c:pt>
                <c:pt idx="543">
                  <c:v>6</c:v>
                </c:pt>
                <c:pt idx="544">
                  <c:v>6</c:v>
                </c:pt>
                <c:pt idx="545">
                  <c:v>5</c:v>
                </c:pt>
                <c:pt idx="546">
                  <c:v>6</c:v>
                </c:pt>
                <c:pt idx="547">
                  <c:v>6</c:v>
                </c:pt>
                <c:pt idx="548">
                  <c:v>6</c:v>
                </c:pt>
                <c:pt idx="549">
                  <c:v>6</c:v>
                </c:pt>
                <c:pt idx="550">
                  <c:v>6</c:v>
                </c:pt>
                <c:pt idx="551">
                  <c:v>6</c:v>
                </c:pt>
                <c:pt idx="552">
                  <c:v>6</c:v>
                </c:pt>
                <c:pt idx="553">
                  <c:v>5</c:v>
                </c:pt>
                <c:pt idx="554">
                  <c:v>5</c:v>
                </c:pt>
                <c:pt idx="555">
                  <c:v>5</c:v>
                </c:pt>
                <c:pt idx="556">
                  <c:v>6</c:v>
                </c:pt>
                <c:pt idx="557">
                  <c:v>5</c:v>
                </c:pt>
                <c:pt idx="558">
                  <c:v>6</c:v>
                </c:pt>
                <c:pt idx="559">
                  <c:v>6</c:v>
                </c:pt>
                <c:pt idx="560">
                  <c:v>5</c:v>
                </c:pt>
                <c:pt idx="561">
                  <c:v>5</c:v>
                </c:pt>
                <c:pt idx="562">
                  <c:v>5</c:v>
                </c:pt>
                <c:pt idx="563">
                  <c:v>6</c:v>
                </c:pt>
                <c:pt idx="564">
                  <c:v>6</c:v>
                </c:pt>
                <c:pt idx="565">
                  <c:v>5</c:v>
                </c:pt>
                <c:pt idx="566">
                  <c:v>6</c:v>
                </c:pt>
                <c:pt idx="567">
                  <c:v>6</c:v>
                </c:pt>
                <c:pt idx="568">
                  <c:v>6</c:v>
                </c:pt>
                <c:pt idx="569">
                  <c:v>6</c:v>
                </c:pt>
                <c:pt idx="570">
                  <c:v>6</c:v>
                </c:pt>
                <c:pt idx="571">
                  <c:v>6</c:v>
                </c:pt>
                <c:pt idx="572">
                  <c:v>5</c:v>
                </c:pt>
                <c:pt idx="573">
                  <c:v>4</c:v>
                </c:pt>
                <c:pt idx="574">
                  <c:v>6</c:v>
                </c:pt>
                <c:pt idx="575">
                  <c:v>6</c:v>
                </c:pt>
                <c:pt idx="576">
                  <c:v>4</c:v>
                </c:pt>
                <c:pt idx="577">
                  <c:v>5</c:v>
                </c:pt>
                <c:pt idx="578">
                  <c:v>5</c:v>
                </c:pt>
                <c:pt idx="579">
                  <c:v>6</c:v>
                </c:pt>
                <c:pt idx="580">
                  <c:v>5</c:v>
                </c:pt>
                <c:pt idx="581">
                  <c:v>5</c:v>
                </c:pt>
                <c:pt idx="582">
                  <c:v>5</c:v>
                </c:pt>
                <c:pt idx="583">
                  <c:v>7</c:v>
                </c:pt>
                <c:pt idx="584">
                  <c:v>7</c:v>
                </c:pt>
                <c:pt idx="585">
                  <c:v>6</c:v>
                </c:pt>
                <c:pt idx="586">
                  <c:v>7</c:v>
                </c:pt>
                <c:pt idx="587">
                  <c:v>5</c:v>
                </c:pt>
                <c:pt idx="588">
                  <c:v>8</c:v>
                </c:pt>
                <c:pt idx="589">
                  <c:v>7</c:v>
                </c:pt>
                <c:pt idx="590">
                  <c:v>5</c:v>
                </c:pt>
                <c:pt idx="591">
                  <c:v>6</c:v>
                </c:pt>
                <c:pt idx="592">
                  <c:v>5</c:v>
                </c:pt>
                <c:pt idx="593">
                  <c:v>5</c:v>
                </c:pt>
                <c:pt idx="594">
                  <c:v>5</c:v>
                </c:pt>
                <c:pt idx="595">
                  <c:v>5</c:v>
                </c:pt>
                <c:pt idx="596">
                  <c:v>6</c:v>
                </c:pt>
                <c:pt idx="597">
                  <c:v>6</c:v>
                </c:pt>
                <c:pt idx="598">
                  <c:v>6</c:v>
                </c:pt>
                <c:pt idx="599">
                  <c:v>6</c:v>
                </c:pt>
                <c:pt idx="600">
                  <c:v>4</c:v>
                </c:pt>
                <c:pt idx="601">
                  <c:v>6</c:v>
                </c:pt>
                <c:pt idx="602">
                  <c:v>5</c:v>
                </c:pt>
                <c:pt idx="603">
                  <c:v>6</c:v>
                </c:pt>
                <c:pt idx="604">
                  <c:v>6</c:v>
                </c:pt>
                <c:pt idx="605">
                  <c:v>6</c:v>
                </c:pt>
                <c:pt idx="606">
                  <c:v>7</c:v>
                </c:pt>
                <c:pt idx="607">
                  <c:v>6</c:v>
                </c:pt>
                <c:pt idx="608">
                  <c:v>6</c:v>
                </c:pt>
                <c:pt idx="609">
                  <c:v>6</c:v>
                </c:pt>
                <c:pt idx="610">
                  <c:v>5</c:v>
                </c:pt>
                <c:pt idx="611">
                  <c:v>5</c:v>
                </c:pt>
                <c:pt idx="612">
                  <c:v>6</c:v>
                </c:pt>
                <c:pt idx="613">
                  <c:v>5</c:v>
                </c:pt>
                <c:pt idx="614">
                  <c:v>6</c:v>
                </c:pt>
                <c:pt idx="615">
                  <c:v>5</c:v>
                </c:pt>
                <c:pt idx="616">
                  <c:v>5</c:v>
                </c:pt>
                <c:pt idx="617">
                  <c:v>6</c:v>
                </c:pt>
                <c:pt idx="618">
                  <c:v>5</c:v>
                </c:pt>
                <c:pt idx="619">
                  <c:v>5</c:v>
                </c:pt>
                <c:pt idx="620">
                  <c:v>5</c:v>
                </c:pt>
                <c:pt idx="621">
                  <c:v>5</c:v>
                </c:pt>
                <c:pt idx="622">
                  <c:v>5</c:v>
                </c:pt>
                <c:pt idx="623">
                  <c:v>6</c:v>
                </c:pt>
                <c:pt idx="624">
                  <c:v>5</c:v>
                </c:pt>
                <c:pt idx="625">
                  <c:v>5</c:v>
                </c:pt>
                <c:pt idx="626">
                  <c:v>5</c:v>
                </c:pt>
                <c:pt idx="627">
                  <c:v>5</c:v>
                </c:pt>
                <c:pt idx="628">
                  <c:v>6</c:v>
                </c:pt>
                <c:pt idx="629">
                  <c:v>5</c:v>
                </c:pt>
                <c:pt idx="630">
                  <c:v>6</c:v>
                </c:pt>
                <c:pt idx="631">
                  <c:v>5</c:v>
                </c:pt>
                <c:pt idx="632">
                  <c:v>6</c:v>
                </c:pt>
                <c:pt idx="633">
                  <c:v>4</c:v>
                </c:pt>
                <c:pt idx="634">
                  <c:v>5</c:v>
                </c:pt>
                <c:pt idx="635">
                  <c:v>5</c:v>
                </c:pt>
                <c:pt idx="636">
                  <c:v>5</c:v>
                </c:pt>
                <c:pt idx="637">
                  <c:v>5</c:v>
                </c:pt>
                <c:pt idx="638">
                  <c:v>7</c:v>
                </c:pt>
                <c:pt idx="639">
                  <c:v>6</c:v>
                </c:pt>
                <c:pt idx="640">
                  <c:v>5</c:v>
                </c:pt>
                <c:pt idx="641">
                  <c:v>5</c:v>
                </c:pt>
                <c:pt idx="642">
                  <c:v>5</c:v>
                </c:pt>
                <c:pt idx="643">
                  <c:v>5</c:v>
                </c:pt>
                <c:pt idx="644">
                  <c:v>5</c:v>
                </c:pt>
                <c:pt idx="645">
                  <c:v>7</c:v>
                </c:pt>
                <c:pt idx="646">
                  <c:v>5</c:v>
                </c:pt>
                <c:pt idx="647">
                  <c:v>4</c:v>
                </c:pt>
                <c:pt idx="648">
                  <c:v>7</c:v>
                </c:pt>
                <c:pt idx="649">
                  <c:v>6</c:v>
                </c:pt>
                <c:pt idx="650">
                  <c:v>5</c:v>
                </c:pt>
                <c:pt idx="651">
                  <c:v>5</c:v>
                </c:pt>
                <c:pt idx="652">
                  <c:v>5</c:v>
                </c:pt>
                <c:pt idx="653">
                  <c:v>6</c:v>
                </c:pt>
                <c:pt idx="654">
                  <c:v>5</c:v>
                </c:pt>
                <c:pt idx="655">
                  <c:v>5</c:v>
                </c:pt>
                <c:pt idx="656">
                  <c:v>5</c:v>
                </c:pt>
                <c:pt idx="657">
                  <c:v>7</c:v>
                </c:pt>
                <c:pt idx="658">
                  <c:v>6</c:v>
                </c:pt>
                <c:pt idx="659">
                  <c:v>4</c:v>
                </c:pt>
                <c:pt idx="660">
                  <c:v>6</c:v>
                </c:pt>
                <c:pt idx="661">
                  <c:v>5</c:v>
                </c:pt>
                <c:pt idx="662">
                  <c:v>6</c:v>
                </c:pt>
                <c:pt idx="663">
                  <c:v>6</c:v>
                </c:pt>
                <c:pt idx="664">
                  <c:v>5</c:v>
                </c:pt>
                <c:pt idx="665">
                  <c:v>5</c:v>
                </c:pt>
                <c:pt idx="666">
                  <c:v>6</c:v>
                </c:pt>
                <c:pt idx="667">
                  <c:v>6</c:v>
                </c:pt>
                <c:pt idx="668">
                  <c:v>5</c:v>
                </c:pt>
                <c:pt idx="669">
                  <c:v>6</c:v>
                </c:pt>
                <c:pt idx="670">
                  <c:v>5</c:v>
                </c:pt>
                <c:pt idx="671">
                  <c:v>5</c:v>
                </c:pt>
                <c:pt idx="672">
                  <c:v>5</c:v>
                </c:pt>
                <c:pt idx="673">
                  <c:v>5</c:v>
                </c:pt>
                <c:pt idx="674">
                  <c:v>6</c:v>
                </c:pt>
                <c:pt idx="675">
                  <c:v>5</c:v>
                </c:pt>
                <c:pt idx="676">
                  <c:v>6</c:v>
                </c:pt>
                <c:pt idx="677">
                  <c:v>5</c:v>
                </c:pt>
                <c:pt idx="678">
                  <c:v>5</c:v>
                </c:pt>
                <c:pt idx="679">
                  <c:v>5</c:v>
                </c:pt>
                <c:pt idx="680">
                  <c:v>5</c:v>
                </c:pt>
                <c:pt idx="681">
                  <c:v>6</c:v>
                </c:pt>
                <c:pt idx="682">
                  <c:v>5</c:v>
                </c:pt>
                <c:pt idx="683">
                  <c:v>5</c:v>
                </c:pt>
                <c:pt idx="684">
                  <c:v>5</c:v>
                </c:pt>
                <c:pt idx="685">
                  <c:v>5</c:v>
                </c:pt>
                <c:pt idx="686">
                  <c:v>5</c:v>
                </c:pt>
                <c:pt idx="687">
                  <c:v>5</c:v>
                </c:pt>
                <c:pt idx="688">
                  <c:v>5</c:v>
                </c:pt>
                <c:pt idx="689">
                  <c:v>5</c:v>
                </c:pt>
                <c:pt idx="690">
                  <c:v>3</c:v>
                </c:pt>
                <c:pt idx="691">
                  <c:v>5</c:v>
                </c:pt>
                <c:pt idx="692">
                  <c:v>5</c:v>
                </c:pt>
                <c:pt idx="693">
                  <c:v>5</c:v>
                </c:pt>
                <c:pt idx="694">
                  <c:v>5</c:v>
                </c:pt>
                <c:pt idx="695">
                  <c:v>6</c:v>
                </c:pt>
                <c:pt idx="696">
                  <c:v>6</c:v>
                </c:pt>
                <c:pt idx="697">
                  <c:v>6</c:v>
                </c:pt>
                <c:pt idx="698">
                  <c:v>5</c:v>
                </c:pt>
                <c:pt idx="699">
                  <c:v>6</c:v>
                </c:pt>
                <c:pt idx="700">
                  <c:v>6</c:v>
                </c:pt>
                <c:pt idx="701">
                  <c:v>6</c:v>
                </c:pt>
                <c:pt idx="702">
                  <c:v>6</c:v>
                </c:pt>
                <c:pt idx="703">
                  <c:v>4</c:v>
                </c:pt>
                <c:pt idx="704">
                  <c:v>4</c:v>
                </c:pt>
                <c:pt idx="705">
                  <c:v>5</c:v>
                </c:pt>
                <c:pt idx="706">
                  <c:v>5</c:v>
                </c:pt>
                <c:pt idx="707">
                  <c:v>5</c:v>
                </c:pt>
                <c:pt idx="708">
                  <c:v>6</c:v>
                </c:pt>
                <c:pt idx="709">
                  <c:v>6</c:v>
                </c:pt>
                <c:pt idx="710">
                  <c:v>5</c:v>
                </c:pt>
                <c:pt idx="711">
                  <c:v>5</c:v>
                </c:pt>
                <c:pt idx="712">
                  <c:v>5</c:v>
                </c:pt>
                <c:pt idx="713">
                  <c:v>5</c:v>
                </c:pt>
                <c:pt idx="714">
                  <c:v>5</c:v>
                </c:pt>
                <c:pt idx="715">
                  <c:v>6</c:v>
                </c:pt>
                <c:pt idx="716">
                  <c:v>5</c:v>
                </c:pt>
                <c:pt idx="717">
                  <c:v>5</c:v>
                </c:pt>
                <c:pt idx="718">
                  <c:v>5</c:v>
                </c:pt>
                <c:pt idx="719">
                  <c:v>5</c:v>
                </c:pt>
                <c:pt idx="720">
                  <c:v>5</c:v>
                </c:pt>
                <c:pt idx="721">
                  <c:v>5</c:v>
                </c:pt>
                <c:pt idx="722">
                  <c:v>5</c:v>
                </c:pt>
                <c:pt idx="723">
                  <c:v>5</c:v>
                </c:pt>
                <c:pt idx="724">
                  <c:v>4</c:v>
                </c:pt>
                <c:pt idx="725">
                  <c:v>5</c:v>
                </c:pt>
                <c:pt idx="726">
                  <c:v>6</c:v>
                </c:pt>
                <c:pt idx="727">
                  <c:v>5</c:v>
                </c:pt>
                <c:pt idx="728">
                  <c:v>5</c:v>
                </c:pt>
                <c:pt idx="729">
                  <c:v>6</c:v>
                </c:pt>
                <c:pt idx="730">
                  <c:v>5</c:v>
                </c:pt>
                <c:pt idx="731">
                  <c:v>5</c:v>
                </c:pt>
                <c:pt idx="732">
                  <c:v>5</c:v>
                </c:pt>
                <c:pt idx="733">
                  <c:v>5</c:v>
                </c:pt>
                <c:pt idx="734">
                  <c:v>5</c:v>
                </c:pt>
                <c:pt idx="735">
                  <c:v>5</c:v>
                </c:pt>
                <c:pt idx="736">
                  <c:v>5</c:v>
                </c:pt>
                <c:pt idx="737">
                  <c:v>6</c:v>
                </c:pt>
                <c:pt idx="738">
                  <c:v>5</c:v>
                </c:pt>
                <c:pt idx="739">
                  <c:v>5</c:v>
                </c:pt>
                <c:pt idx="740">
                  <c:v>6</c:v>
                </c:pt>
                <c:pt idx="741">
                  <c:v>5</c:v>
                </c:pt>
                <c:pt idx="742">
                  <c:v>5</c:v>
                </c:pt>
                <c:pt idx="743">
                  <c:v>5</c:v>
                </c:pt>
                <c:pt idx="744">
                  <c:v>5</c:v>
                </c:pt>
                <c:pt idx="745">
                  <c:v>6</c:v>
                </c:pt>
                <c:pt idx="746">
                  <c:v>6</c:v>
                </c:pt>
                <c:pt idx="747">
                  <c:v>5</c:v>
                </c:pt>
                <c:pt idx="748">
                  <c:v>6</c:v>
                </c:pt>
                <c:pt idx="749">
                  <c:v>6</c:v>
                </c:pt>
                <c:pt idx="750">
                  <c:v>5</c:v>
                </c:pt>
                <c:pt idx="751">
                  <c:v>5</c:v>
                </c:pt>
                <c:pt idx="752">
                  <c:v>5</c:v>
                </c:pt>
                <c:pt idx="753">
                  <c:v>5</c:v>
                </c:pt>
                <c:pt idx="754">
                  <c:v>6</c:v>
                </c:pt>
                <c:pt idx="755">
                  <c:v>6</c:v>
                </c:pt>
                <c:pt idx="756">
                  <c:v>6</c:v>
                </c:pt>
                <c:pt idx="757">
                  <c:v>5</c:v>
                </c:pt>
                <c:pt idx="758">
                  <c:v>5</c:v>
                </c:pt>
                <c:pt idx="759">
                  <c:v>5</c:v>
                </c:pt>
                <c:pt idx="760">
                  <c:v>5</c:v>
                </c:pt>
                <c:pt idx="761">
                  <c:v>5</c:v>
                </c:pt>
                <c:pt idx="762">
                  <c:v>6</c:v>
                </c:pt>
                <c:pt idx="763">
                  <c:v>5</c:v>
                </c:pt>
                <c:pt idx="764">
                  <c:v>6</c:v>
                </c:pt>
                <c:pt idx="765">
                  <c:v>6</c:v>
                </c:pt>
                <c:pt idx="766">
                  <c:v>5</c:v>
                </c:pt>
                <c:pt idx="767">
                  <c:v>5</c:v>
                </c:pt>
                <c:pt idx="768">
                  <c:v>6</c:v>
                </c:pt>
                <c:pt idx="769">
                  <c:v>5</c:v>
                </c:pt>
                <c:pt idx="770">
                  <c:v>6</c:v>
                </c:pt>
                <c:pt idx="771">
                  <c:v>5</c:v>
                </c:pt>
                <c:pt idx="772">
                  <c:v>5</c:v>
                </c:pt>
                <c:pt idx="773">
                  <c:v>6</c:v>
                </c:pt>
                <c:pt idx="774">
                  <c:v>6</c:v>
                </c:pt>
                <c:pt idx="775">
                  <c:v>5</c:v>
                </c:pt>
                <c:pt idx="776">
                  <c:v>6</c:v>
                </c:pt>
                <c:pt idx="777">
                  <c:v>6</c:v>
                </c:pt>
                <c:pt idx="778">
                  <c:v>5</c:v>
                </c:pt>
                <c:pt idx="779">
                  <c:v>5</c:v>
                </c:pt>
                <c:pt idx="780">
                  <c:v>6</c:v>
                </c:pt>
                <c:pt idx="781">
                  <c:v>5</c:v>
                </c:pt>
                <c:pt idx="782">
                  <c:v>5</c:v>
                </c:pt>
                <c:pt idx="783">
                  <c:v>5</c:v>
                </c:pt>
                <c:pt idx="784">
                  <c:v>5</c:v>
                </c:pt>
                <c:pt idx="785">
                  <c:v>5</c:v>
                </c:pt>
                <c:pt idx="786">
                  <c:v>5</c:v>
                </c:pt>
                <c:pt idx="787">
                  <c:v>6</c:v>
                </c:pt>
                <c:pt idx="788">
                  <c:v>6</c:v>
                </c:pt>
                <c:pt idx="789">
                  <c:v>5</c:v>
                </c:pt>
                <c:pt idx="790">
                  <c:v>6</c:v>
                </c:pt>
                <c:pt idx="791">
                  <c:v>5</c:v>
                </c:pt>
                <c:pt idx="792">
                  <c:v>6</c:v>
                </c:pt>
                <c:pt idx="793">
                  <c:v>5</c:v>
                </c:pt>
                <c:pt idx="794">
                  <c:v>6</c:v>
                </c:pt>
                <c:pt idx="795">
                  <c:v>5</c:v>
                </c:pt>
                <c:pt idx="796">
                  <c:v>5</c:v>
                </c:pt>
                <c:pt idx="797">
                  <c:v>7</c:v>
                </c:pt>
                <c:pt idx="798">
                  <c:v>6</c:v>
                </c:pt>
                <c:pt idx="799">
                  <c:v>6</c:v>
                </c:pt>
                <c:pt idx="800">
                  <c:v>5</c:v>
                </c:pt>
                <c:pt idx="801">
                  <c:v>5</c:v>
                </c:pt>
                <c:pt idx="802">
                  <c:v>7</c:v>
                </c:pt>
                <c:pt idx="803">
                  <c:v>6</c:v>
                </c:pt>
                <c:pt idx="804">
                  <c:v>6</c:v>
                </c:pt>
                <c:pt idx="805">
                  <c:v>7</c:v>
                </c:pt>
                <c:pt idx="806">
                  <c:v>7</c:v>
                </c:pt>
                <c:pt idx="807">
                  <c:v>7</c:v>
                </c:pt>
                <c:pt idx="808">
                  <c:v>5</c:v>
                </c:pt>
                <c:pt idx="809">
                  <c:v>6</c:v>
                </c:pt>
                <c:pt idx="810">
                  <c:v>5</c:v>
                </c:pt>
                <c:pt idx="811">
                  <c:v>6</c:v>
                </c:pt>
                <c:pt idx="812">
                  <c:v>5</c:v>
                </c:pt>
                <c:pt idx="813">
                  <c:v>4</c:v>
                </c:pt>
                <c:pt idx="814">
                  <c:v>6</c:v>
                </c:pt>
                <c:pt idx="815">
                  <c:v>5</c:v>
                </c:pt>
                <c:pt idx="816">
                  <c:v>6</c:v>
                </c:pt>
                <c:pt idx="817">
                  <c:v>6</c:v>
                </c:pt>
                <c:pt idx="818">
                  <c:v>5</c:v>
                </c:pt>
                <c:pt idx="819">
                  <c:v>5</c:v>
                </c:pt>
                <c:pt idx="820">
                  <c:v>5</c:v>
                </c:pt>
                <c:pt idx="821">
                  <c:v>7</c:v>
                </c:pt>
                <c:pt idx="822">
                  <c:v>5</c:v>
                </c:pt>
                <c:pt idx="823">
                  <c:v>5</c:v>
                </c:pt>
                <c:pt idx="824">
                  <c:v>5</c:v>
                </c:pt>
                <c:pt idx="825">
                  <c:v>5</c:v>
                </c:pt>
                <c:pt idx="826">
                  <c:v>7</c:v>
                </c:pt>
                <c:pt idx="827">
                  <c:v>5</c:v>
                </c:pt>
                <c:pt idx="828">
                  <c:v>8</c:v>
                </c:pt>
                <c:pt idx="829">
                  <c:v>6</c:v>
                </c:pt>
                <c:pt idx="830">
                  <c:v>4</c:v>
                </c:pt>
                <c:pt idx="831">
                  <c:v>6</c:v>
                </c:pt>
                <c:pt idx="832">
                  <c:v>3</c:v>
                </c:pt>
                <c:pt idx="833">
                  <c:v>4</c:v>
                </c:pt>
                <c:pt idx="834">
                  <c:v>5</c:v>
                </c:pt>
                <c:pt idx="835">
                  <c:v>5</c:v>
                </c:pt>
                <c:pt idx="836">
                  <c:v>7</c:v>
                </c:pt>
                <c:pt idx="837">
                  <c:v>7</c:v>
                </c:pt>
                <c:pt idx="838">
                  <c:v>7</c:v>
                </c:pt>
                <c:pt idx="839">
                  <c:v>5</c:v>
                </c:pt>
                <c:pt idx="840">
                  <c:v>7</c:v>
                </c:pt>
                <c:pt idx="841">
                  <c:v>5</c:v>
                </c:pt>
                <c:pt idx="842">
                  <c:v>6</c:v>
                </c:pt>
                <c:pt idx="843">
                  <c:v>5</c:v>
                </c:pt>
                <c:pt idx="844">
                  <c:v>6</c:v>
                </c:pt>
                <c:pt idx="845">
                  <c:v>5</c:v>
                </c:pt>
                <c:pt idx="846">
                  <c:v>5</c:v>
                </c:pt>
                <c:pt idx="847">
                  <c:v>6</c:v>
                </c:pt>
                <c:pt idx="848">
                  <c:v>5</c:v>
                </c:pt>
                <c:pt idx="849">
                  <c:v>5</c:v>
                </c:pt>
                <c:pt idx="850">
                  <c:v>5</c:v>
                </c:pt>
                <c:pt idx="851">
                  <c:v>5</c:v>
                </c:pt>
                <c:pt idx="852">
                  <c:v>5</c:v>
                </c:pt>
                <c:pt idx="853">
                  <c:v>6</c:v>
                </c:pt>
                <c:pt idx="854">
                  <c:v>6</c:v>
                </c:pt>
                <c:pt idx="855">
                  <c:v>7</c:v>
                </c:pt>
                <c:pt idx="856">
                  <c:v>6</c:v>
                </c:pt>
                <c:pt idx="857">
                  <c:v>7</c:v>
                </c:pt>
                <c:pt idx="858">
                  <c:v>7</c:v>
                </c:pt>
                <c:pt idx="859">
                  <c:v>6</c:v>
                </c:pt>
                <c:pt idx="860">
                  <c:v>5</c:v>
                </c:pt>
                <c:pt idx="861">
                  <c:v>6</c:v>
                </c:pt>
                <c:pt idx="862">
                  <c:v>5</c:v>
                </c:pt>
                <c:pt idx="863">
                  <c:v>5</c:v>
                </c:pt>
                <c:pt idx="864">
                  <c:v>5</c:v>
                </c:pt>
                <c:pt idx="865">
                  <c:v>5</c:v>
                </c:pt>
                <c:pt idx="866">
                  <c:v>6</c:v>
                </c:pt>
                <c:pt idx="867">
                  <c:v>6</c:v>
                </c:pt>
                <c:pt idx="868">
                  <c:v>6</c:v>
                </c:pt>
                <c:pt idx="869">
                  <c:v>6</c:v>
                </c:pt>
                <c:pt idx="870">
                  <c:v>6</c:v>
                </c:pt>
                <c:pt idx="871">
                  <c:v>5</c:v>
                </c:pt>
                <c:pt idx="872">
                  <c:v>4</c:v>
                </c:pt>
                <c:pt idx="873">
                  <c:v>7</c:v>
                </c:pt>
                <c:pt idx="874">
                  <c:v>7</c:v>
                </c:pt>
                <c:pt idx="875">
                  <c:v>7</c:v>
                </c:pt>
                <c:pt idx="876">
                  <c:v>4</c:v>
                </c:pt>
                <c:pt idx="877">
                  <c:v>6</c:v>
                </c:pt>
                <c:pt idx="878">
                  <c:v>6</c:v>
                </c:pt>
                <c:pt idx="879">
                  <c:v>5</c:v>
                </c:pt>
                <c:pt idx="880">
                  <c:v>5</c:v>
                </c:pt>
                <c:pt idx="881">
                  <c:v>6</c:v>
                </c:pt>
                <c:pt idx="882">
                  <c:v>6</c:v>
                </c:pt>
                <c:pt idx="883">
                  <c:v>5</c:v>
                </c:pt>
                <c:pt idx="884">
                  <c:v>6</c:v>
                </c:pt>
                <c:pt idx="885">
                  <c:v>5</c:v>
                </c:pt>
                <c:pt idx="886">
                  <c:v>6</c:v>
                </c:pt>
                <c:pt idx="887">
                  <c:v>7</c:v>
                </c:pt>
                <c:pt idx="888">
                  <c:v>6</c:v>
                </c:pt>
                <c:pt idx="889">
                  <c:v>5</c:v>
                </c:pt>
                <c:pt idx="890">
                  <c:v>5</c:v>
                </c:pt>
                <c:pt idx="891">
                  <c:v>5</c:v>
                </c:pt>
                <c:pt idx="892">
                  <c:v>6</c:v>
                </c:pt>
                <c:pt idx="893">
                  <c:v>5</c:v>
                </c:pt>
                <c:pt idx="894">
                  <c:v>6</c:v>
                </c:pt>
                <c:pt idx="895">
                  <c:v>6</c:v>
                </c:pt>
                <c:pt idx="896">
                  <c:v>7</c:v>
                </c:pt>
                <c:pt idx="897">
                  <c:v>6</c:v>
                </c:pt>
                <c:pt idx="898">
                  <c:v>7</c:v>
                </c:pt>
                <c:pt idx="899">
                  <c:v>3</c:v>
                </c:pt>
                <c:pt idx="900">
                  <c:v>5</c:v>
                </c:pt>
                <c:pt idx="901">
                  <c:v>7</c:v>
                </c:pt>
                <c:pt idx="902">
                  <c:v>7</c:v>
                </c:pt>
                <c:pt idx="903">
                  <c:v>7</c:v>
                </c:pt>
                <c:pt idx="904">
                  <c:v>7</c:v>
                </c:pt>
                <c:pt idx="905">
                  <c:v>5</c:v>
                </c:pt>
                <c:pt idx="906">
                  <c:v>5</c:v>
                </c:pt>
                <c:pt idx="907">
                  <c:v>6</c:v>
                </c:pt>
                <c:pt idx="908">
                  <c:v>6</c:v>
                </c:pt>
                <c:pt idx="909">
                  <c:v>6</c:v>
                </c:pt>
                <c:pt idx="910">
                  <c:v>6</c:v>
                </c:pt>
                <c:pt idx="911">
                  <c:v>6</c:v>
                </c:pt>
                <c:pt idx="912">
                  <c:v>6</c:v>
                </c:pt>
                <c:pt idx="913">
                  <c:v>7</c:v>
                </c:pt>
                <c:pt idx="914">
                  <c:v>6</c:v>
                </c:pt>
                <c:pt idx="915">
                  <c:v>6</c:v>
                </c:pt>
                <c:pt idx="916">
                  <c:v>5</c:v>
                </c:pt>
                <c:pt idx="917">
                  <c:v>6</c:v>
                </c:pt>
                <c:pt idx="918">
                  <c:v>6</c:v>
                </c:pt>
                <c:pt idx="919">
                  <c:v>6</c:v>
                </c:pt>
                <c:pt idx="920">
                  <c:v>5</c:v>
                </c:pt>
                <c:pt idx="921">
                  <c:v>6</c:v>
                </c:pt>
                <c:pt idx="922">
                  <c:v>6</c:v>
                </c:pt>
                <c:pt idx="923">
                  <c:v>6</c:v>
                </c:pt>
                <c:pt idx="924">
                  <c:v>5</c:v>
                </c:pt>
                <c:pt idx="925">
                  <c:v>7</c:v>
                </c:pt>
                <c:pt idx="926">
                  <c:v>6</c:v>
                </c:pt>
                <c:pt idx="927">
                  <c:v>4</c:v>
                </c:pt>
                <c:pt idx="928">
                  <c:v>5</c:v>
                </c:pt>
                <c:pt idx="929">
                  <c:v>7</c:v>
                </c:pt>
                <c:pt idx="930">
                  <c:v>5</c:v>
                </c:pt>
                <c:pt idx="931">
                  <c:v>5</c:v>
                </c:pt>
                <c:pt idx="932">
                  <c:v>6</c:v>
                </c:pt>
                <c:pt idx="933">
                  <c:v>5</c:v>
                </c:pt>
                <c:pt idx="934">
                  <c:v>5</c:v>
                </c:pt>
                <c:pt idx="935">
                  <c:v>6</c:v>
                </c:pt>
                <c:pt idx="936">
                  <c:v>6</c:v>
                </c:pt>
                <c:pt idx="937">
                  <c:v>4</c:v>
                </c:pt>
                <c:pt idx="938">
                  <c:v>7</c:v>
                </c:pt>
                <c:pt idx="939">
                  <c:v>5</c:v>
                </c:pt>
                <c:pt idx="940">
                  <c:v>7</c:v>
                </c:pt>
                <c:pt idx="941">
                  <c:v>7</c:v>
                </c:pt>
                <c:pt idx="942">
                  <c:v>7</c:v>
                </c:pt>
                <c:pt idx="943">
                  <c:v>7</c:v>
                </c:pt>
                <c:pt idx="944">
                  <c:v>7</c:v>
                </c:pt>
                <c:pt idx="945">
                  <c:v>7</c:v>
                </c:pt>
                <c:pt idx="946">
                  <c:v>7</c:v>
                </c:pt>
                <c:pt idx="947">
                  <c:v>7</c:v>
                </c:pt>
                <c:pt idx="948">
                  <c:v>7</c:v>
                </c:pt>
                <c:pt idx="949">
                  <c:v>7</c:v>
                </c:pt>
                <c:pt idx="950">
                  <c:v>7</c:v>
                </c:pt>
                <c:pt idx="951">
                  <c:v>7</c:v>
                </c:pt>
                <c:pt idx="952">
                  <c:v>7</c:v>
                </c:pt>
                <c:pt idx="953">
                  <c:v>7</c:v>
                </c:pt>
                <c:pt idx="954">
                  <c:v>6</c:v>
                </c:pt>
                <c:pt idx="955">
                  <c:v>5</c:v>
                </c:pt>
                <c:pt idx="956">
                  <c:v>6</c:v>
                </c:pt>
                <c:pt idx="957">
                  <c:v>6</c:v>
                </c:pt>
                <c:pt idx="958">
                  <c:v>7</c:v>
                </c:pt>
                <c:pt idx="959">
                  <c:v>5</c:v>
                </c:pt>
                <c:pt idx="960">
                  <c:v>6</c:v>
                </c:pt>
                <c:pt idx="961">
                  <c:v>5</c:v>
                </c:pt>
                <c:pt idx="962">
                  <c:v>5</c:v>
                </c:pt>
                <c:pt idx="963">
                  <c:v>6</c:v>
                </c:pt>
                <c:pt idx="964">
                  <c:v>6</c:v>
                </c:pt>
                <c:pt idx="965">
                  <c:v>6</c:v>
                </c:pt>
                <c:pt idx="966">
                  <c:v>7</c:v>
                </c:pt>
                <c:pt idx="967">
                  <c:v>5</c:v>
                </c:pt>
                <c:pt idx="968">
                  <c:v>6</c:v>
                </c:pt>
                <c:pt idx="969">
                  <c:v>5</c:v>
                </c:pt>
                <c:pt idx="970">
                  <c:v>6</c:v>
                </c:pt>
                <c:pt idx="971">
                  <c:v>6</c:v>
                </c:pt>
                <c:pt idx="972">
                  <c:v>7</c:v>
                </c:pt>
                <c:pt idx="973">
                  <c:v>5</c:v>
                </c:pt>
                <c:pt idx="974">
                  <c:v>7</c:v>
                </c:pt>
                <c:pt idx="975">
                  <c:v>5</c:v>
                </c:pt>
                <c:pt idx="976">
                  <c:v>5</c:v>
                </c:pt>
                <c:pt idx="977">
                  <c:v>5</c:v>
                </c:pt>
                <c:pt idx="978">
                  <c:v>7</c:v>
                </c:pt>
                <c:pt idx="979">
                  <c:v>5</c:v>
                </c:pt>
                <c:pt idx="980">
                  <c:v>6</c:v>
                </c:pt>
                <c:pt idx="981">
                  <c:v>5</c:v>
                </c:pt>
                <c:pt idx="982">
                  <c:v>6</c:v>
                </c:pt>
                <c:pt idx="983">
                  <c:v>6</c:v>
                </c:pt>
                <c:pt idx="984">
                  <c:v>5</c:v>
                </c:pt>
                <c:pt idx="985">
                  <c:v>6</c:v>
                </c:pt>
                <c:pt idx="986">
                  <c:v>7</c:v>
                </c:pt>
                <c:pt idx="987">
                  <c:v>5</c:v>
                </c:pt>
                <c:pt idx="988">
                  <c:v>5</c:v>
                </c:pt>
                <c:pt idx="989">
                  <c:v>6</c:v>
                </c:pt>
                <c:pt idx="990">
                  <c:v>5</c:v>
                </c:pt>
                <c:pt idx="991">
                  <c:v>5</c:v>
                </c:pt>
                <c:pt idx="992">
                  <c:v>6</c:v>
                </c:pt>
                <c:pt idx="993">
                  <c:v>5</c:v>
                </c:pt>
                <c:pt idx="994">
                  <c:v>5</c:v>
                </c:pt>
                <c:pt idx="995">
                  <c:v>6</c:v>
                </c:pt>
                <c:pt idx="996">
                  <c:v>7</c:v>
                </c:pt>
                <c:pt idx="997">
                  <c:v>7</c:v>
                </c:pt>
                <c:pt idx="998">
                  <c:v>6</c:v>
                </c:pt>
                <c:pt idx="999">
                  <c:v>6</c:v>
                </c:pt>
                <c:pt idx="1000">
                  <c:v>7</c:v>
                </c:pt>
                <c:pt idx="1001">
                  <c:v>7</c:v>
                </c:pt>
                <c:pt idx="1002">
                  <c:v>7</c:v>
                </c:pt>
                <c:pt idx="1003">
                  <c:v>7</c:v>
                </c:pt>
                <c:pt idx="1004">
                  <c:v>5</c:v>
                </c:pt>
                <c:pt idx="1005">
                  <c:v>7</c:v>
                </c:pt>
                <c:pt idx="1006">
                  <c:v>7</c:v>
                </c:pt>
                <c:pt idx="1007">
                  <c:v>7</c:v>
                </c:pt>
                <c:pt idx="1008">
                  <c:v>7</c:v>
                </c:pt>
                <c:pt idx="1009">
                  <c:v>5</c:v>
                </c:pt>
                <c:pt idx="1010">
                  <c:v>7</c:v>
                </c:pt>
                <c:pt idx="1011">
                  <c:v>6</c:v>
                </c:pt>
                <c:pt idx="1012">
                  <c:v>5</c:v>
                </c:pt>
                <c:pt idx="1013">
                  <c:v>6</c:v>
                </c:pt>
                <c:pt idx="1014">
                  <c:v>6</c:v>
                </c:pt>
                <c:pt idx="1015">
                  <c:v>6</c:v>
                </c:pt>
                <c:pt idx="1016">
                  <c:v>7</c:v>
                </c:pt>
                <c:pt idx="1017">
                  <c:v>6</c:v>
                </c:pt>
                <c:pt idx="1018">
                  <c:v>6</c:v>
                </c:pt>
                <c:pt idx="1019">
                  <c:v>5</c:v>
                </c:pt>
                <c:pt idx="1020">
                  <c:v>6</c:v>
                </c:pt>
                <c:pt idx="1021">
                  <c:v>6</c:v>
                </c:pt>
                <c:pt idx="1022">
                  <c:v>5</c:v>
                </c:pt>
                <c:pt idx="1023">
                  <c:v>6</c:v>
                </c:pt>
                <c:pt idx="1024">
                  <c:v>7</c:v>
                </c:pt>
                <c:pt idx="1025">
                  <c:v>6</c:v>
                </c:pt>
                <c:pt idx="1026">
                  <c:v>6</c:v>
                </c:pt>
                <c:pt idx="1027">
                  <c:v>5</c:v>
                </c:pt>
                <c:pt idx="1028">
                  <c:v>6</c:v>
                </c:pt>
                <c:pt idx="1029">
                  <c:v>7</c:v>
                </c:pt>
                <c:pt idx="1030">
                  <c:v>7</c:v>
                </c:pt>
                <c:pt idx="1031">
                  <c:v>7</c:v>
                </c:pt>
                <c:pt idx="1032">
                  <c:v>5</c:v>
                </c:pt>
                <c:pt idx="1033">
                  <c:v>6</c:v>
                </c:pt>
                <c:pt idx="1034">
                  <c:v>6</c:v>
                </c:pt>
                <c:pt idx="1035">
                  <c:v>7</c:v>
                </c:pt>
                <c:pt idx="1036">
                  <c:v>7</c:v>
                </c:pt>
                <c:pt idx="1037">
                  <c:v>5</c:v>
                </c:pt>
                <c:pt idx="1038">
                  <c:v>7</c:v>
                </c:pt>
                <c:pt idx="1039">
                  <c:v>6</c:v>
                </c:pt>
                <c:pt idx="1040">
                  <c:v>5</c:v>
                </c:pt>
                <c:pt idx="1041">
                  <c:v>6</c:v>
                </c:pt>
                <c:pt idx="1042">
                  <c:v>6</c:v>
                </c:pt>
                <c:pt idx="1043">
                  <c:v>7</c:v>
                </c:pt>
                <c:pt idx="1044">
                  <c:v>6</c:v>
                </c:pt>
                <c:pt idx="1045">
                  <c:v>6</c:v>
                </c:pt>
                <c:pt idx="1046">
                  <c:v>6</c:v>
                </c:pt>
                <c:pt idx="1047">
                  <c:v>5</c:v>
                </c:pt>
                <c:pt idx="1048">
                  <c:v>6</c:v>
                </c:pt>
                <c:pt idx="1049">
                  <c:v>6</c:v>
                </c:pt>
                <c:pt idx="1050">
                  <c:v>5</c:v>
                </c:pt>
                <c:pt idx="1051">
                  <c:v>5</c:v>
                </c:pt>
                <c:pt idx="1052">
                  <c:v>5</c:v>
                </c:pt>
                <c:pt idx="1053">
                  <c:v>7</c:v>
                </c:pt>
                <c:pt idx="1054">
                  <c:v>6</c:v>
                </c:pt>
                <c:pt idx="1055">
                  <c:v>6</c:v>
                </c:pt>
                <c:pt idx="1056">
                  <c:v>7</c:v>
                </c:pt>
                <c:pt idx="1057">
                  <c:v>5</c:v>
                </c:pt>
                <c:pt idx="1058">
                  <c:v>7</c:v>
                </c:pt>
                <c:pt idx="1059">
                  <c:v>7</c:v>
                </c:pt>
                <c:pt idx="1060">
                  <c:v>6</c:v>
                </c:pt>
                <c:pt idx="1061">
                  <c:v>8</c:v>
                </c:pt>
                <c:pt idx="1062">
                  <c:v>6</c:v>
                </c:pt>
                <c:pt idx="1063">
                  <c:v>6</c:v>
                </c:pt>
                <c:pt idx="1064">
                  <c:v>6</c:v>
                </c:pt>
                <c:pt idx="1065">
                  <c:v>6</c:v>
                </c:pt>
                <c:pt idx="1066">
                  <c:v>7</c:v>
                </c:pt>
                <c:pt idx="1067">
                  <c:v>7</c:v>
                </c:pt>
                <c:pt idx="1068">
                  <c:v>7</c:v>
                </c:pt>
                <c:pt idx="1069">
                  <c:v>5</c:v>
                </c:pt>
                <c:pt idx="1070">
                  <c:v>7</c:v>
                </c:pt>
                <c:pt idx="1071">
                  <c:v>5</c:v>
                </c:pt>
                <c:pt idx="1072">
                  <c:v>6</c:v>
                </c:pt>
                <c:pt idx="1073">
                  <c:v>6</c:v>
                </c:pt>
                <c:pt idx="1074">
                  <c:v>5</c:v>
                </c:pt>
                <c:pt idx="1075">
                  <c:v>7</c:v>
                </c:pt>
                <c:pt idx="1076">
                  <c:v>6</c:v>
                </c:pt>
                <c:pt idx="1077">
                  <c:v>5</c:v>
                </c:pt>
                <c:pt idx="1078">
                  <c:v>5</c:v>
                </c:pt>
                <c:pt idx="1079">
                  <c:v>7</c:v>
                </c:pt>
                <c:pt idx="1080">
                  <c:v>6</c:v>
                </c:pt>
                <c:pt idx="1081">
                  <c:v>7</c:v>
                </c:pt>
                <c:pt idx="1082">
                  <c:v>6</c:v>
                </c:pt>
                <c:pt idx="1083">
                  <c:v>6</c:v>
                </c:pt>
                <c:pt idx="1084">
                  <c:v>6</c:v>
                </c:pt>
                <c:pt idx="1085">
                  <c:v>5</c:v>
                </c:pt>
                <c:pt idx="1086">
                  <c:v>7</c:v>
                </c:pt>
                <c:pt idx="1087">
                  <c:v>6</c:v>
                </c:pt>
                <c:pt idx="1088">
                  <c:v>7</c:v>
                </c:pt>
                <c:pt idx="1089">
                  <c:v>7</c:v>
                </c:pt>
                <c:pt idx="1090">
                  <c:v>8</c:v>
                </c:pt>
                <c:pt idx="1091">
                  <c:v>6</c:v>
                </c:pt>
                <c:pt idx="1092">
                  <c:v>6</c:v>
                </c:pt>
                <c:pt idx="1093">
                  <c:v>7</c:v>
                </c:pt>
                <c:pt idx="1094">
                  <c:v>6</c:v>
                </c:pt>
                <c:pt idx="1095">
                  <c:v>5</c:v>
                </c:pt>
                <c:pt idx="1096">
                  <c:v>6</c:v>
                </c:pt>
                <c:pt idx="1097">
                  <c:v>5</c:v>
                </c:pt>
                <c:pt idx="1098">
                  <c:v>7</c:v>
                </c:pt>
                <c:pt idx="1099">
                  <c:v>5</c:v>
                </c:pt>
                <c:pt idx="1100">
                  <c:v>6</c:v>
                </c:pt>
                <c:pt idx="1101">
                  <c:v>6</c:v>
                </c:pt>
                <c:pt idx="1102">
                  <c:v>6</c:v>
                </c:pt>
                <c:pt idx="1103">
                  <c:v>6</c:v>
                </c:pt>
                <c:pt idx="1104">
                  <c:v>6</c:v>
                </c:pt>
                <c:pt idx="1105">
                  <c:v>5</c:v>
                </c:pt>
                <c:pt idx="1106">
                  <c:v>6</c:v>
                </c:pt>
                <c:pt idx="1107">
                  <c:v>7</c:v>
                </c:pt>
                <c:pt idx="1108">
                  <c:v>5</c:v>
                </c:pt>
                <c:pt idx="1109">
                  <c:v>6</c:v>
                </c:pt>
                <c:pt idx="1110">
                  <c:v>6</c:v>
                </c:pt>
                <c:pt idx="1111">
                  <c:v>7</c:v>
                </c:pt>
                <c:pt idx="1112">
                  <c:v>6</c:v>
                </c:pt>
                <c:pt idx="1113">
                  <c:v>6</c:v>
                </c:pt>
                <c:pt idx="1114">
                  <c:v>6</c:v>
                </c:pt>
                <c:pt idx="1115">
                  <c:v>6</c:v>
                </c:pt>
                <c:pt idx="1116">
                  <c:v>6</c:v>
                </c:pt>
                <c:pt idx="1117">
                  <c:v>6</c:v>
                </c:pt>
                <c:pt idx="1118">
                  <c:v>6</c:v>
                </c:pt>
                <c:pt idx="1119">
                  <c:v>5</c:v>
                </c:pt>
                <c:pt idx="1120">
                  <c:v>8</c:v>
                </c:pt>
                <c:pt idx="1121">
                  <c:v>6</c:v>
                </c:pt>
                <c:pt idx="1122">
                  <c:v>6</c:v>
                </c:pt>
                <c:pt idx="1123">
                  <c:v>6</c:v>
                </c:pt>
                <c:pt idx="1124">
                  <c:v>4</c:v>
                </c:pt>
                <c:pt idx="1125">
                  <c:v>7</c:v>
                </c:pt>
                <c:pt idx="1126">
                  <c:v>6</c:v>
                </c:pt>
                <c:pt idx="1127">
                  <c:v>6</c:v>
                </c:pt>
                <c:pt idx="1128">
                  <c:v>5</c:v>
                </c:pt>
                <c:pt idx="1129">
                  <c:v>6</c:v>
                </c:pt>
                <c:pt idx="1130">
                  <c:v>6</c:v>
                </c:pt>
                <c:pt idx="1131">
                  <c:v>5</c:v>
                </c:pt>
                <c:pt idx="1132">
                  <c:v>7</c:v>
                </c:pt>
                <c:pt idx="1133">
                  <c:v>7</c:v>
                </c:pt>
                <c:pt idx="1134">
                  <c:v>7</c:v>
                </c:pt>
                <c:pt idx="1135">
                  <c:v>6</c:v>
                </c:pt>
                <c:pt idx="1136">
                  <c:v>6</c:v>
                </c:pt>
                <c:pt idx="1137">
                  <c:v>6</c:v>
                </c:pt>
                <c:pt idx="1138">
                  <c:v>5</c:v>
                </c:pt>
                <c:pt idx="1139">
                  <c:v>6</c:v>
                </c:pt>
                <c:pt idx="1140">
                  <c:v>6</c:v>
                </c:pt>
                <c:pt idx="1141">
                  <c:v>6</c:v>
                </c:pt>
                <c:pt idx="1142">
                  <c:v>6</c:v>
                </c:pt>
                <c:pt idx="1143">
                  <c:v>6</c:v>
                </c:pt>
                <c:pt idx="1144">
                  <c:v>5</c:v>
                </c:pt>
                <c:pt idx="1145">
                  <c:v>6</c:v>
                </c:pt>
                <c:pt idx="1146">
                  <c:v>6</c:v>
                </c:pt>
                <c:pt idx="1147">
                  <c:v>7</c:v>
                </c:pt>
                <c:pt idx="1148">
                  <c:v>6</c:v>
                </c:pt>
                <c:pt idx="1149">
                  <c:v>6</c:v>
                </c:pt>
                <c:pt idx="1150">
                  <c:v>7</c:v>
                </c:pt>
                <c:pt idx="1151">
                  <c:v>6</c:v>
                </c:pt>
                <c:pt idx="1152">
                  <c:v>5</c:v>
                </c:pt>
                <c:pt idx="1153">
                  <c:v>6</c:v>
                </c:pt>
                <c:pt idx="1154">
                  <c:v>6</c:v>
                </c:pt>
                <c:pt idx="1155">
                  <c:v>5</c:v>
                </c:pt>
                <c:pt idx="1156">
                  <c:v>7</c:v>
                </c:pt>
                <c:pt idx="1157">
                  <c:v>7</c:v>
                </c:pt>
                <c:pt idx="1158">
                  <c:v>6</c:v>
                </c:pt>
                <c:pt idx="1159">
                  <c:v>5</c:v>
                </c:pt>
                <c:pt idx="1160">
                  <c:v>7</c:v>
                </c:pt>
                <c:pt idx="1161">
                  <c:v>6</c:v>
                </c:pt>
                <c:pt idx="1162">
                  <c:v>7</c:v>
                </c:pt>
                <c:pt idx="1163">
                  <c:v>5</c:v>
                </c:pt>
                <c:pt idx="1164">
                  <c:v>5</c:v>
                </c:pt>
                <c:pt idx="1165">
                  <c:v>5</c:v>
                </c:pt>
                <c:pt idx="1166">
                  <c:v>5</c:v>
                </c:pt>
                <c:pt idx="1167">
                  <c:v>7</c:v>
                </c:pt>
                <c:pt idx="1168">
                  <c:v>6</c:v>
                </c:pt>
                <c:pt idx="1169">
                  <c:v>6</c:v>
                </c:pt>
                <c:pt idx="1170">
                  <c:v>6</c:v>
                </c:pt>
                <c:pt idx="1171">
                  <c:v>6</c:v>
                </c:pt>
                <c:pt idx="1172">
                  <c:v>6</c:v>
                </c:pt>
                <c:pt idx="1173">
                  <c:v>6</c:v>
                </c:pt>
                <c:pt idx="1174">
                  <c:v>6</c:v>
                </c:pt>
                <c:pt idx="1175">
                  <c:v>6</c:v>
                </c:pt>
                <c:pt idx="1176">
                  <c:v>4</c:v>
                </c:pt>
                <c:pt idx="1177">
                  <c:v>7</c:v>
                </c:pt>
                <c:pt idx="1178">
                  <c:v>5</c:v>
                </c:pt>
                <c:pt idx="1179">
                  <c:v>6</c:v>
                </c:pt>
                <c:pt idx="1180">
                  <c:v>6</c:v>
                </c:pt>
                <c:pt idx="1181">
                  <c:v>5</c:v>
                </c:pt>
                <c:pt idx="1182">
                  <c:v>6</c:v>
                </c:pt>
                <c:pt idx="1183">
                  <c:v>5</c:v>
                </c:pt>
                <c:pt idx="1184">
                  <c:v>5</c:v>
                </c:pt>
                <c:pt idx="1185">
                  <c:v>6</c:v>
                </c:pt>
                <c:pt idx="1186">
                  <c:v>5</c:v>
                </c:pt>
                <c:pt idx="1187">
                  <c:v>6</c:v>
                </c:pt>
                <c:pt idx="1188">
                  <c:v>5</c:v>
                </c:pt>
                <c:pt idx="1189">
                  <c:v>4</c:v>
                </c:pt>
                <c:pt idx="1190">
                  <c:v>6</c:v>
                </c:pt>
                <c:pt idx="1191">
                  <c:v>5</c:v>
                </c:pt>
                <c:pt idx="1192">
                  <c:v>7</c:v>
                </c:pt>
                <c:pt idx="1193">
                  <c:v>5</c:v>
                </c:pt>
                <c:pt idx="1194">
                  <c:v>6</c:v>
                </c:pt>
                <c:pt idx="1195">
                  <c:v>6</c:v>
                </c:pt>
                <c:pt idx="1196">
                  <c:v>6</c:v>
                </c:pt>
                <c:pt idx="1197">
                  <c:v>6</c:v>
                </c:pt>
                <c:pt idx="1198">
                  <c:v>6</c:v>
                </c:pt>
                <c:pt idx="1199">
                  <c:v>6</c:v>
                </c:pt>
                <c:pt idx="1200">
                  <c:v>6</c:v>
                </c:pt>
                <c:pt idx="1201">
                  <c:v>7</c:v>
                </c:pt>
                <c:pt idx="1202">
                  <c:v>8</c:v>
                </c:pt>
                <c:pt idx="1203">
                  <c:v>5</c:v>
                </c:pt>
                <c:pt idx="1204">
                  <c:v>7</c:v>
                </c:pt>
                <c:pt idx="1205">
                  <c:v>7</c:v>
                </c:pt>
                <c:pt idx="1206">
                  <c:v>7</c:v>
                </c:pt>
                <c:pt idx="1207">
                  <c:v>5</c:v>
                </c:pt>
                <c:pt idx="1208">
                  <c:v>7</c:v>
                </c:pt>
                <c:pt idx="1209">
                  <c:v>7</c:v>
                </c:pt>
                <c:pt idx="1210">
                  <c:v>6</c:v>
                </c:pt>
                <c:pt idx="1211">
                  <c:v>5</c:v>
                </c:pt>
                <c:pt idx="1212">
                  <c:v>6</c:v>
                </c:pt>
                <c:pt idx="1213">
                  <c:v>6</c:v>
                </c:pt>
                <c:pt idx="1214">
                  <c:v>6</c:v>
                </c:pt>
                <c:pt idx="1215">
                  <c:v>6</c:v>
                </c:pt>
                <c:pt idx="1216">
                  <c:v>6</c:v>
                </c:pt>
                <c:pt idx="1217">
                  <c:v>6</c:v>
                </c:pt>
                <c:pt idx="1218">
                  <c:v>6</c:v>
                </c:pt>
                <c:pt idx="1219">
                  <c:v>6</c:v>
                </c:pt>
                <c:pt idx="1220">
                  <c:v>6</c:v>
                </c:pt>
                <c:pt idx="1221">
                  <c:v>6</c:v>
                </c:pt>
                <c:pt idx="1222">
                  <c:v>6</c:v>
                </c:pt>
                <c:pt idx="1223">
                  <c:v>6</c:v>
                </c:pt>
                <c:pt idx="1224">
                  <c:v>6</c:v>
                </c:pt>
                <c:pt idx="1225">
                  <c:v>5</c:v>
                </c:pt>
                <c:pt idx="1226">
                  <c:v>5</c:v>
                </c:pt>
                <c:pt idx="1227">
                  <c:v>5</c:v>
                </c:pt>
                <c:pt idx="1228">
                  <c:v>7</c:v>
                </c:pt>
                <c:pt idx="1229">
                  <c:v>5</c:v>
                </c:pt>
                <c:pt idx="1230">
                  <c:v>6</c:v>
                </c:pt>
                <c:pt idx="1231">
                  <c:v>5</c:v>
                </c:pt>
                <c:pt idx="1232">
                  <c:v>5</c:v>
                </c:pt>
                <c:pt idx="1233">
                  <c:v>4</c:v>
                </c:pt>
                <c:pt idx="1234">
                  <c:v>6</c:v>
                </c:pt>
                <c:pt idx="1235">
                  <c:v>4</c:v>
                </c:pt>
                <c:pt idx="1236">
                  <c:v>6</c:v>
                </c:pt>
                <c:pt idx="1237">
                  <c:v>6</c:v>
                </c:pt>
                <c:pt idx="1238">
                  <c:v>4</c:v>
                </c:pt>
                <c:pt idx="1239">
                  <c:v>4</c:v>
                </c:pt>
                <c:pt idx="1240">
                  <c:v>5</c:v>
                </c:pt>
                <c:pt idx="1241">
                  <c:v>5</c:v>
                </c:pt>
                <c:pt idx="1242">
                  <c:v>6</c:v>
                </c:pt>
                <c:pt idx="1243">
                  <c:v>5</c:v>
                </c:pt>
                <c:pt idx="1244">
                  <c:v>6</c:v>
                </c:pt>
                <c:pt idx="1245">
                  <c:v>5</c:v>
                </c:pt>
                <c:pt idx="1246">
                  <c:v>5</c:v>
                </c:pt>
                <c:pt idx="1247">
                  <c:v>5</c:v>
                </c:pt>
                <c:pt idx="1248">
                  <c:v>6</c:v>
                </c:pt>
                <c:pt idx="1249">
                  <c:v>6</c:v>
                </c:pt>
                <c:pt idx="1250">
                  <c:v>6</c:v>
                </c:pt>
                <c:pt idx="1251">
                  <c:v>5</c:v>
                </c:pt>
                <c:pt idx="1252">
                  <c:v>5</c:v>
                </c:pt>
                <c:pt idx="1253">
                  <c:v>5</c:v>
                </c:pt>
                <c:pt idx="1254">
                  <c:v>5</c:v>
                </c:pt>
                <c:pt idx="1255">
                  <c:v>5</c:v>
                </c:pt>
                <c:pt idx="1256">
                  <c:v>5</c:v>
                </c:pt>
                <c:pt idx="1257">
                  <c:v>6</c:v>
                </c:pt>
                <c:pt idx="1258">
                  <c:v>6</c:v>
                </c:pt>
                <c:pt idx="1259">
                  <c:v>6</c:v>
                </c:pt>
                <c:pt idx="1260">
                  <c:v>5</c:v>
                </c:pt>
                <c:pt idx="1261">
                  <c:v>4</c:v>
                </c:pt>
                <c:pt idx="1262">
                  <c:v>5</c:v>
                </c:pt>
                <c:pt idx="1263">
                  <c:v>4</c:v>
                </c:pt>
                <c:pt idx="1264">
                  <c:v>6</c:v>
                </c:pt>
                <c:pt idx="1265">
                  <c:v>6</c:v>
                </c:pt>
                <c:pt idx="1266">
                  <c:v>6</c:v>
                </c:pt>
                <c:pt idx="1267">
                  <c:v>6</c:v>
                </c:pt>
                <c:pt idx="1268">
                  <c:v>6</c:v>
                </c:pt>
                <c:pt idx="1269">
                  <c:v>8</c:v>
                </c:pt>
                <c:pt idx="1270">
                  <c:v>6</c:v>
                </c:pt>
                <c:pt idx="1271">
                  <c:v>6</c:v>
                </c:pt>
                <c:pt idx="1272">
                  <c:v>5</c:v>
                </c:pt>
                <c:pt idx="1273">
                  <c:v>5</c:v>
                </c:pt>
                <c:pt idx="1274">
                  <c:v>6</c:v>
                </c:pt>
                <c:pt idx="1275">
                  <c:v>6</c:v>
                </c:pt>
                <c:pt idx="1276">
                  <c:v>4</c:v>
                </c:pt>
                <c:pt idx="1277">
                  <c:v>6</c:v>
                </c:pt>
                <c:pt idx="1278">
                  <c:v>6</c:v>
                </c:pt>
                <c:pt idx="1279">
                  <c:v>7</c:v>
                </c:pt>
                <c:pt idx="1280">
                  <c:v>6</c:v>
                </c:pt>
                <c:pt idx="1281">
                  <c:v>6</c:v>
                </c:pt>
                <c:pt idx="1282">
                  <c:v>6</c:v>
                </c:pt>
                <c:pt idx="1283">
                  <c:v>6</c:v>
                </c:pt>
                <c:pt idx="1284">
                  <c:v>5</c:v>
                </c:pt>
                <c:pt idx="1285">
                  <c:v>5</c:v>
                </c:pt>
                <c:pt idx="1286">
                  <c:v>6</c:v>
                </c:pt>
                <c:pt idx="1287">
                  <c:v>5</c:v>
                </c:pt>
                <c:pt idx="1288">
                  <c:v>5</c:v>
                </c:pt>
                <c:pt idx="1289">
                  <c:v>5</c:v>
                </c:pt>
                <c:pt idx="1290">
                  <c:v>5</c:v>
                </c:pt>
                <c:pt idx="1291">
                  <c:v>6</c:v>
                </c:pt>
                <c:pt idx="1292">
                  <c:v>6</c:v>
                </c:pt>
                <c:pt idx="1293">
                  <c:v>4</c:v>
                </c:pt>
                <c:pt idx="1294">
                  <c:v>6</c:v>
                </c:pt>
                <c:pt idx="1295">
                  <c:v>5</c:v>
                </c:pt>
                <c:pt idx="1296">
                  <c:v>5</c:v>
                </c:pt>
                <c:pt idx="1297">
                  <c:v>6</c:v>
                </c:pt>
                <c:pt idx="1298">
                  <c:v>6</c:v>
                </c:pt>
                <c:pt idx="1299">
                  <c:v>3</c:v>
                </c:pt>
                <c:pt idx="1300">
                  <c:v>6</c:v>
                </c:pt>
                <c:pt idx="1301">
                  <c:v>6</c:v>
                </c:pt>
                <c:pt idx="1302">
                  <c:v>6</c:v>
                </c:pt>
                <c:pt idx="1303">
                  <c:v>5</c:v>
                </c:pt>
                <c:pt idx="1304">
                  <c:v>5</c:v>
                </c:pt>
                <c:pt idx="1305">
                  <c:v>5</c:v>
                </c:pt>
                <c:pt idx="1306">
                  <c:v>5</c:v>
                </c:pt>
                <c:pt idx="1307">
                  <c:v>4</c:v>
                </c:pt>
                <c:pt idx="1308">
                  <c:v>5</c:v>
                </c:pt>
                <c:pt idx="1309">
                  <c:v>5</c:v>
                </c:pt>
                <c:pt idx="1310">
                  <c:v>5</c:v>
                </c:pt>
                <c:pt idx="1311">
                  <c:v>6</c:v>
                </c:pt>
                <c:pt idx="1312">
                  <c:v>5</c:v>
                </c:pt>
                <c:pt idx="1313">
                  <c:v>6</c:v>
                </c:pt>
                <c:pt idx="1314">
                  <c:v>6</c:v>
                </c:pt>
                <c:pt idx="1315">
                  <c:v>6</c:v>
                </c:pt>
                <c:pt idx="1316">
                  <c:v>6</c:v>
                </c:pt>
                <c:pt idx="1317">
                  <c:v>6</c:v>
                </c:pt>
                <c:pt idx="1318">
                  <c:v>6</c:v>
                </c:pt>
                <c:pt idx="1319">
                  <c:v>6</c:v>
                </c:pt>
                <c:pt idx="1320">
                  <c:v>5</c:v>
                </c:pt>
                <c:pt idx="1321">
                  <c:v>6</c:v>
                </c:pt>
                <c:pt idx="1322">
                  <c:v>5</c:v>
                </c:pt>
                <c:pt idx="1323">
                  <c:v>7</c:v>
                </c:pt>
                <c:pt idx="1324">
                  <c:v>6</c:v>
                </c:pt>
                <c:pt idx="1325">
                  <c:v>6</c:v>
                </c:pt>
                <c:pt idx="1326">
                  <c:v>6</c:v>
                </c:pt>
                <c:pt idx="1327">
                  <c:v>6</c:v>
                </c:pt>
                <c:pt idx="1328">
                  <c:v>5</c:v>
                </c:pt>
                <c:pt idx="1329">
                  <c:v>6</c:v>
                </c:pt>
                <c:pt idx="1330">
                  <c:v>6</c:v>
                </c:pt>
                <c:pt idx="1331">
                  <c:v>5</c:v>
                </c:pt>
                <c:pt idx="1332">
                  <c:v>6</c:v>
                </c:pt>
                <c:pt idx="1333">
                  <c:v>5</c:v>
                </c:pt>
                <c:pt idx="1334">
                  <c:v>5</c:v>
                </c:pt>
                <c:pt idx="1335">
                  <c:v>6</c:v>
                </c:pt>
                <c:pt idx="1336">
                  <c:v>5</c:v>
                </c:pt>
                <c:pt idx="1337">
                  <c:v>5</c:v>
                </c:pt>
                <c:pt idx="1338">
                  <c:v>5</c:v>
                </c:pt>
                <c:pt idx="1339">
                  <c:v>6</c:v>
                </c:pt>
                <c:pt idx="1340">
                  <c:v>6</c:v>
                </c:pt>
                <c:pt idx="1341">
                  <c:v>6</c:v>
                </c:pt>
                <c:pt idx="1342">
                  <c:v>6</c:v>
                </c:pt>
                <c:pt idx="1343">
                  <c:v>6</c:v>
                </c:pt>
                <c:pt idx="1344">
                  <c:v>5</c:v>
                </c:pt>
                <c:pt idx="1345">
                  <c:v>6</c:v>
                </c:pt>
                <c:pt idx="1346">
                  <c:v>5</c:v>
                </c:pt>
                <c:pt idx="1347">
                  <c:v>5</c:v>
                </c:pt>
                <c:pt idx="1348">
                  <c:v>5</c:v>
                </c:pt>
                <c:pt idx="1349">
                  <c:v>5</c:v>
                </c:pt>
                <c:pt idx="1350">
                  <c:v>5</c:v>
                </c:pt>
                <c:pt idx="1351">
                  <c:v>6</c:v>
                </c:pt>
                <c:pt idx="1352">
                  <c:v>5</c:v>
                </c:pt>
                <c:pt idx="1353">
                  <c:v>5</c:v>
                </c:pt>
                <c:pt idx="1354">
                  <c:v>5</c:v>
                </c:pt>
                <c:pt idx="1355">
                  <c:v>5</c:v>
                </c:pt>
                <c:pt idx="1356">
                  <c:v>5</c:v>
                </c:pt>
                <c:pt idx="1357">
                  <c:v>6</c:v>
                </c:pt>
                <c:pt idx="1358">
                  <c:v>5</c:v>
                </c:pt>
                <c:pt idx="1359">
                  <c:v>6</c:v>
                </c:pt>
                <c:pt idx="1360">
                  <c:v>5</c:v>
                </c:pt>
                <c:pt idx="1361">
                  <c:v>5</c:v>
                </c:pt>
                <c:pt idx="1362">
                  <c:v>6</c:v>
                </c:pt>
                <c:pt idx="1363">
                  <c:v>4</c:v>
                </c:pt>
                <c:pt idx="1364">
                  <c:v>6</c:v>
                </c:pt>
                <c:pt idx="1365">
                  <c:v>5</c:v>
                </c:pt>
                <c:pt idx="1366">
                  <c:v>5</c:v>
                </c:pt>
                <c:pt idx="1367">
                  <c:v>6</c:v>
                </c:pt>
                <c:pt idx="1368">
                  <c:v>6</c:v>
                </c:pt>
                <c:pt idx="1369">
                  <c:v>4</c:v>
                </c:pt>
                <c:pt idx="1370">
                  <c:v>5</c:v>
                </c:pt>
                <c:pt idx="1371">
                  <c:v>6</c:v>
                </c:pt>
                <c:pt idx="1372">
                  <c:v>5</c:v>
                </c:pt>
                <c:pt idx="1373">
                  <c:v>5</c:v>
                </c:pt>
                <c:pt idx="1374">
                  <c:v>3</c:v>
                </c:pt>
                <c:pt idx="1375">
                  <c:v>5</c:v>
                </c:pt>
                <c:pt idx="1376">
                  <c:v>5</c:v>
                </c:pt>
                <c:pt idx="1377">
                  <c:v>6</c:v>
                </c:pt>
                <c:pt idx="1378">
                  <c:v>6</c:v>
                </c:pt>
                <c:pt idx="1379">
                  <c:v>6</c:v>
                </c:pt>
                <c:pt idx="1380">
                  <c:v>6</c:v>
                </c:pt>
                <c:pt idx="1381">
                  <c:v>5</c:v>
                </c:pt>
                <c:pt idx="1382">
                  <c:v>5</c:v>
                </c:pt>
                <c:pt idx="1383">
                  <c:v>5</c:v>
                </c:pt>
                <c:pt idx="1384">
                  <c:v>5</c:v>
                </c:pt>
                <c:pt idx="1385">
                  <c:v>5</c:v>
                </c:pt>
                <c:pt idx="1386">
                  <c:v>5</c:v>
                </c:pt>
                <c:pt idx="1387">
                  <c:v>5</c:v>
                </c:pt>
                <c:pt idx="1388">
                  <c:v>5</c:v>
                </c:pt>
                <c:pt idx="1389">
                  <c:v>5</c:v>
                </c:pt>
                <c:pt idx="1390">
                  <c:v>6</c:v>
                </c:pt>
                <c:pt idx="1391">
                  <c:v>5</c:v>
                </c:pt>
                <c:pt idx="1392">
                  <c:v>5</c:v>
                </c:pt>
                <c:pt idx="1393">
                  <c:v>5</c:v>
                </c:pt>
                <c:pt idx="1394">
                  <c:v>5</c:v>
                </c:pt>
                <c:pt idx="1395">
                  <c:v>6</c:v>
                </c:pt>
                <c:pt idx="1396">
                  <c:v>5</c:v>
                </c:pt>
                <c:pt idx="1397">
                  <c:v>5</c:v>
                </c:pt>
                <c:pt idx="1398">
                  <c:v>7</c:v>
                </c:pt>
                <c:pt idx="1399">
                  <c:v>6</c:v>
                </c:pt>
                <c:pt idx="1400">
                  <c:v>5</c:v>
                </c:pt>
                <c:pt idx="1401">
                  <c:v>5</c:v>
                </c:pt>
                <c:pt idx="1402">
                  <c:v>6</c:v>
                </c:pt>
                <c:pt idx="1403">
                  <c:v>8</c:v>
                </c:pt>
                <c:pt idx="1404">
                  <c:v>6</c:v>
                </c:pt>
                <c:pt idx="1405">
                  <c:v>7</c:v>
                </c:pt>
                <c:pt idx="1406">
                  <c:v>6</c:v>
                </c:pt>
                <c:pt idx="1407">
                  <c:v>6</c:v>
                </c:pt>
                <c:pt idx="1408">
                  <c:v>7</c:v>
                </c:pt>
                <c:pt idx="1409">
                  <c:v>6</c:v>
                </c:pt>
                <c:pt idx="1410">
                  <c:v>6</c:v>
                </c:pt>
                <c:pt idx="1411">
                  <c:v>6</c:v>
                </c:pt>
                <c:pt idx="1412">
                  <c:v>6</c:v>
                </c:pt>
                <c:pt idx="1413">
                  <c:v>5</c:v>
                </c:pt>
                <c:pt idx="1414">
                  <c:v>5</c:v>
                </c:pt>
                <c:pt idx="1415">
                  <c:v>5</c:v>
                </c:pt>
                <c:pt idx="1416">
                  <c:v>5</c:v>
                </c:pt>
                <c:pt idx="1417">
                  <c:v>7</c:v>
                </c:pt>
                <c:pt idx="1418">
                  <c:v>5</c:v>
                </c:pt>
                <c:pt idx="1419">
                  <c:v>5</c:v>
                </c:pt>
                <c:pt idx="1420">
                  <c:v>5</c:v>
                </c:pt>
                <c:pt idx="1421">
                  <c:v>5</c:v>
                </c:pt>
                <c:pt idx="1422">
                  <c:v>6</c:v>
                </c:pt>
                <c:pt idx="1423">
                  <c:v>4</c:v>
                </c:pt>
                <c:pt idx="1424">
                  <c:v>6</c:v>
                </c:pt>
                <c:pt idx="1425">
                  <c:v>6</c:v>
                </c:pt>
                <c:pt idx="1426">
                  <c:v>6</c:v>
                </c:pt>
                <c:pt idx="1427">
                  <c:v>5</c:v>
                </c:pt>
                <c:pt idx="1428">
                  <c:v>5</c:v>
                </c:pt>
                <c:pt idx="1429">
                  <c:v>5</c:v>
                </c:pt>
                <c:pt idx="1430">
                  <c:v>5</c:v>
                </c:pt>
                <c:pt idx="1431">
                  <c:v>6</c:v>
                </c:pt>
                <c:pt idx="1432">
                  <c:v>6</c:v>
                </c:pt>
                <c:pt idx="1433">
                  <c:v>7</c:v>
                </c:pt>
                <c:pt idx="1434">
                  <c:v>6</c:v>
                </c:pt>
                <c:pt idx="1435">
                  <c:v>6</c:v>
                </c:pt>
                <c:pt idx="1436">
                  <c:v>5</c:v>
                </c:pt>
                <c:pt idx="1437">
                  <c:v>5</c:v>
                </c:pt>
                <c:pt idx="1438">
                  <c:v>5</c:v>
                </c:pt>
                <c:pt idx="1439">
                  <c:v>6</c:v>
                </c:pt>
                <c:pt idx="1440">
                  <c:v>7</c:v>
                </c:pt>
                <c:pt idx="1441">
                  <c:v>6</c:v>
                </c:pt>
                <c:pt idx="1442">
                  <c:v>5</c:v>
                </c:pt>
                <c:pt idx="1443">
                  <c:v>5</c:v>
                </c:pt>
                <c:pt idx="1444">
                  <c:v>6</c:v>
                </c:pt>
                <c:pt idx="1445">
                  <c:v>6</c:v>
                </c:pt>
                <c:pt idx="1446">
                  <c:v>5</c:v>
                </c:pt>
                <c:pt idx="1447">
                  <c:v>5</c:v>
                </c:pt>
                <c:pt idx="1448">
                  <c:v>5</c:v>
                </c:pt>
                <c:pt idx="1449">
                  <c:v>8</c:v>
                </c:pt>
                <c:pt idx="1450">
                  <c:v>7</c:v>
                </c:pt>
                <c:pt idx="1451">
                  <c:v>7</c:v>
                </c:pt>
                <c:pt idx="1452">
                  <c:v>7</c:v>
                </c:pt>
                <c:pt idx="1453">
                  <c:v>5</c:v>
                </c:pt>
                <c:pt idx="1454">
                  <c:v>6</c:v>
                </c:pt>
                <c:pt idx="1455">
                  <c:v>6</c:v>
                </c:pt>
                <c:pt idx="1456">
                  <c:v>6</c:v>
                </c:pt>
                <c:pt idx="1457">
                  <c:v>5</c:v>
                </c:pt>
                <c:pt idx="1458">
                  <c:v>5</c:v>
                </c:pt>
                <c:pt idx="1459">
                  <c:v>7</c:v>
                </c:pt>
                <c:pt idx="1460">
                  <c:v>6</c:v>
                </c:pt>
                <c:pt idx="1461">
                  <c:v>4</c:v>
                </c:pt>
                <c:pt idx="1462">
                  <c:v>6</c:v>
                </c:pt>
                <c:pt idx="1463">
                  <c:v>6</c:v>
                </c:pt>
                <c:pt idx="1464">
                  <c:v>5</c:v>
                </c:pt>
                <c:pt idx="1465">
                  <c:v>5</c:v>
                </c:pt>
                <c:pt idx="1466">
                  <c:v>7</c:v>
                </c:pt>
                <c:pt idx="1467">
                  <c:v>4</c:v>
                </c:pt>
                <c:pt idx="1468">
                  <c:v>7</c:v>
                </c:pt>
                <c:pt idx="1469">
                  <c:v>3</c:v>
                </c:pt>
                <c:pt idx="1470">
                  <c:v>5</c:v>
                </c:pt>
                <c:pt idx="1471">
                  <c:v>5</c:v>
                </c:pt>
                <c:pt idx="1472">
                  <c:v>6</c:v>
                </c:pt>
                <c:pt idx="1473">
                  <c:v>5</c:v>
                </c:pt>
                <c:pt idx="1474">
                  <c:v>5</c:v>
                </c:pt>
                <c:pt idx="1475">
                  <c:v>7</c:v>
                </c:pt>
                <c:pt idx="1476">
                  <c:v>5</c:v>
                </c:pt>
                <c:pt idx="1477">
                  <c:v>7</c:v>
                </c:pt>
                <c:pt idx="1478">
                  <c:v>3</c:v>
                </c:pt>
                <c:pt idx="1479">
                  <c:v>5</c:v>
                </c:pt>
                <c:pt idx="1480">
                  <c:v>4</c:v>
                </c:pt>
                <c:pt idx="1481">
                  <c:v>5</c:v>
                </c:pt>
                <c:pt idx="1482">
                  <c:v>4</c:v>
                </c:pt>
                <c:pt idx="1483">
                  <c:v>5</c:v>
                </c:pt>
                <c:pt idx="1484">
                  <c:v>4</c:v>
                </c:pt>
                <c:pt idx="1485">
                  <c:v>5</c:v>
                </c:pt>
                <c:pt idx="1486">
                  <c:v>5</c:v>
                </c:pt>
                <c:pt idx="1487">
                  <c:v>5</c:v>
                </c:pt>
                <c:pt idx="1488">
                  <c:v>5</c:v>
                </c:pt>
                <c:pt idx="1489">
                  <c:v>6</c:v>
                </c:pt>
                <c:pt idx="1490">
                  <c:v>6</c:v>
                </c:pt>
                <c:pt idx="1491">
                  <c:v>5</c:v>
                </c:pt>
                <c:pt idx="1492">
                  <c:v>5</c:v>
                </c:pt>
                <c:pt idx="1493">
                  <c:v>5</c:v>
                </c:pt>
                <c:pt idx="1494">
                  <c:v>7</c:v>
                </c:pt>
                <c:pt idx="1495">
                  <c:v>6</c:v>
                </c:pt>
                <c:pt idx="1496">
                  <c:v>5</c:v>
                </c:pt>
                <c:pt idx="1497">
                  <c:v>6</c:v>
                </c:pt>
                <c:pt idx="1498">
                  <c:v>6</c:v>
                </c:pt>
                <c:pt idx="1499">
                  <c:v>6</c:v>
                </c:pt>
                <c:pt idx="1500">
                  <c:v>5</c:v>
                </c:pt>
                <c:pt idx="1501">
                  <c:v>5</c:v>
                </c:pt>
                <c:pt idx="1502">
                  <c:v>5</c:v>
                </c:pt>
                <c:pt idx="1503">
                  <c:v>6</c:v>
                </c:pt>
                <c:pt idx="1504">
                  <c:v>6</c:v>
                </c:pt>
                <c:pt idx="1505">
                  <c:v>3</c:v>
                </c:pt>
                <c:pt idx="1506">
                  <c:v>6</c:v>
                </c:pt>
                <c:pt idx="1507">
                  <c:v>6</c:v>
                </c:pt>
                <c:pt idx="1508">
                  <c:v>6</c:v>
                </c:pt>
                <c:pt idx="1509">
                  <c:v>5</c:v>
                </c:pt>
                <c:pt idx="1510">
                  <c:v>6</c:v>
                </c:pt>
                <c:pt idx="1511">
                  <c:v>5</c:v>
                </c:pt>
                <c:pt idx="1512">
                  <c:v>6</c:v>
                </c:pt>
                <c:pt idx="1513">
                  <c:v>6</c:v>
                </c:pt>
                <c:pt idx="1514">
                  <c:v>6</c:v>
                </c:pt>
                <c:pt idx="1515">
                  <c:v>6</c:v>
                </c:pt>
                <c:pt idx="1516">
                  <c:v>5</c:v>
                </c:pt>
                <c:pt idx="1517">
                  <c:v>6</c:v>
                </c:pt>
                <c:pt idx="1518">
                  <c:v>5</c:v>
                </c:pt>
                <c:pt idx="1519">
                  <c:v>5</c:v>
                </c:pt>
                <c:pt idx="1520">
                  <c:v>6</c:v>
                </c:pt>
                <c:pt idx="1521">
                  <c:v>4</c:v>
                </c:pt>
                <c:pt idx="1522">
                  <c:v>5</c:v>
                </c:pt>
                <c:pt idx="1523">
                  <c:v>5</c:v>
                </c:pt>
                <c:pt idx="1524">
                  <c:v>6</c:v>
                </c:pt>
                <c:pt idx="1525">
                  <c:v>5</c:v>
                </c:pt>
                <c:pt idx="1526">
                  <c:v>6</c:v>
                </c:pt>
                <c:pt idx="1527">
                  <c:v>6</c:v>
                </c:pt>
                <c:pt idx="1528">
                  <c:v>6</c:v>
                </c:pt>
                <c:pt idx="1529">
                  <c:v>6</c:v>
                </c:pt>
                <c:pt idx="1530">
                  <c:v>6</c:v>
                </c:pt>
                <c:pt idx="1531">
                  <c:v>5</c:v>
                </c:pt>
                <c:pt idx="1532">
                  <c:v>6</c:v>
                </c:pt>
                <c:pt idx="1533">
                  <c:v>5</c:v>
                </c:pt>
                <c:pt idx="1534">
                  <c:v>7</c:v>
                </c:pt>
                <c:pt idx="1535">
                  <c:v>6</c:v>
                </c:pt>
                <c:pt idx="1536">
                  <c:v>6</c:v>
                </c:pt>
                <c:pt idx="1537">
                  <c:v>6</c:v>
                </c:pt>
                <c:pt idx="1538">
                  <c:v>5</c:v>
                </c:pt>
                <c:pt idx="1539">
                  <c:v>5</c:v>
                </c:pt>
                <c:pt idx="1540">
                  <c:v>6</c:v>
                </c:pt>
                <c:pt idx="1541">
                  <c:v>7</c:v>
                </c:pt>
                <c:pt idx="1542">
                  <c:v>6</c:v>
                </c:pt>
                <c:pt idx="1543">
                  <c:v>6</c:v>
                </c:pt>
                <c:pt idx="1544">
                  <c:v>7</c:v>
                </c:pt>
                <c:pt idx="1545">
                  <c:v>6</c:v>
                </c:pt>
                <c:pt idx="1546">
                  <c:v>5</c:v>
                </c:pt>
                <c:pt idx="1547">
                  <c:v>5</c:v>
                </c:pt>
                <c:pt idx="1548">
                  <c:v>5</c:v>
                </c:pt>
                <c:pt idx="1549">
                  <c:v>8</c:v>
                </c:pt>
                <c:pt idx="1550">
                  <c:v>5</c:v>
                </c:pt>
                <c:pt idx="1551">
                  <c:v>5</c:v>
                </c:pt>
                <c:pt idx="1552">
                  <c:v>6</c:v>
                </c:pt>
                <c:pt idx="1553">
                  <c:v>5</c:v>
                </c:pt>
                <c:pt idx="1554">
                  <c:v>6</c:v>
                </c:pt>
                <c:pt idx="1555">
                  <c:v>7</c:v>
                </c:pt>
                <c:pt idx="1556">
                  <c:v>5</c:v>
                </c:pt>
                <c:pt idx="1557">
                  <c:v>6</c:v>
                </c:pt>
                <c:pt idx="1558">
                  <c:v>5</c:v>
                </c:pt>
                <c:pt idx="1559">
                  <c:v>5</c:v>
                </c:pt>
                <c:pt idx="1560">
                  <c:v>5</c:v>
                </c:pt>
                <c:pt idx="1561">
                  <c:v>5</c:v>
                </c:pt>
                <c:pt idx="1562">
                  <c:v>5</c:v>
                </c:pt>
                <c:pt idx="1563">
                  <c:v>5</c:v>
                </c:pt>
                <c:pt idx="1564">
                  <c:v>5</c:v>
                </c:pt>
                <c:pt idx="1565">
                  <c:v>6</c:v>
                </c:pt>
                <c:pt idx="1566">
                  <c:v>6</c:v>
                </c:pt>
                <c:pt idx="1567">
                  <c:v>5</c:v>
                </c:pt>
                <c:pt idx="1568">
                  <c:v>5</c:v>
                </c:pt>
                <c:pt idx="1569">
                  <c:v>6</c:v>
                </c:pt>
                <c:pt idx="1570">
                  <c:v>6</c:v>
                </c:pt>
                <c:pt idx="1571">
                  <c:v>6</c:v>
                </c:pt>
                <c:pt idx="1572">
                  <c:v>5</c:v>
                </c:pt>
                <c:pt idx="1573">
                  <c:v>6</c:v>
                </c:pt>
                <c:pt idx="1574">
                  <c:v>6</c:v>
                </c:pt>
                <c:pt idx="1575">
                  <c:v>6</c:v>
                </c:pt>
                <c:pt idx="1576">
                  <c:v>6</c:v>
                </c:pt>
                <c:pt idx="1577">
                  <c:v>6</c:v>
                </c:pt>
                <c:pt idx="1578">
                  <c:v>6</c:v>
                </c:pt>
                <c:pt idx="1579">
                  <c:v>5</c:v>
                </c:pt>
                <c:pt idx="1580">
                  <c:v>6</c:v>
                </c:pt>
                <c:pt idx="1581">
                  <c:v>5</c:v>
                </c:pt>
                <c:pt idx="1582">
                  <c:v>5</c:v>
                </c:pt>
                <c:pt idx="1583">
                  <c:v>5</c:v>
                </c:pt>
                <c:pt idx="1584">
                  <c:v>7</c:v>
                </c:pt>
                <c:pt idx="1585">
                  <c:v>6</c:v>
                </c:pt>
                <c:pt idx="1586">
                  <c:v>6</c:v>
                </c:pt>
                <c:pt idx="1587">
                  <c:v>6</c:v>
                </c:pt>
                <c:pt idx="1588">
                  <c:v>6</c:v>
                </c:pt>
                <c:pt idx="1589">
                  <c:v>5</c:v>
                </c:pt>
                <c:pt idx="1590">
                  <c:v>6</c:v>
                </c:pt>
                <c:pt idx="1591">
                  <c:v>6</c:v>
                </c:pt>
                <c:pt idx="1592">
                  <c:v>6</c:v>
                </c:pt>
                <c:pt idx="1593">
                  <c:v>6</c:v>
                </c:pt>
                <c:pt idx="1594">
                  <c:v>5</c:v>
                </c:pt>
                <c:pt idx="1595">
                  <c:v>6</c:v>
                </c:pt>
                <c:pt idx="1596">
                  <c:v>6</c:v>
                </c:pt>
                <c:pt idx="1597">
                  <c:v>5</c:v>
                </c:pt>
                <c:pt idx="1598">
                  <c:v>6</c:v>
                </c:pt>
              </c:numCache>
            </c:numRef>
          </c:yVal>
          <c:smooth val="0"/>
          <c:extLst>
            <c:ext xmlns:c16="http://schemas.microsoft.com/office/drawing/2014/chart" uri="{C3380CC4-5D6E-409C-BE32-E72D297353CC}">
              <c16:uniqueId val="{00000000-34D2-4013-A624-DC9D4419B9CB}"/>
            </c:ext>
          </c:extLst>
        </c:ser>
        <c:dLbls>
          <c:showLegendKey val="0"/>
          <c:showVal val="0"/>
          <c:showCatName val="0"/>
          <c:showSerName val="0"/>
          <c:showPercent val="0"/>
          <c:showBubbleSize val="0"/>
        </c:dLbls>
        <c:axId val="1193625999"/>
        <c:axId val="1193629359"/>
      </c:scatterChart>
      <c:valAx>
        <c:axId val="1193625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Alcohol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29359"/>
        <c:crosses val="autoZero"/>
        <c:crossBetween val="midCat"/>
      </c:valAx>
      <c:valAx>
        <c:axId val="1193629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Wine</a:t>
                </a:r>
                <a:r>
                  <a:rPr lang="en-IN" baseline="0"/>
                  <a:t> Quality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2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'winequality-red(in) (1)'!$C$2:$C$1600</c:f>
              <c:numCache>
                <c:formatCode>0.00</c:formatCode>
                <c:ptCount val="1599"/>
                <c:pt idx="0">
                  <c:v>0.7</c:v>
                </c:pt>
                <c:pt idx="1">
                  <c:v>0.88</c:v>
                </c:pt>
                <c:pt idx="2">
                  <c:v>0.76</c:v>
                </c:pt>
                <c:pt idx="3">
                  <c:v>0.28000000000000003</c:v>
                </c:pt>
                <c:pt idx="4">
                  <c:v>0.7</c:v>
                </c:pt>
                <c:pt idx="5">
                  <c:v>0.66</c:v>
                </c:pt>
                <c:pt idx="6">
                  <c:v>0.6</c:v>
                </c:pt>
                <c:pt idx="7">
                  <c:v>0.65</c:v>
                </c:pt>
                <c:pt idx="8">
                  <c:v>0.57999999999999996</c:v>
                </c:pt>
                <c:pt idx="9">
                  <c:v>0.5</c:v>
                </c:pt>
                <c:pt idx="10">
                  <c:v>0.57999999999999996</c:v>
                </c:pt>
                <c:pt idx="11">
                  <c:v>0.5</c:v>
                </c:pt>
                <c:pt idx="12">
                  <c:v>0.61499999999999999</c:v>
                </c:pt>
                <c:pt idx="13">
                  <c:v>0.61</c:v>
                </c:pt>
                <c:pt idx="14">
                  <c:v>0.62</c:v>
                </c:pt>
                <c:pt idx="15">
                  <c:v>0.62</c:v>
                </c:pt>
                <c:pt idx="16">
                  <c:v>0.28000000000000003</c:v>
                </c:pt>
                <c:pt idx="17">
                  <c:v>0.56000000000000005</c:v>
                </c:pt>
                <c:pt idx="18">
                  <c:v>0.59</c:v>
                </c:pt>
                <c:pt idx="19">
                  <c:v>0.32</c:v>
                </c:pt>
                <c:pt idx="20">
                  <c:v>0.22</c:v>
                </c:pt>
                <c:pt idx="21">
                  <c:v>0.39</c:v>
                </c:pt>
                <c:pt idx="22">
                  <c:v>0.43</c:v>
                </c:pt>
                <c:pt idx="23">
                  <c:v>0.49</c:v>
                </c:pt>
                <c:pt idx="24">
                  <c:v>0.4</c:v>
                </c:pt>
                <c:pt idx="25">
                  <c:v>0.39</c:v>
                </c:pt>
                <c:pt idx="26">
                  <c:v>0.41</c:v>
                </c:pt>
                <c:pt idx="27">
                  <c:v>0.43</c:v>
                </c:pt>
                <c:pt idx="28">
                  <c:v>0.71</c:v>
                </c:pt>
                <c:pt idx="29">
                  <c:v>0.64500000000000002</c:v>
                </c:pt>
                <c:pt idx="30">
                  <c:v>0.67500000000000004</c:v>
                </c:pt>
                <c:pt idx="31">
                  <c:v>0.68500000000000005</c:v>
                </c:pt>
                <c:pt idx="32">
                  <c:v>0.65500000000000003</c:v>
                </c:pt>
                <c:pt idx="33">
                  <c:v>0.60499999999999998</c:v>
                </c:pt>
                <c:pt idx="34">
                  <c:v>0.32</c:v>
                </c:pt>
                <c:pt idx="35">
                  <c:v>0.64500000000000002</c:v>
                </c:pt>
                <c:pt idx="36">
                  <c:v>0.6</c:v>
                </c:pt>
                <c:pt idx="37">
                  <c:v>0.38</c:v>
                </c:pt>
                <c:pt idx="38">
                  <c:v>1.1299999999999999</c:v>
                </c:pt>
                <c:pt idx="39">
                  <c:v>0.45</c:v>
                </c:pt>
                <c:pt idx="40">
                  <c:v>0.45</c:v>
                </c:pt>
                <c:pt idx="41">
                  <c:v>0.61</c:v>
                </c:pt>
                <c:pt idx="42">
                  <c:v>0.49</c:v>
                </c:pt>
                <c:pt idx="43">
                  <c:v>0.66</c:v>
                </c:pt>
                <c:pt idx="44">
                  <c:v>0.67</c:v>
                </c:pt>
                <c:pt idx="45">
                  <c:v>0.52</c:v>
                </c:pt>
                <c:pt idx="46">
                  <c:v>0.93500000000000005</c:v>
                </c:pt>
                <c:pt idx="47">
                  <c:v>0.28999999999999998</c:v>
                </c:pt>
                <c:pt idx="48">
                  <c:v>0.4</c:v>
                </c:pt>
                <c:pt idx="49">
                  <c:v>0.31</c:v>
                </c:pt>
                <c:pt idx="50">
                  <c:v>0.66</c:v>
                </c:pt>
                <c:pt idx="51">
                  <c:v>0.52</c:v>
                </c:pt>
                <c:pt idx="52">
                  <c:v>0.5</c:v>
                </c:pt>
                <c:pt idx="53">
                  <c:v>0.38</c:v>
                </c:pt>
                <c:pt idx="54">
                  <c:v>0.51</c:v>
                </c:pt>
                <c:pt idx="55">
                  <c:v>0.62</c:v>
                </c:pt>
                <c:pt idx="56">
                  <c:v>0.42</c:v>
                </c:pt>
                <c:pt idx="57">
                  <c:v>0.63</c:v>
                </c:pt>
                <c:pt idx="58">
                  <c:v>0.59</c:v>
                </c:pt>
                <c:pt idx="59">
                  <c:v>0.39</c:v>
                </c:pt>
                <c:pt idx="60">
                  <c:v>0.4</c:v>
                </c:pt>
                <c:pt idx="61">
                  <c:v>0.69</c:v>
                </c:pt>
                <c:pt idx="62">
                  <c:v>0.52</c:v>
                </c:pt>
                <c:pt idx="63">
                  <c:v>0.73499999999999999</c:v>
                </c:pt>
                <c:pt idx="64">
                  <c:v>0.72499999999999998</c:v>
                </c:pt>
                <c:pt idx="65">
                  <c:v>0.72499999999999998</c:v>
                </c:pt>
                <c:pt idx="66">
                  <c:v>0.52</c:v>
                </c:pt>
                <c:pt idx="67">
                  <c:v>0.70499999999999996</c:v>
                </c:pt>
                <c:pt idx="68">
                  <c:v>0.32</c:v>
                </c:pt>
                <c:pt idx="69">
                  <c:v>0.70499999999999996</c:v>
                </c:pt>
                <c:pt idx="70">
                  <c:v>0.63</c:v>
                </c:pt>
                <c:pt idx="71">
                  <c:v>0.67</c:v>
                </c:pt>
                <c:pt idx="72">
                  <c:v>0.69</c:v>
                </c:pt>
                <c:pt idx="73">
                  <c:v>0.67500000000000004</c:v>
                </c:pt>
                <c:pt idx="74">
                  <c:v>0.32</c:v>
                </c:pt>
                <c:pt idx="75">
                  <c:v>0.41</c:v>
                </c:pt>
                <c:pt idx="76">
                  <c:v>0.41</c:v>
                </c:pt>
                <c:pt idx="77">
                  <c:v>0.78500000000000003</c:v>
                </c:pt>
                <c:pt idx="78">
                  <c:v>0.75</c:v>
                </c:pt>
                <c:pt idx="79">
                  <c:v>0.625</c:v>
                </c:pt>
                <c:pt idx="80">
                  <c:v>0.45</c:v>
                </c:pt>
                <c:pt idx="81">
                  <c:v>0.43</c:v>
                </c:pt>
                <c:pt idx="82">
                  <c:v>0.5</c:v>
                </c:pt>
                <c:pt idx="83">
                  <c:v>0.67</c:v>
                </c:pt>
                <c:pt idx="84">
                  <c:v>0.3</c:v>
                </c:pt>
                <c:pt idx="85">
                  <c:v>0.55000000000000004</c:v>
                </c:pt>
                <c:pt idx="86">
                  <c:v>0.49</c:v>
                </c:pt>
                <c:pt idx="87">
                  <c:v>0.49</c:v>
                </c:pt>
                <c:pt idx="88">
                  <c:v>0.39</c:v>
                </c:pt>
                <c:pt idx="89">
                  <c:v>0.62</c:v>
                </c:pt>
                <c:pt idx="90">
                  <c:v>0.52</c:v>
                </c:pt>
                <c:pt idx="91">
                  <c:v>0.49</c:v>
                </c:pt>
                <c:pt idx="92">
                  <c:v>0.49</c:v>
                </c:pt>
                <c:pt idx="93">
                  <c:v>0.49</c:v>
                </c:pt>
                <c:pt idx="94">
                  <c:v>1.02</c:v>
                </c:pt>
                <c:pt idx="95">
                  <c:v>0.6</c:v>
                </c:pt>
                <c:pt idx="96">
                  <c:v>0.77500000000000002</c:v>
                </c:pt>
                <c:pt idx="97">
                  <c:v>0.5</c:v>
                </c:pt>
                <c:pt idx="98">
                  <c:v>0.9</c:v>
                </c:pt>
                <c:pt idx="99">
                  <c:v>0.54500000000000004</c:v>
                </c:pt>
                <c:pt idx="100">
                  <c:v>0.61</c:v>
                </c:pt>
                <c:pt idx="101">
                  <c:v>0.5</c:v>
                </c:pt>
                <c:pt idx="102">
                  <c:v>0.54500000000000004</c:v>
                </c:pt>
                <c:pt idx="103">
                  <c:v>0.57499999999999996</c:v>
                </c:pt>
                <c:pt idx="104">
                  <c:v>0.49</c:v>
                </c:pt>
                <c:pt idx="105">
                  <c:v>0.57499999999999996</c:v>
                </c:pt>
                <c:pt idx="106">
                  <c:v>0.41</c:v>
                </c:pt>
                <c:pt idx="107">
                  <c:v>0.63</c:v>
                </c:pt>
                <c:pt idx="108">
                  <c:v>0.33</c:v>
                </c:pt>
                <c:pt idx="109">
                  <c:v>0.78500000000000003</c:v>
                </c:pt>
                <c:pt idx="110">
                  <c:v>0.56000000000000005</c:v>
                </c:pt>
                <c:pt idx="111">
                  <c:v>0.62</c:v>
                </c:pt>
                <c:pt idx="112">
                  <c:v>0.6</c:v>
                </c:pt>
                <c:pt idx="113">
                  <c:v>0.31</c:v>
                </c:pt>
                <c:pt idx="114">
                  <c:v>0.56000000000000005</c:v>
                </c:pt>
                <c:pt idx="115">
                  <c:v>0.4</c:v>
                </c:pt>
                <c:pt idx="116">
                  <c:v>0.54</c:v>
                </c:pt>
                <c:pt idx="117">
                  <c:v>0.56000000000000005</c:v>
                </c:pt>
                <c:pt idx="118">
                  <c:v>0.55000000000000004</c:v>
                </c:pt>
                <c:pt idx="119">
                  <c:v>0.69</c:v>
                </c:pt>
                <c:pt idx="120">
                  <c:v>1.07</c:v>
                </c:pt>
                <c:pt idx="121">
                  <c:v>0.55000000000000004</c:v>
                </c:pt>
                <c:pt idx="122">
                  <c:v>0.69499999999999995</c:v>
                </c:pt>
                <c:pt idx="123">
                  <c:v>0.71</c:v>
                </c:pt>
                <c:pt idx="124">
                  <c:v>0.5</c:v>
                </c:pt>
                <c:pt idx="125">
                  <c:v>0.62</c:v>
                </c:pt>
                <c:pt idx="126">
                  <c:v>1.33</c:v>
                </c:pt>
                <c:pt idx="127">
                  <c:v>1.33</c:v>
                </c:pt>
                <c:pt idx="128">
                  <c:v>0.59</c:v>
                </c:pt>
                <c:pt idx="129">
                  <c:v>0.38</c:v>
                </c:pt>
                <c:pt idx="130">
                  <c:v>0.745</c:v>
                </c:pt>
                <c:pt idx="131">
                  <c:v>0.5</c:v>
                </c:pt>
                <c:pt idx="132">
                  <c:v>0.5</c:v>
                </c:pt>
                <c:pt idx="133">
                  <c:v>0.5</c:v>
                </c:pt>
                <c:pt idx="134">
                  <c:v>1.04</c:v>
                </c:pt>
                <c:pt idx="135">
                  <c:v>0.745</c:v>
                </c:pt>
                <c:pt idx="136">
                  <c:v>0.71499999999999997</c:v>
                </c:pt>
                <c:pt idx="137">
                  <c:v>0.41499999999999998</c:v>
                </c:pt>
                <c:pt idx="138">
                  <c:v>0.56000000000000005</c:v>
                </c:pt>
                <c:pt idx="139">
                  <c:v>0.56000000000000005</c:v>
                </c:pt>
                <c:pt idx="140">
                  <c:v>0.745</c:v>
                </c:pt>
                <c:pt idx="141">
                  <c:v>0.71499999999999997</c:v>
                </c:pt>
                <c:pt idx="142">
                  <c:v>0.34</c:v>
                </c:pt>
                <c:pt idx="143">
                  <c:v>0.39</c:v>
                </c:pt>
                <c:pt idx="144">
                  <c:v>0.34</c:v>
                </c:pt>
                <c:pt idx="145">
                  <c:v>0.67</c:v>
                </c:pt>
                <c:pt idx="146">
                  <c:v>0.68</c:v>
                </c:pt>
                <c:pt idx="147">
                  <c:v>0.49</c:v>
                </c:pt>
                <c:pt idx="148">
                  <c:v>0.49</c:v>
                </c:pt>
                <c:pt idx="149">
                  <c:v>0.4</c:v>
                </c:pt>
                <c:pt idx="150">
                  <c:v>0.33</c:v>
                </c:pt>
                <c:pt idx="151">
                  <c:v>0.52</c:v>
                </c:pt>
                <c:pt idx="152">
                  <c:v>0.6</c:v>
                </c:pt>
                <c:pt idx="153">
                  <c:v>0.6</c:v>
                </c:pt>
                <c:pt idx="154">
                  <c:v>0.43</c:v>
                </c:pt>
                <c:pt idx="155">
                  <c:v>0.43</c:v>
                </c:pt>
                <c:pt idx="156">
                  <c:v>0.43</c:v>
                </c:pt>
                <c:pt idx="157">
                  <c:v>0.43</c:v>
                </c:pt>
                <c:pt idx="158">
                  <c:v>0.68</c:v>
                </c:pt>
                <c:pt idx="159">
                  <c:v>0.6</c:v>
                </c:pt>
                <c:pt idx="160">
                  <c:v>0.95</c:v>
                </c:pt>
                <c:pt idx="161">
                  <c:v>0.68</c:v>
                </c:pt>
                <c:pt idx="162">
                  <c:v>0.53</c:v>
                </c:pt>
                <c:pt idx="163">
                  <c:v>0.6</c:v>
                </c:pt>
                <c:pt idx="164">
                  <c:v>0.59</c:v>
                </c:pt>
                <c:pt idx="165">
                  <c:v>0.63</c:v>
                </c:pt>
                <c:pt idx="166">
                  <c:v>0.64</c:v>
                </c:pt>
                <c:pt idx="167">
                  <c:v>0.55000000000000004</c:v>
                </c:pt>
                <c:pt idx="168">
                  <c:v>0.63</c:v>
                </c:pt>
                <c:pt idx="169">
                  <c:v>0.70499999999999996</c:v>
                </c:pt>
                <c:pt idx="170">
                  <c:v>0.88500000000000001</c:v>
                </c:pt>
                <c:pt idx="171">
                  <c:v>0.42</c:v>
                </c:pt>
                <c:pt idx="172">
                  <c:v>0.42</c:v>
                </c:pt>
                <c:pt idx="173">
                  <c:v>0.62</c:v>
                </c:pt>
                <c:pt idx="174">
                  <c:v>0.38</c:v>
                </c:pt>
                <c:pt idx="175">
                  <c:v>0.5</c:v>
                </c:pt>
                <c:pt idx="176">
                  <c:v>0.38</c:v>
                </c:pt>
                <c:pt idx="177">
                  <c:v>0.52</c:v>
                </c:pt>
                <c:pt idx="178">
                  <c:v>0.80500000000000005</c:v>
                </c:pt>
                <c:pt idx="179">
                  <c:v>0.61</c:v>
                </c:pt>
                <c:pt idx="180">
                  <c:v>0.61</c:v>
                </c:pt>
                <c:pt idx="181">
                  <c:v>0.61</c:v>
                </c:pt>
                <c:pt idx="182">
                  <c:v>0.73</c:v>
                </c:pt>
                <c:pt idx="183">
                  <c:v>0.61</c:v>
                </c:pt>
                <c:pt idx="184">
                  <c:v>0.62</c:v>
                </c:pt>
                <c:pt idx="185">
                  <c:v>0.31</c:v>
                </c:pt>
                <c:pt idx="186">
                  <c:v>0.39</c:v>
                </c:pt>
                <c:pt idx="187">
                  <c:v>0.70499999999999996</c:v>
                </c:pt>
                <c:pt idx="188">
                  <c:v>0.5</c:v>
                </c:pt>
                <c:pt idx="189">
                  <c:v>0.49</c:v>
                </c:pt>
                <c:pt idx="190">
                  <c:v>0.5</c:v>
                </c:pt>
                <c:pt idx="191">
                  <c:v>0.37</c:v>
                </c:pt>
                <c:pt idx="192">
                  <c:v>0.63</c:v>
                </c:pt>
                <c:pt idx="193">
                  <c:v>0.55000000000000004</c:v>
                </c:pt>
                <c:pt idx="194">
                  <c:v>0.55000000000000004</c:v>
                </c:pt>
                <c:pt idx="195">
                  <c:v>0.59</c:v>
                </c:pt>
                <c:pt idx="196">
                  <c:v>0.57999999999999996</c:v>
                </c:pt>
                <c:pt idx="197">
                  <c:v>0.3</c:v>
                </c:pt>
                <c:pt idx="198">
                  <c:v>0.83499999999999996</c:v>
                </c:pt>
                <c:pt idx="199">
                  <c:v>1.0900000000000001</c:v>
                </c:pt>
                <c:pt idx="200">
                  <c:v>0.32</c:v>
                </c:pt>
                <c:pt idx="201">
                  <c:v>0.37</c:v>
                </c:pt>
                <c:pt idx="202">
                  <c:v>0.5</c:v>
                </c:pt>
                <c:pt idx="203">
                  <c:v>0.42</c:v>
                </c:pt>
                <c:pt idx="204">
                  <c:v>0.43</c:v>
                </c:pt>
                <c:pt idx="205">
                  <c:v>0.3</c:v>
                </c:pt>
                <c:pt idx="206">
                  <c:v>0.3</c:v>
                </c:pt>
                <c:pt idx="207">
                  <c:v>0.56999999999999995</c:v>
                </c:pt>
                <c:pt idx="208">
                  <c:v>0.44</c:v>
                </c:pt>
                <c:pt idx="209">
                  <c:v>0.3</c:v>
                </c:pt>
                <c:pt idx="210">
                  <c:v>0.53</c:v>
                </c:pt>
                <c:pt idx="211">
                  <c:v>0.72499999999999998</c:v>
                </c:pt>
                <c:pt idx="212">
                  <c:v>0.44</c:v>
                </c:pt>
                <c:pt idx="213">
                  <c:v>0.56999999999999995</c:v>
                </c:pt>
                <c:pt idx="214">
                  <c:v>0.73499999999999999</c:v>
                </c:pt>
                <c:pt idx="215">
                  <c:v>0.49</c:v>
                </c:pt>
                <c:pt idx="216">
                  <c:v>0.625</c:v>
                </c:pt>
                <c:pt idx="217">
                  <c:v>0.72499999999999998</c:v>
                </c:pt>
                <c:pt idx="218">
                  <c:v>0.49</c:v>
                </c:pt>
                <c:pt idx="219">
                  <c:v>0.53</c:v>
                </c:pt>
                <c:pt idx="220">
                  <c:v>0.34</c:v>
                </c:pt>
                <c:pt idx="221">
                  <c:v>0.53</c:v>
                </c:pt>
                <c:pt idx="222">
                  <c:v>0.61</c:v>
                </c:pt>
                <c:pt idx="223">
                  <c:v>0.64500000000000002</c:v>
                </c:pt>
                <c:pt idx="224">
                  <c:v>0.63500000000000001</c:v>
                </c:pt>
                <c:pt idx="225">
                  <c:v>0.43</c:v>
                </c:pt>
                <c:pt idx="226">
                  <c:v>0.59</c:v>
                </c:pt>
                <c:pt idx="227">
                  <c:v>0.82</c:v>
                </c:pt>
                <c:pt idx="228">
                  <c:v>0.43</c:v>
                </c:pt>
                <c:pt idx="229">
                  <c:v>0.52</c:v>
                </c:pt>
                <c:pt idx="230">
                  <c:v>0.48</c:v>
                </c:pt>
                <c:pt idx="231">
                  <c:v>0.38</c:v>
                </c:pt>
                <c:pt idx="232">
                  <c:v>0.37</c:v>
                </c:pt>
                <c:pt idx="233">
                  <c:v>0.52</c:v>
                </c:pt>
                <c:pt idx="234">
                  <c:v>1</c:v>
                </c:pt>
                <c:pt idx="235">
                  <c:v>0.63</c:v>
                </c:pt>
                <c:pt idx="236">
                  <c:v>0.63</c:v>
                </c:pt>
                <c:pt idx="237">
                  <c:v>0.64500000000000002</c:v>
                </c:pt>
                <c:pt idx="238">
                  <c:v>0.63</c:v>
                </c:pt>
                <c:pt idx="239">
                  <c:v>1</c:v>
                </c:pt>
                <c:pt idx="240">
                  <c:v>0.63500000000000001</c:v>
                </c:pt>
                <c:pt idx="241">
                  <c:v>0.38</c:v>
                </c:pt>
                <c:pt idx="242">
                  <c:v>0.57999999999999996</c:v>
                </c:pt>
                <c:pt idx="243">
                  <c:v>0.21</c:v>
                </c:pt>
                <c:pt idx="244">
                  <c:v>0.21</c:v>
                </c:pt>
                <c:pt idx="245">
                  <c:v>0.66</c:v>
                </c:pt>
                <c:pt idx="246">
                  <c:v>0.68</c:v>
                </c:pt>
                <c:pt idx="247">
                  <c:v>0.6</c:v>
                </c:pt>
                <c:pt idx="248">
                  <c:v>0.53</c:v>
                </c:pt>
                <c:pt idx="249">
                  <c:v>0.66</c:v>
                </c:pt>
                <c:pt idx="250">
                  <c:v>0.32</c:v>
                </c:pt>
                <c:pt idx="251">
                  <c:v>0.6</c:v>
                </c:pt>
                <c:pt idx="252">
                  <c:v>0.35</c:v>
                </c:pt>
                <c:pt idx="253">
                  <c:v>0.77500000000000002</c:v>
                </c:pt>
                <c:pt idx="254">
                  <c:v>0.6</c:v>
                </c:pt>
                <c:pt idx="255">
                  <c:v>0.56999999999999995</c:v>
                </c:pt>
                <c:pt idx="256">
                  <c:v>0.34</c:v>
                </c:pt>
                <c:pt idx="257">
                  <c:v>0.69499999999999995</c:v>
                </c:pt>
                <c:pt idx="258">
                  <c:v>0.41</c:v>
                </c:pt>
                <c:pt idx="259">
                  <c:v>0.31</c:v>
                </c:pt>
                <c:pt idx="260">
                  <c:v>0.33</c:v>
                </c:pt>
                <c:pt idx="261">
                  <c:v>0.97499999999999998</c:v>
                </c:pt>
                <c:pt idx="262">
                  <c:v>0.52</c:v>
                </c:pt>
                <c:pt idx="263">
                  <c:v>0.37</c:v>
                </c:pt>
                <c:pt idx="264">
                  <c:v>0.56000000000000005</c:v>
                </c:pt>
                <c:pt idx="265">
                  <c:v>0.26</c:v>
                </c:pt>
                <c:pt idx="266">
                  <c:v>0.87</c:v>
                </c:pt>
                <c:pt idx="267">
                  <c:v>0.35</c:v>
                </c:pt>
                <c:pt idx="268">
                  <c:v>0.54</c:v>
                </c:pt>
                <c:pt idx="269">
                  <c:v>0.18</c:v>
                </c:pt>
                <c:pt idx="270">
                  <c:v>0.54500000000000004</c:v>
                </c:pt>
                <c:pt idx="271">
                  <c:v>0.18</c:v>
                </c:pt>
                <c:pt idx="272">
                  <c:v>0.37</c:v>
                </c:pt>
                <c:pt idx="273">
                  <c:v>0.71499999999999997</c:v>
                </c:pt>
                <c:pt idx="274">
                  <c:v>0.65</c:v>
                </c:pt>
                <c:pt idx="275">
                  <c:v>0.54500000000000004</c:v>
                </c:pt>
                <c:pt idx="276">
                  <c:v>0.54</c:v>
                </c:pt>
                <c:pt idx="277">
                  <c:v>0.18</c:v>
                </c:pt>
                <c:pt idx="278">
                  <c:v>0.32</c:v>
                </c:pt>
                <c:pt idx="279">
                  <c:v>0.4</c:v>
                </c:pt>
                <c:pt idx="280">
                  <c:v>0.26</c:v>
                </c:pt>
                <c:pt idx="281">
                  <c:v>0.27</c:v>
                </c:pt>
                <c:pt idx="282">
                  <c:v>0.52</c:v>
                </c:pt>
                <c:pt idx="283">
                  <c:v>0.4</c:v>
                </c:pt>
                <c:pt idx="284">
                  <c:v>0.59</c:v>
                </c:pt>
                <c:pt idx="285">
                  <c:v>0.59</c:v>
                </c:pt>
                <c:pt idx="286">
                  <c:v>0.45</c:v>
                </c:pt>
                <c:pt idx="287">
                  <c:v>0.4</c:v>
                </c:pt>
                <c:pt idx="288">
                  <c:v>0.52</c:v>
                </c:pt>
                <c:pt idx="289">
                  <c:v>0.42</c:v>
                </c:pt>
                <c:pt idx="290">
                  <c:v>0.52</c:v>
                </c:pt>
                <c:pt idx="291">
                  <c:v>0.2</c:v>
                </c:pt>
                <c:pt idx="292">
                  <c:v>0.55000000000000004</c:v>
                </c:pt>
                <c:pt idx="293">
                  <c:v>0.36</c:v>
                </c:pt>
                <c:pt idx="294">
                  <c:v>0.34</c:v>
                </c:pt>
                <c:pt idx="295">
                  <c:v>0.5</c:v>
                </c:pt>
                <c:pt idx="296">
                  <c:v>0.83</c:v>
                </c:pt>
                <c:pt idx="297">
                  <c:v>0.63</c:v>
                </c:pt>
                <c:pt idx="298">
                  <c:v>0.65</c:v>
                </c:pt>
                <c:pt idx="299">
                  <c:v>0.67</c:v>
                </c:pt>
                <c:pt idx="300">
                  <c:v>0.53</c:v>
                </c:pt>
                <c:pt idx="301">
                  <c:v>0.18</c:v>
                </c:pt>
                <c:pt idx="302">
                  <c:v>0.70499999999999996</c:v>
                </c:pt>
                <c:pt idx="303">
                  <c:v>0.67</c:v>
                </c:pt>
                <c:pt idx="304">
                  <c:v>0.65</c:v>
                </c:pt>
                <c:pt idx="305">
                  <c:v>0.53</c:v>
                </c:pt>
                <c:pt idx="306">
                  <c:v>0.62</c:v>
                </c:pt>
                <c:pt idx="307">
                  <c:v>0.41</c:v>
                </c:pt>
                <c:pt idx="308">
                  <c:v>0.43</c:v>
                </c:pt>
                <c:pt idx="309">
                  <c:v>0.28999999999999998</c:v>
                </c:pt>
                <c:pt idx="310">
                  <c:v>0.53</c:v>
                </c:pt>
                <c:pt idx="311">
                  <c:v>0.53</c:v>
                </c:pt>
                <c:pt idx="312">
                  <c:v>0.46</c:v>
                </c:pt>
                <c:pt idx="313">
                  <c:v>0.47</c:v>
                </c:pt>
                <c:pt idx="314">
                  <c:v>0.36</c:v>
                </c:pt>
                <c:pt idx="315">
                  <c:v>0.35</c:v>
                </c:pt>
                <c:pt idx="316">
                  <c:v>0.56000000000000005</c:v>
                </c:pt>
                <c:pt idx="317">
                  <c:v>0.77</c:v>
                </c:pt>
                <c:pt idx="318">
                  <c:v>0.66</c:v>
                </c:pt>
                <c:pt idx="319">
                  <c:v>0.77</c:v>
                </c:pt>
                <c:pt idx="320">
                  <c:v>0.66</c:v>
                </c:pt>
                <c:pt idx="321">
                  <c:v>0.61</c:v>
                </c:pt>
                <c:pt idx="322">
                  <c:v>0.62</c:v>
                </c:pt>
                <c:pt idx="323">
                  <c:v>0.59</c:v>
                </c:pt>
                <c:pt idx="324">
                  <c:v>0.49</c:v>
                </c:pt>
                <c:pt idx="325">
                  <c:v>0.49</c:v>
                </c:pt>
                <c:pt idx="326">
                  <c:v>0.53</c:v>
                </c:pt>
                <c:pt idx="327">
                  <c:v>0.44</c:v>
                </c:pt>
                <c:pt idx="328">
                  <c:v>0.27</c:v>
                </c:pt>
                <c:pt idx="329">
                  <c:v>0.46</c:v>
                </c:pt>
                <c:pt idx="330">
                  <c:v>0.36</c:v>
                </c:pt>
                <c:pt idx="331">
                  <c:v>0.36</c:v>
                </c:pt>
                <c:pt idx="332">
                  <c:v>0.57999999999999996</c:v>
                </c:pt>
                <c:pt idx="333">
                  <c:v>0.56000000000000005</c:v>
                </c:pt>
                <c:pt idx="334">
                  <c:v>0.65</c:v>
                </c:pt>
                <c:pt idx="335">
                  <c:v>0.69499999999999995</c:v>
                </c:pt>
                <c:pt idx="336">
                  <c:v>0.43</c:v>
                </c:pt>
                <c:pt idx="337">
                  <c:v>0.43</c:v>
                </c:pt>
                <c:pt idx="338">
                  <c:v>0.49</c:v>
                </c:pt>
                <c:pt idx="339">
                  <c:v>0.28000000000000003</c:v>
                </c:pt>
                <c:pt idx="340">
                  <c:v>0.34</c:v>
                </c:pt>
                <c:pt idx="341">
                  <c:v>0.42</c:v>
                </c:pt>
                <c:pt idx="342">
                  <c:v>0.39</c:v>
                </c:pt>
                <c:pt idx="343">
                  <c:v>0.39</c:v>
                </c:pt>
                <c:pt idx="344">
                  <c:v>0.56999999999999995</c:v>
                </c:pt>
                <c:pt idx="345">
                  <c:v>0.68500000000000005</c:v>
                </c:pt>
                <c:pt idx="346">
                  <c:v>0.81499999999999995</c:v>
                </c:pt>
                <c:pt idx="347">
                  <c:v>0.49</c:v>
                </c:pt>
                <c:pt idx="348">
                  <c:v>0.56000000000000005</c:v>
                </c:pt>
                <c:pt idx="349">
                  <c:v>0.78500000000000003</c:v>
                </c:pt>
                <c:pt idx="350">
                  <c:v>0.67</c:v>
                </c:pt>
                <c:pt idx="351">
                  <c:v>0.79500000000000004</c:v>
                </c:pt>
                <c:pt idx="352">
                  <c:v>0.66500000000000004</c:v>
                </c:pt>
                <c:pt idx="353">
                  <c:v>0.53</c:v>
                </c:pt>
                <c:pt idx="354">
                  <c:v>0.21</c:v>
                </c:pt>
                <c:pt idx="355">
                  <c:v>0.75</c:v>
                </c:pt>
                <c:pt idx="356">
                  <c:v>0.41</c:v>
                </c:pt>
                <c:pt idx="357">
                  <c:v>0.42</c:v>
                </c:pt>
                <c:pt idx="358">
                  <c:v>0.43</c:v>
                </c:pt>
                <c:pt idx="359">
                  <c:v>0.38</c:v>
                </c:pt>
                <c:pt idx="360">
                  <c:v>0.7</c:v>
                </c:pt>
                <c:pt idx="361">
                  <c:v>0.45</c:v>
                </c:pt>
                <c:pt idx="362">
                  <c:v>0.57999999999999996</c:v>
                </c:pt>
                <c:pt idx="363">
                  <c:v>0.46</c:v>
                </c:pt>
                <c:pt idx="364">
                  <c:v>0.61499999999999999</c:v>
                </c:pt>
                <c:pt idx="365">
                  <c:v>0.42</c:v>
                </c:pt>
                <c:pt idx="366">
                  <c:v>0.61499999999999999</c:v>
                </c:pt>
                <c:pt idx="367">
                  <c:v>0.57499999999999996</c:v>
                </c:pt>
                <c:pt idx="368">
                  <c:v>0.34</c:v>
                </c:pt>
                <c:pt idx="369">
                  <c:v>0.27</c:v>
                </c:pt>
                <c:pt idx="370">
                  <c:v>0.76500000000000001</c:v>
                </c:pt>
                <c:pt idx="371">
                  <c:v>0.24</c:v>
                </c:pt>
                <c:pt idx="372">
                  <c:v>0.28000000000000003</c:v>
                </c:pt>
                <c:pt idx="373">
                  <c:v>0.55000000000000004</c:v>
                </c:pt>
                <c:pt idx="374">
                  <c:v>0.41</c:v>
                </c:pt>
                <c:pt idx="375">
                  <c:v>0.54</c:v>
                </c:pt>
                <c:pt idx="376">
                  <c:v>0.45</c:v>
                </c:pt>
                <c:pt idx="377">
                  <c:v>0.27</c:v>
                </c:pt>
                <c:pt idx="378">
                  <c:v>0.625</c:v>
                </c:pt>
                <c:pt idx="379">
                  <c:v>0.42</c:v>
                </c:pt>
                <c:pt idx="380">
                  <c:v>0.26</c:v>
                </c:pt>
                <c:pt idx="381">
                  <c:v>0.41499999999999998</c:v>
                </c:pt>
                <c:pt idx="382">
                  <c:v>0.26</c:v>
                </c:pt>
                <c:pt idx="383">
                  <c:v>0.26</c:v>
                </c:pt>
                <c:pt idx="384">
                  <c:v>0.51</c:v>
                </c:pt>
                <c:pt idx="385">
                  <c:v>0.63</c:v>
                </c:pt>
                <c:pt idx="386">
                  <c:v>0.54</c:v>
                </c:pt>
                <c:pt idx="387">
                  <c:v>0.66</c:v>
                </c:pt>
                <c:pt idx="388">
                  <c:v>0.46</c:v>
                </c:pt>
                <c:pt idx="389">
                  <c:v>0.38</c:v>
                </c:pt>
                <c:pt idx="390">
                  <c:v>0.85</c:v>
                </c:pt>
                <c:pt idx="391">
                  <c:v>0.41499999999999998</c:v>
                </c:pt>
                <c:pt idx="392">
                  <c:v>0.37</c:v>
                </c:pt>
                <c:pt idx="393">
                  <c:v>0.66500000000000004</c:v>
                </c:pt>
                <c:pt idx="394">
                  <c:v>0.6</c:v>
                </c:pt>
                <c:pt idx="395">
                  <c:v>0.37</c:v>
                </c:pt>
                <c:pt idx="396">
                  <c:v>0.73499999999999999</c:v>
                </c:pt>
                <c:pt idx="397">
                  <c:v>0.59</c:v>
                </c:pt>
                <c:pt idx="398">
                  <c:v>0.59</c:v>
                </c:pt>
                <c:pt idx="399">
                  <c:v>0.76500000000000001</c:v>
                </c:pt>
                <c:pt idx="400">
                  <c:v>0.73499999999999999</c:v>
                </c:pt>
                <c:pt idx="401">
                  <c:v>0.26</c:v>
                </c:pt>
                <c:pt idx="402">
                  <c:v>0.48</c:v>
                </c:pt>
                <c:pt idx="403">
                  <c:v>0.6</c:v>
                </c:pt>
                <c:pt idx="404">
                  <c:v>0.69</c:v>
                </c:pt>
                <c:pt idx="405">
                  <c:v>0.31</c:v>
                </c:pt>
                <c:pt idx="406">
                  <c:v>0.44</c:v>
                </c:pt>
                <c:pt idx="407">
                  <c:v>0.39</c:v>
                </c:pt>
                <c:pt idx="408">
                  <c:v>0.34</c:v>
                </c:pt>
                <c:pt idx="409">
                  <c:v>0.46</c:v>
                </c:pt>
                <c:pt idx="410">
                  <c:v>0.43</c:v>
                </c:pt>
                <c:pt idx="411">
                  <c:v>0.45</c:v>
                </c:pt>
                <c:pt idx="412">
                  <c:v>0.73499999999999999</c:v>
                </c:pt>
                <c:pt idx="413">
                  <c:v>0.4</c:v>
                </c:pt>
                <c:pt idx="414">
                  <c:v>0.52</c:v>
                </c:pt>
                <c:pt idx="415">
                  <c:v>0.72499999999999998</c:v>
                </c:pt>
                <c:pt idx="416">
                  <c:v>0.48</c:v>
                </c:pt>
                <c:pt idx="417">
                  <c:v>0.57999999999999996</c:v>
                </c:pt>
                <c:pt idx="418">
                  <c:v>0.38</c:v>
                </c:pt>
                <c:pt idx="419">
                  <c:v>0.77</c:v>
                </c:pt>
                <c:pt idx="420">
                  <c:v>0.56000000000000005</c:v>
                </c:pt>
                <c:pt idx="421">
                  <c:v>0.84</c:v>
                </c:pt>
                <c:pt idx="422">
                  <c:v>0.96</c:v>
                </c:pt>
                <c:pt idx="423">
                  <c:v>0.24</c:v>
                </c:pt>
                <c:pt idx="424">
                  <c:v>0.96</c:v>
                </c:pt>
                <c:pt idx="425">
                  <c:v>0.84</c:v>
                </c:pt>
                <c:pt idx="426">
                  <c:v>0.67</c:v>
                </c:pt>
                <c:pt idx="427">
                  <c:v>0.78</c:v>
                </c:pt>
                <c:pt idx="428">
                  <c:v>0.52</c:v>
                </c:pt>
                <c:pt idx="429">
                  <c:v>0.84</c:v>
                </c:pt>
                <c:pt idx="430">
                  <c:v>0.24</c:v>
                </c:pt>
                <c:pt idx="431">
                  <c:v>0.55000000000000004</c:v>
                </c:pt>
                <c:pt idx="432">
                  <c:v>0.37</c:v>
                </c:pt>
                <c:pt idx="433">
                  <c:v>0.39</c:v>
                </c:pt>
                <c:pt idx="434">
                  <c:v>0.41</c:v>
                </c:pt>
                <c:pt idx="435">
                  <c:v>0.39</c:v>
                </c:pt>
                <c:pt idx="436">
                  <c:v>0.67</c:v>
                </c:pt>
                <c:pt idx="437">
                  <c:v>0.45</c:v>
                </c:pt>
                <c:pt idx="438">
                  <c:v>0.41</c:v>
                </c:pt>
                <c:pt idx="439">
                  <c:v>0.62</c:v>
                </c:pt>
                <c:pt idx="440">
                  <c:v>0.31</c:v>
                </c:pt>
                <c:pt idx="441">
                  <c:v>0.4</c:v>
                </c:pt>
                <c:pt idx="442">
                  <c:v>0.68500000000000005</c:v>
                </c:pt>
                <c:pt idx="443">
                  <c:v>0.44</c:v>
                </c:pt>
                <c:pt idx="444">
                  <c:v>0.56999999999999995</c:v>
                </c:pt>
                <c:pt idx="445">
                  <c:v>0.73499999999999999</c:v>
                </c:pt>
                <c:pt idx="446">
                  <c:v>0.38</c:v>
                </c:pt>
                <c:pt idx="447">
                  <c:v>0.48</c:v>
                </c:pt>
                <c:pt idx="448">
                  <c:v>0.53</c:v>
                </c:pt>
                <c:pt idx="449">
                  <c:v>0.39</c:v>
                </c:pt>
                <c:pt idx="450">
                  <c:v>0.39</c:v>
                </c:pt>
                <c:pt idx="451">
                  <c:v>0.37</c:v>
                </c:pt>
                <c:pt idx="452">
                  <c:v>0.56000000000000005</c:v>
                </c:pt>
                <c:pt idx="453">
                  <c:v>0.33</c:v>
                </c:pt>
                <c:pt idx="454">
                  <c:v>0.23</c:v>
                </c:pt>
                <c:pt idx="455">
                  <c:v>0.62</c:v>
                </c:pt>
                <c:pt idx="456">
                  <c:v>0.59</c:v>
                </c:pt>
                <c:pt idx="457">
                  <c:v>0.63</c:v>
                </c:pt>
                <c:pt idx="458">
                  <c:v>0.33</c:v>
                </c:pt>
                <c:pt idx="459">
                  <c:v>0.57999999999999996</c:v>
                </c:pt>
                <c:pt idx="460">
                  <c:v>0.43</c:v>
                </c:pt>
                <c:pt idx="461">
                  <c:v>0.61499999999999999</c:v>
                </c:pt>
                <c:pt idx="462">
                  <c:v>0.26</c:v>
                </c:pt>
                <c:pt idx="463">
                  <c:v>0.66</c:v>
                </c:pt>
                <c:pt idx="464">
                  <c:v>0.315</c:v>
                </c:pt>
                <c:pt idx="465">
                  <c:v>0.28999999999999998</c:v>
                </c:pt>
                <c:pt idx="466">
                  <c:v>0.5</c:v>
                </c:pt>
                <c:pt idx="467">
                  <c:v>0.46</c:v>
                </c:pt>
                <c:pt idx="468">
                  <c:v>0.36</c:v>
                </c:pt>
                <c:pt idx="469">
                  <c:v>0.82</c:v>
                </c:pt>
                <c:pt idx="470">
                  <c:v>0.32</c:v>
                </c:pt>
                <c:pt idx="471">
                  <c:v>0.54</c:v>
                </c:pt>
                <c:pt idx="472">
                  <c:v>0.37</c:v>
                </c:pt>
                <c:pt idx="473">
                  <c:v>0.35</c:v>
                </c:pt>
                <c:pt idx="474">
                  <c:v>0.28000000000000003</c:v>
                </c:pt>
                <c:pt idx="475">
                  <c:v>0.68</c:v>
                </c:pt>
                <c:pt idx="476">
                  <c:v>0.27</c:v>
                </c:pt>
                <c:pt idx="477">
                  <c:v>0.24</c:v>
                </c:pt>
                <c:pt idx="478">
                  <c:v>0.68</c:v>
                </c:pt>
                <c:pt idx="479">
                  <c:v>0.68500000000000005</c:v>
                </c:pt>
                <c:pt idx="480">
                  <c:v>0.28000000000000003</c:v>
                </c:pt>
                <c:pt idx="481">
                  <c:v>0.3</c:v>
                </c:pt>
                <c:pt idx="482">
                  <c:v>0.36</c:v>
                </c:pt>
                <c:pt idx="483">
                  <c:v>0.36</c:v>
                </c:pt>
                <c:pt idx="484">
                  <c:v>0.44</c:v>
                </c:pt>
                <c:pt idx="485">
                  <c:v>0.67</c:v>
                </c:pt>
                <c:pt idx="486">
                  <c:v>0.67</c:v>
                </c:pt>
                <c:pt idx="487">
                  <c:v>0.64500000000000002</c:v>
                </c:pt>
                <c:pt idx="488">
                  <c:v>0.32</c:v>
                </c:pt>
                <c:pt idx="489">
                  <c:v>0.39</c:v>
                </c:pt>
                <c:pt idx="490">
                  <c:v>0.77500000000000002</c:v>
                </c:pt>
                <c:pt idx="491">
                  <c:v>0.41</c:v>
                </c:pt>
                <c:pt idx="492">
                  <c:v>0.4</c:v>
                </c:pt>
                <c:pt idx="493">
                  <c:v>0.69</c:v>
                </c:pt>
                <c:pt idx="494">
                  <c:v>0.39</c:v>
                </c:pt>
                <c:pt idx="495">
                  <c:v>0.35</c:v>
                </c:pt>
                <c:pt idx="496">
                  <c:v>0.52</c:v>
                </c:pt>
                <c:pt idx="497">
                  <c:v>0.34</c:v>
                </c:pt>
                <c:pt idx="498">
                  <c:v>0.35</c:v>
                </c:pt>
                <c:pt idx="499">
                  <c:v>0.69</c:v>
                </c:pt>
                <c:pt idx="500">
                  <c:v>0.52</c:v>
                </c:pt>
                <c:pt idx="501">
                  <c:v>0.44</c:v>
                </c:pt>
                <c:pt idx="502">
                  <c:v>0.44</c:v>
                </c:pt>
                <c:pt idx="503">
                  <c:v>0.26</c:v>
                </c:pt>
                <c:pt idx="504">
                  <c:v>0.24</c:v>
                </c:pt>
                <c:pt idx="505">
                  <c:v>0.49</c:v>
                </c:pt>
                <c:pt idx="506">
                  <c:v>0.24</c:v>
                </c:pt>
                <c:pt idx="507">
                  <c:v>0.67</c:v>
                </c:pt>
                <c:pt idx="508">
                  <c:v>0.59</c:v>
                </c:pt>
                <c:pt idx="509">
                  <c:v>0.28999999999999998</c:v>
                </c:pt>
                <c:pt idx="510">
                  <c:v>0.42</c:v>
                </c:pt>
                <c:pt idx="511">
                  <c:v>0.59</c:v>
                </c:pt>
                <c:pt idx="512">
                  <c:v>0.4</c:v>
                </c:pt>
                <c:pt idx="513">
                  <c:v>0.51</c:v>
                </c:pt>
                <c:pt idx="514">
                  <c:v>0.51</c:v>
                </c:pt>
                <c:pt idx="515">
                  <c:v>0.65500000000000003</c:v>
                </c:pt>
                <c:pt idx="516">
                  <c:v>0.6</c:v>
                </c:pt>
                <c:pt idx="517">
                  <c:v>0.61</c:v>
                </c:pt>
                <c:pt idx="518">
                  <c:v>0.21</c:v>
                </c:pt>
                <c:pt idx="519">
                  <c:v>0.36499999999999999</c:v>
                </c:pt>
                <c:pt idx="520">
                  <c:v>0.25</c:v>
                </c:pt>
                <c:pt idx="521">
                  <c:v>0.41</c:v>
                </c:pt>
                <c:pt idx="522">
                  <c:v>0.39</c:v>
                </c:pt>
                <c:pt idx="523">
                  <c:v>0.4</c:v>
                </c:pt>
                <c:pt idx="524">
                  <c:v>0.43</c:v>
                </c:pt>
                <c:pt idx="525">
                  <c:v>0.64</c:v>
                </c:pt>
                <c:pt idx="526">
                  <c:v>0.36499999999999999</c:v>
                </c:pt>
                <c:pt idx="527">
                  <c:v>0.38</c:v>
                </c:pt>
                <c:pt idx="528">
                  <c:v>0.42</c:v>
                </c:pt>
                <c:pt idx="529">
                  <c:v>0.63</c:v>
                </c:pt>
                <c:pt idx="530">
                  <c:v>0.22</c:v>
                </c:pt>
                <c:pt idx="531">
                  <c:v>0.38</c:v>
                </c:pt>
                <c:pt idx="532">
                  <c:v>0.38</c:v>
                </c:pt>
                <c:pt idx="533">
                  <c:v>0.27</c:v>
                </c:pt>
                <c:pt idx="534">
                  <c:v>0.48</c:v>
                </c:pt>
                <c:pt idx="535">
                  <c:v>0.22</c:v>
                </c:pt>
                <c:pt idx="536">
                  <c:v>0.63</c:v>
                </c:pt>
                <c:pt idx="537">
                  <c:v>0.82499999999999996</c:v>
                </c:pt>
                <c:pt idx="538">
                  <c:v>0.35</c:v>
                </c:pt>
                <c:pt idx="539">
                  <c:v>0.5</c:v>
                </c:pt>
                <c:pt idx="540">
                  <c:v>0.59</c:v>
                </c:pt>
                <c:pt idx="541">
                  <c:v>0.46</c:v>
                </c:pt>
                <c:pt idx="542">
                  <c:v>0.71499999999999997</c:v>
                </c:pt>
                <c:pt idx="543">
                  <c:v>0.66</c:v>
                </c:pt>
                <c:pt idx="544">
                  <c:v>0.31</c:v>
                </c:pt>
                <c:pt idx="545">
                  <c:v>0.47</c:v>
                </c:pt>
                <c:pt idx="546">
                  <c:v>0.55000000000000004</c:v>
                </c:pt>
                <c:pt idx="547">
                  <c:v>0.31</c:v>
                </c:pt>
                <c:pt idx="548">
                  <c:v>0.35</c:v>
                </c:pt>
                <c:pt idx="549">
                  <c:v>0.53</c:v>
                </c:pt>
                <c:pt idx="550">
                  <c:v>0.51</c:v>
                </c:pt>
                <c:pt idx="551">
                  <c:v>0.43</c:v>
                </c:pt>
                <c:pt idx="552">
                  <c:v>0.46</c:v>
                </c:pt>
                <c:pt idx="553">
                  <c:v>1.04</c:v>
                </c:pt>
                <c:pt idx="554">
                  <c:v>0.64500000000000002</c:v>
                </c:pt>
                <c:pt idx="555">
                  <c:v>0.64500000000000002</c:v>
                </c:pt>
                <c:pt idx="556">
                  <c:v>0.53</c:v>
                </c:pt>
                <c:pt idx="557">
                  <c:v>0.64500000000000002</c:v>
                </c:pt>
                <c:pt idx="558">
                  <c:v>0.53</c:v>
                </c:pt>
                <c:pt idx="559">
                  <c:v>0.47</c:v>
                </c:pt>
                <c:pt idx="560">
                  <c:v>0.6</c:v>
                </c:pt>
                <c:pt idx="561">
                  <c:v>0.44</c:v>
                </c:pt>
                <c:pt idx="562">
                  <c:v>0.54</c:v>
                </c:pt>
                <c:pt idx="563">
                  <c:v>0.28999999999999998</c:v>
                </c:pt>
                <c:pt idx="564">
                  <c:v>0.47</c:v>
                </c:pt>
                <c:pt idx="565">
                  <c:v>0.6</c:v>
                </c:pt>
                <c:pt idx="566">
                  <c:v>0.7</c:v>
                </c:pt>
                <c:pt idx="567">
                  <c:v>0.7</c:v>
                </c:pt>
                <c:pt idx="568">
                  <c:v>0.5</c:v>
                </c:pt>
                <c:pt idx="569">
                  <c:v>0.36</c:v>
                </c:pt>
                <c:pt idx="570">
                  <c:v>0.35</c:v>
                </c:pt>
                <c:pt idx="571">
                  <c:v>0.36</c:v>
                </c:pt>
                <c:pt idx="572">
                  <c:v>0.24</c:v>
                </c:pt>
                <c:pt idx="573">
                  <c:v>0.59</c:v>
                </c:pt>
                <c:pt idx="574">
                  <c:v>0.34</c:v>
                </c:pt>
                <c:pt idx="575">
                  <c:v>0.27</c:v>
                </c:pt>
                <c:pt idx="576">
                  <c:v>0.5</c:v>
                </c:pt>
                <c:pt idx="577">
                  <c:v>0.44</c:v>
                </c:pt>
                <c:pt idx="578">
                  <c:v>0.47</c:v>
                </c:pt>
                <c:pt idx="579">
                  <c:v>0.31</c:v>
                </c:pt>
                <c:pt idx="580">
                  <c:v>0.5</c:v>
                </c:pt>
                <c:pt idx="581">
                  <c:v>0.5</c:v>
                </c:pt>
                <c:pt idx="582">
                  <c:v>0.49</c:v>
                </c:pt>
                <c:pt idx="583">
                  <c:v>0.28000000000000003</c:v>
                </c:pt>
                <c:pt idx="584">
                  <c:v>0.33</c:v>
                </c:pt>
                <c:pt idx="585">
                  <c:v>0.51</c:v>
                </c:pt>
                <c:pt idx="586">
                  <c:v>0.31</c:v>
                </c:pt>
                <c:pt idx="587">
                  <c:v>0.73</c:v>
                </c:pt>
                <c:pt idx="588">
                  <c:v>0.42</c:v>
                </c:pt>
                <c:pt idx="589">
                  <c:v>0.28999999999999998</c:v>
                </c:pt>
                <c:pt idx="590">
                  <c:v>0.45</c:v>
                </c:pt>
                <c:pt idx="591">
                  <c:v>0.39</c:v>
                </c:pt>
                <c:pt idx="592">
                  <c:v>0.45</c:v>
                </c:pt>
                <c:pt idx="593">
                  <c:v>0.49</c:v>
                </c:pt>
                <c:pt idx="594">
                  <c:v>0.72</c:v>
                </c:pt>
                <c:pt idx="595">
                  <c:v>0.59499999999999997</c:v>
                </c:pt>
                <c:pt idx="596">
                  <c:v>0.4</c:v>
                </c:pt>
                <c:pt idx="597">
                  <c:v>0.57999999999999996</c:v>
                </c:pt>
                <c:pt idx="598">
                  <c:v>0.58499999999999996</c:v>
                </c:pt>
                <c:pt idx="599">
                  <c:v>0.59</c:v>
                </c:pt>
                <c:pt idx="600">
                  <c:v>0.91500000000000004</c:v>
                </c:pt>
                <c:pt idx="601">
                  <c:v>0.46</c:v>
                </c:pt>
                <c:pt idx="602">
                  <c:v>0.83499999999999996</c:v>
                </c:pt>
                <c:pt idx="603">
                  <c:v>0.46</c:v>
                </c:pt>
                <c:pt idx="604">
                  <c:v>0.57999999999999996</c:v>
                </c:pt>
                <c:pt idx="605">
                  <c:v>0.6</c:v>
                </c:pt>
                <c:pt idx="606">
                  <c:v>0.41</c:v>
                </c:pt>
                <c:pt idx="607">
                  <c:v>0.48</c:v>
                </c:pt>
                <c:pt idx="608">
                  <c:v>0.65</c:v>
                </c:pt>
                <c:pt idx="609">
                  <c:v>0.36</c:v>
                </c:pt>
                <c:pt idx="610">
                  <c:v>0.24</c:v>
                </c:pt>
                <c:pt idx="611">
                  <c:v>0.38</c:v>
                </c:pt>
                <c:pt idx="612">
                  <c:v>0.64</c:v>
                </c:pt>
                <c:pt idx="613">
                  <c:v>0.39</c:v>
                </c:pt>
                <c:pt idx="614">
                  <c:v>0.755</c:v>
                </c:pt>
                <c:pt idx="615">
                  <c:v>0.6</c:v>
                </c:pt>
                <c:pt idx="616">
                  <c:v>0.6</c:v>
                </c:pt>
                <c:pt idx="617">
                  <c:v>0.31</c:v>
                </c:pt>
                <c:pt idx="618">
                  <c:v>0.46</c:v>
                </c:pt>
                <c:pt idx="619">
                  <c:v>0.37</c:v>
                </c:pt>
                <c:pt idx="620">
                  <c:v>0.54</c:v>
                </c:pt>
                <c:pt idx="621">
                  <c:v>0.56000000000000005</c:v>
                </c:pt>
                <c:pt idx="622">
                  <c:v>0.57999999999999996</c:v>
                </c:pt>
                <c:pt idx="623">
                  <c:v>0.51</c:v>
                </c:pt>
                <c:pt idx="624">
                  <c:v>0.69</c:v>
                </c:pt>
                <c:pt idx="625">
                  <c:v>0.69</c:v>
                </c:pt>
                <c:pt idx="626">
                  <c:v>0.6</c:v>
                </c:pt>
                <c:pt idx="627">
                  <c:v>0.6</c:v>
                </c:pt>
                <c:pt idx="628">
                  <c:v>0.54</c:v>
                </c:pt>
                <c:pt idx="629">
                  <c:v>0.68500000000000005</c:v>
                </c:pt>
                <c:pt idx="630">
                  <c:v>0.54</c:v>
                </c:pt>
                <c:pt idx="631">
                  <c:v>0.28000000000000003</c:v>
                </c:pt>
                <c:pt idx="632">
                  <c:v>0.41</c:v>
                </c:pt>
                <c:pt idx="633">
                  <c:v>0.93500000000000005</c:v>
                </c:pt>
                <c:pt idx="634">
                  <c:v>0.35</c:v>
                </c:pt>
                <c:pt idx="635">
                  <c:v>0.84</c:v>
                </c:pt>
                <c:pt idx="636">
                  <c:v>0.88</c:v>
                </c:pt>
                <c:pt idx="637">
                  <c:v>0.88500000000000001</c:v>
                </c:pt>
                <c:pt idx="638">
                  <c:v>0.91500000000000004</c:v>
                </c:pt>
                <c:pt idx="639">
                  <c:v>0.28999999999999998</c:v>
                </c:pt>
                <c:pt idx="640">
                  <c:v>0.54</c:v>
                </c:pt>
                <c:pt idx="641">
                  <c:v>0.59</c:v>
                </c:pt>
                <c:pt idx="642">
                  <c:v>0.54</c:v>
                </c:pt>
                <c:pt idx="643">
                  <c:v>0.59</c:v>
                </c:pt>
                <c:pt idx="644">
                  <c:v>0.54</c:v>
                </c:pt>
                <c:pt idx="645">
                  <c:v>0.64</c:v>
                </c:pt>
                <c:pt idx="646">
                  <c:v>0.67</c:v>
                </c:pt>
                <c:pt idx="647">
                  <c:v>0.84499999999999997</c:v>
                </c:pt>
                <c:pt idx="648">
                  <c:v>0.48</c:v>
                </c:pt>
                <c:pt idx="649">
                  <c:v>0.42</c:v>
                </c:pt>
                <c:pt idx="650">
                  <c:v>0.43</c:v>
                </c:pt>
                <c:pt idx="651">
                  <c:v>0.88</c:v>
                </c:pt>
                <c:pt idx="652">
                  <c:v>0.36</c:v>
                </c:pt>
                <c:pt idx="653">
                  <c:v>0.33</c:v>
                </c:pt>
                <c:pt idx="654">
                  <c:v>0.47</c:v>
                </c:pt>
                <c:pt idx="655">
                  <c:v>0.55000000000000004</c:v>
                </c:pt>
                <c:pt idx="656">
                  <c:v>0.43</c:v>
                </c:pt>
                <c:pt idx="657">
                  <c:v>0.5</c:v>
                </c:pt>
                <c:pt idx="658">
                  <c:v>0.52</c:v>
                </c:pt>
                <c:pt idx="659">
                  <c:v>0.84</c:v>
                </c:pt>
                <c:pt idx="660">
                  <c:v>0.52</c:v>
                </c:pt>
                <c:pt idx="661">
                  <c:v>0.42</c:v>
                </c:pt>
                <c:pt idx="662">
                  <c:v>0.56999999999999995</c:v>
                </c:pt>
                <c:pt idx="663">
                  <c:v>0.28000000000000003</c:v>
                </c:pt>
                <c:pt idx="664">
                  <c:v>0.4</c:v>
                </c:pt>
                <c:pt idx="665">
                  <c:v>0.59</c:v>
                </c:pt>
                <c:pt idx="666">
                  <c:v>0.49</c:v>
                </c:pt>
                <c:pt idx="667">
                  <c:v>0.34</c:v>
                </c:pt>
                <c:pt idx="668">
                  <c:v>0.73</c:v>
                </c:pt>
                <c:pt idx="669">
                  <c:v>0.34</c:v>
                </c:pt>
                <c:pt idx="670">
                  <c:v>0.4</c:v>
                </c:pt>
                <c:pt idx="671">
                  <c:v>0.73</c:v>
                </c:pt>
                <c:pt idx="672">
                  <c:v>1.24</c:v>
                </c:pt>
                <c:pt idx="673">
                  <c:v>0.73</c:v>
                </c:pt>
                <c:pt idx="674">
                  <c:v>0.4</c:v>
                </c:pt>
                <c:pt idx="675">
                  <c:v>0.41</c:v>
                </c:pt>
                <c:pt idx="676">
                  <c:v>0.4</c:v>
                </c:pt>
                <c:pt idx="677">
                  <c:v>0.8</c:v>
                </c:pt>
                <c:pt idx="678">
                  <c:v>0.78</c:v>
                </c:pt>
                <c:pt idx="679">
                  <c:v>0.26</c:v>
                </c:pt>
                <c:pt idx="680">
                  <c:v>0.43</c:v>
                </c:pt>
                <c:pt idx="681">
                  <c:v>0.45</c:v>
                </c:pt>
                <c:pt idx="682">
                  <c:v>0.46</c:v>
                </c:pt>
                <c:pt idx="683">
                  <c:v>0.78</c:v>
                </c:pt>
                <c:pt idx="684">
                  <c:v>0.98</c:v>
                </c:pt>
                <c:pt idx="685">
                  <c:v>0.78</c:v>
                </c:pt>
                <c:pt idx="686">
                  <c:v>0.65</c:v>
                </c:pt>
                <c:pt idx="687">
                  <c:v>0.64</c:v>
                </c:pt>
                <c:pt idx="688">
                  <c:v>0.66</c:v>
                </c:pt>
                <c:pt idx="689">
                  <c:v>0.38</c:v>
                </c:pt>
                <c:pt idx="690">
                  <c:v>1.1850000000000001</c:v>
                </c:pt>
                <c:pt idx="691">
                  <c:v>0.92</c:v>
                </c:pt>
                <c:pt idx="692">
                  <c:v>0.49</c:v>
                </c:pt>
                <c:pt idx="693">
                  <c:v>0.48</c:v>
                </c:pt>
                <c:pt idx="694">
                  <c:v>0.47</c:v>
                </c:pt>
                <c:pt idx="695">
                  <c:v>0.47</c:v>
                </c:pt>
                <c:pt idx="696">
                  <c:v>0.65</c:v>
                </c:pt>
                <c:pt idx="697">
                  <c:v>0.65</c:v>
                </c:pt>
                <c:pt idx="698">
                  <c:v>0.61499999999999999</c:v>
                </c:pt>
                <c:pt idx="699">
                  <c:v>0.38</c:v>
                </c:pt>
                <c:pt idx="700">
                  <c:v>1.02</c:v>
                </c:pt>
                <c:pt idx="701">
                  <c:v>0.65</c:v>
                </c:pt>
                <c:pt idx="702">
                  <c:v>0.64</c:v>
                </c:pt>
                <c:pt idx="703">
                  <c:v>0.38</c:v>
                </c:pt>
                <c:pt idx="704">
                  <c:v>0.76500000000000001</c:v>
                </c:pt>
                <c:pt idx="705">
                  <c:v>1.0349999999999999</c:v>
                </c:pt>
                <c:pt idx="706">
                  <c:v>0.78</c:v>
                </c:pt>
                <c:pt idx="707">
                  <c:v>0.49</c:v>
                </c:pt>
                <c:pt idx="708">
                  <c:v>0.54500000000000004</c:v>
                </c:pt>
                <c:pt idx="709">
                  <c:v>0.31</c:v>
                </c:pt>
                <c:pt idx="710">
                  <c:v>1.0249999999999999</c:v>
                </c:pt>
                <c:pt idx="711">
                  <c:v>0.56499999999999995</c:v>
                </c:pt>
                <c:pt idx="712">
                  <c:v>0.69</c:v>
                </c:pt>
                <c:pt idx="713">
                  <c:v>0.43</c:v>
                </c:pt>
                <c:pt idx="714">
                  <c:v>0.74</c:v>
                </c:pt>
                <c:pt idx="715">
                  <c:v>0.49</c:v>
                </c:pt>
                <c:pt idx="716">
                  <c:v>0.43</c:v>
                </c:pt>
                <c:pt idx="717">
                  <c:v>0.46</c:v>
                </c:pt>
                <c:pt idx="718">
                  <c:v>0.56000000000000005</c:v>
                </c:pt>
                <c:pt idx="719">
                  <c:v>0.66</c:v>
                </c:pt>
                <c:pt idx="720">
                  <c:v>0.56000000000000005</c:v>
                </c:pt>
                <c:pt idx="721">
                  <c:v>0.48</c:v>
                </c:pt>
                <c:pt idx="722">
                  <c:v>0.42</c:v>
                </c:pt>
                <c:pt idx="723">
                  <c:v>0.31</c:v>
                </c:pt>
                <c:pt idx="724">
                  <c:v>1.115</c:v>
                </c:pt>
                <c:pt idx="725">
                  <c:v>0.66</c:v>
                </c:pt>
                <c:pt idx="726">
                  <c:v>0.72</c:v>
                </c:pt>
                <c:pt idx="727">
                  <c:v>0.56999999999999995</c:v>
                </c:pt>
                <c:pt idx="728">
                  <c:v>0.56999999999999995</c:v>
                </c:pt>
                <c:pt idx="729">
                  <c:v>0.86499999999999999</c:v>
                </c:pt>
                <c:pt idx="730">
                  <c:v>0.55000000000000004</c:v>
                </c:pt>
                <c:pt idx="731">
                  <c:v>0.875</c:v>
                </c:pt>
                <c:pt idx="732">
                  <c:v>0.83499999999999996</c:v>
                </c:pt>
                <c:pt idx="733">
                  <c:v>0.45</c:v>
                </c:pt>
                <c:pt idx="734">
                  <c:v>0.56000000000000005</c:v>
                </c:pt>
                <c:pt idx="735">
                  <c:v>0.96499999999999997</c:v>
                </c:pt>
                <c:pt idx="736">
                  <c:v>0.96499999999999997</c:v>
                </c:pt>
                <c:pt idx="737">
                  <c:v>0.59</c:v>
                </c:pt>
                <c:pt idx="738">
                  <c:v>0.46</c:v>
                </c:pt>
                <c:pt idx="739">
                  <c:v>0.69</c:v>
                </c:pt>
                <c:pt idx="740">
                  <c:v>0.76</c:v>
                </c:pt>
                <c:pt idx="741">
                  <c:v>0.53</c:v>
                </c:pt>
                <c:pt idx="742">
                  <c:v>0.61499999999999999</c:v>
                </c:pt>
                <c:pt idx="743">
                  <c:v>0.41</c:v>
                </c:pt>
                <c:pt idx="744">
                  <c:v>0.39</c:v>
                </c:pt>
                <c:pt idx="745">
                  <c:v>0.51</c:v>
                </c:pt>
                <c:pt idx="746">
                  <c:v>0.34</c:v>
                </c:pt>
                <c:pt idx="747">
                  <c:v>0.33</c:v>
                </c:pt>
                <c:pt idx="748">
                  <c:v>0.5</c:v>
                </c:pt>
                <c:pt idx="749">
                  <c:v>0.51</c:v>
                </c:pt>
                <c:pt idx="750">
                  <c:v>0.65</c:v>
                </c:pt>
                <c:pt idx="751">
                  <c:v>0.65</c:v>
                </c:pt>
                <c:pt idx="752">
                  <c:v>0.54</c:v>
                </c:pt>
                <c:pt idx="753">
                  <c:v>0.65</c:v>
                </c:pt>
                <c:pt idx="754">
                  <c:v>0.48</c:v>
                </c:pt>
                <c:pt idx="755">
                  <c:v>0.91</c:v>
                </c:pt>
                <c:pt idx="756">
                  <c:v>0.98</c:v>
                </c:pt>
                <c:pt idx="757">
                  <c:v>0.87</c:v>
                </c:pt>
                <c:pt idx="758">
                  <c:v>0.87</c:v>
                </c:pt>
                <c:pt idx="759">
                  <c:v>0.42</c:v>
                </c:pt>
                <c:pt idx="760">
                  <c:v>0.57999999999999996</c:v>
                </c:pt>
                <c:pt idx="761">
                  <c:v>0.65500000000000003</c:v>
                </c:pt>
                <c:pt idx="762">
                  <c:v>0.7</c:v>
                </c:pt>
                <c:pt idx="763">
                  <c:v>0.65500000000000003</c:v>
                </c:pt>
                <c:pt idx="764">
                  <c:v>0.68</c:v>
                </c:pt>
                <c:pt idx="765">
                  <c:v>0.67</c:v>
                </c:pt>
                <c:pt idx="766">
                  <c:v>0.59</c:v>
                </c:pt>
                <c:pt idx="767">
                  <c:v>0.6</c:v>
                </c:pt>
                <c:pt idx="768">
                  <c:v>0.59</c:v>
                </c:pt>
                <c:pt idx="769">
                  <c:v>0.72</c:v>
                </c:pt>
                <c:pt idx="770">
                  <c:v>0.59</c:v>
                </c:pt>
                <c:pt idx="771">
                  <c:v>0.68500000000000005</c:v>
                </c:pt>
                <c:pt idx="772">
                  <c:v>0.56999999999999995</c:v>
                </c:pt>
                <c:pt idx="773">
                  <c:v>0.4</c:v>
                </c:pt>
                <c:pt idx="774">
                  <c:v>0.4</c:v>
                </c:pt>
                <c:pt idx="775">
                  <c:v>1</c:v>
                </c:pt>
                <c:pt idx="776">
                  <c:v>0.76500000000000001</c:v>
                </c:pt>
                <c:pt idx="777">
                  <c:v>0.63500000000000001</c:v>
                </c:pt>
                <c:pt idx="778">
                  <c:v>0.43</c:v>
                </c:pt>
                <c:pt idx="779">
                  <c:v>0.52</c:v>
                </c:pt>
                <c:pt idx="780">
                  <c:v>0.56999999999999995</c:v>
                </c:pt>
                <c:pt idx="781">
                  <c:v>0.46</c:v>
                </c:pt>
                <c:pt idx="782">
                  <c:v>0.82</c:v>
                </c:pt>
                <c:pt idx="783">
                  <c:v>0.46</c:v>
                </c:pt>
                <c:pt idx="784">
                  <c:v>0.59</c:v>
                </c:pt>
                <c:pt idx="785">
                  <c:v>0.35</c:v>
                </c:pt>
                <c:pt idx="786">
                  <c:v>0.35</c:v>
                </c:pt>
                <c:pt idx="787">
                  <c:v>0.56000000000000005</c:v>
                </c:pt>
                <c:pt idx="788">
                  <c:v>0.56000000000000005</c:v>
                </c:pt>
                <c:pt idx="789">
                  <c:v>0.63</c:v>
                </c:pt>
                <c:pt idx="790">
                  <c:v>0.37</c:v>
                </c:pt>
                <c:pt idx="791">
                  <c:v>0.64</c:v>
                </c:pt>
                <c:pt idx="792">
                  <c:v>0.61</c:v>
                </c:pt>
                <c:pt idx="793">
                  <c:v>0.6</c:v>
                </c:pt>
                <c:pt idx="794">
                  <c:v>0.27</c:v>
                </c:pt>
                <c:pt idx="795">
                  <c:v>0.89</c:v>
                </c:pt>
                <c:pt idx="796">
                  <c:v>0.46</c:v>
                </c:pt>
                <c:pt idx="797">
                  <c:v>0.37</c:v>
                </c:pt>
                <c:pt idx="798">
                  <c:v>0.5</c:v>
                </c:pt>
                <c:pt idx="799">
                  <c:v>0.5</c:v>
                </c:pt>
                <c:pt idx="800">
                  <c:v>0.61</c:v>
                </c:pt>
                <c:pt idx="801">
                  <c:v>0.55000000000000004</c:v>
                </c:pt>
                <c:pt idx="802">
                  <c:v>0.58499999999999996</c:v>
                </c:pt>
                <c:pt idx="803">
                  <c:v>0.56000000000000005</c:v>
                </c:pt>
                <c:pt idx="804">
                  <c:v>0.52</c:v>
                </c:pt>
                <c:pt idx="805">
                  <c:v>0.28000000000000003</c:v>
                </c:pt>
                <c:pt idx="806">
                  <c:v>0.25</c:v>
                </c:pt>
                <c:pt idx="807">
                  <c:v>0.28000000000000003</c:v>
                </c:pt>
                <c:pt idx="808">
                  <c:v>0.53</c:v>
                </c:pt>
                <c:pt idx="809">
                  <c:v>0.48</c:v>
                </c:pt>
                <c:pt idx="810">
                  <c:v>0.49</c:v>
                </c:pt>
                <c:pt idx="811">
                  <c:v>0.5</c:v>
                </c:pt>
                <c:pt idx="812">
                  <c:v>0.45</c:v>
                </c:pt>
                <c:pt idx="813">
                  <c:v>0.39</c:v>
                </c:pt>
                <c:pt idx="814">
                  <c:v>0.41</c:v>
                </c:pt>
                <c:pt idx="815">
                  <c:v>0.45</c:v>
                </c:pt>
                <c:pt idx="816">
                  <c:v>0.51</c:v>
                </c:pt>
                <c:pt idx="817">
                  <c:v>0.28999999999999998</c:v>
                </c:pt>
                <c:pt idx="818">
                  <c:v>0.71499999999999997</c:v>
                </c:pt>
                <c:pt idx="819">
                  <c:v>0.66</c:v>
                </c:pt>
                <c:pt idx="820">
                  <c:v>0.68500000000000005</c:v>
                </c:pt>
                <c:pt idx="821">
                  <c:v>0.42</c:v>
                </c:pt>
                <c:pt idx="822">
                  <c:v>0.54</c:v>
                </c:pt>
                <c:pt idx="823">
                  <c:v>0.54</c:v>
                </c:pt>
                <c:pt idx="824">
                  <c:v>0.48</c:v>
                </c:pt>
                <c:pt idx="825">
                  <c:v>0.46</c:v>
                </c:pt>
                <c:pt idx="826">
                  <c:v>0.27</c:v>
                </c:pt>
                <c:pt idx="827">
                  <c:v>0.46</c:v>
                </c:pt>
                <c:pt idx="828">
                  <c:v>0.56999999999999995</c:v>
                </c:pt>
                <c:pt idx="829">
                  <c:v>0.61</c:v>
                </c:pt>
                <c:pt idx="830">
                  <c:v>0.68500000000000005</c:v>
                </c:pt>
                <c:pt idx="831">
                  <c:v>0.61</c:v>
                </c:pt>
                <c:pt idx="832">
                  <c:v>0.44</c:v>
                </c:pt>
                <c:pt idx="833">
                  <c:v>0.47</c:v>
                </c:pt>
                <c:pt idx="834">
                  <c:v>0.68500000000000005</c:v>
                </c:pt>
                <c:pt idx="835">
                  <c:v>0.66500000000000004</c:v>
                </c:pt>
                <c:pt idx="836">
                  <c:v>0.28000000000000003</c:v>
                </c:pt>
                <c:pt idx="837">
                  <c:v>0.28000000000000003</c:v>
                </c:pt>
                <c:pt idx="838">
                  <c:v>0.31</c:v>
                </c:pt>
                <c:pt idx="839">
                  <c:v>0.5</c:v>
                </c:pt>
                <c:pt idx="840">
                  <c:v>0.42</c:v>
                </c:pt>
                <c:pt idx="841">
                  <c:v>0.66</c:v>
                </c:pt>
                <c:pt idx="842">
                  <c:v>0.5</c:v>
                </c:pt>
                <c:pt idx="843">
                  <c:v>0.68500000000000005</c:v>
                </c:pt>
                <c:pt idx="844">
                  <c:v>0.25</c:v>
                </c:pt>
                <c:pt idx="845">
                  <c:v>0.64</c:v>
                </c:pt>
                <c:pt idx="846">
                  <c:v>0.64</c:v>
                </c:pt>
                <c:pt idx="847">
                  <c:v>0.68</c:v>
                </c:pt>
                <c:pt idx="848">
                  <c:v>0.64</c:v>
                </c:pt>
                <c:pt idx="849">
                  <c:v>0.63</c:v>
                </c:pt>
                <c:pt idx="850">
                  <c:v>0.43</c:v>
                </c:pt>
                <c:pt idx="851">
                  <c:v>0.43</c:v>
                </c:pt>
                <c:pt idx="852">
                  <c:v>0.42</c:v>
                </c:pt>
                <c:pt idx="853">
                  <c:v>0.36</c:v>
                </c:pt>
                <c:pt idx="854">
                  <c:v>0.36</c:v>
                </c:pt>
                <c:pt idx="855">
                  <c:v>0.73499999999999999</c:v>
                </c:pt>
                <c:pt idx="856">
                  <c:v>0.36</c:v>
                </c:pt>
                <c:pt idx="857">
                  <c:v>0.26</c:v>
                </c:pt>
                <c:pt idx="858">
                  <c:v>0.28000000000000003</c:v>
                </c:pt>
                <c:pt idx="859">
                  <c:v>0.56000000000000005</c:v>
                </c:pt>
                <c:pt idx="860">
                  <c:v>0.62</c:v>
                </c:pt>
                <c:pt idx="861">
                  <c:v>1.01</c:v>
                </c:pt>
                <c:pt idx="862">
                  <c:v>0.42</c:v>
                </c:pt>
                <c:pt idx="863">
                  <c:v>0.62</c:v>
                </c:pt>
                <c:pt idx="864">
                  <c:v>0.62</c:v>
                </c:pt>
                <c:pt idx="865">
                  <c:v>0.63500000000000001</c:v>
                </c:pt>
                <c:pt idx="866">
                  <c:v>0.49</c:v>
                </c:pt>
                <c:pt idx="867">
                  <c:v>0.51</c:v>
                </c:pt>
                <c:pt idx="868">
                  <c:v>0.56000000000000005</c:v>
                </c:pt>
                <c:pt idx="869">
                  <c:v>0.63</c:v>
                </c:pt>
                <c:pt idx="870">
                  <c:v>0.71499999999999997</c:v>
                </c:pt>
                <c:pt idx="871">
                  <c:v>0.56000000000000005</c:v>
                </c:pt>
                <c:pt idx="872">
                  <c:v>0.35</c:v>
                </c:pt>
                <c:pt idx="873">
                  <c:v>0.21</c:v>
                </c:pt>
                <c:pt idx="874">
                  <c:v>0.38</c:v>
                </c:pt>
                <c:pt idx="875">
                  <c:v>0.31</c:v>
                </c:pt>
                <c:pt idx="876">
                  <c:v>0.47</c:v>
                </c:pt>
                <c:pt idx="877">
                  <c:v>0.71499999999999997</c:v>
                </c:pt>
                <c:pt idx="878">
                  <c:v>0.61</c:v>
                </c:pt>
                <c:pt idx="879">
                  <c:v>0.6</c:v>
                </c:pt>
                <c:pt idx="880">
                  <c:v>0.56000000000000005</c:v>
                </c:pt>
                <c:pt idx="881">
                  <c:v>0.71499999999999997</c:v>
                </c:pt>
                <c:pt idx="882">
                  <c:v>0.31</c:v>
                </c:pt>
                <c:pt idx="883">
                  <c:v>0.6</c:v>
                </c:pt>
                <c:pt idx="884">
                  <c:v>0.61</c:v>
                </c:pt>
                <c:pt idx="885">
                  <c:v>0.75</c:v>
                </c:pt>
                <c:pt idx="886">
                  <c:v>0.8</c:v>
                </c:pt>
                <c:pt idx="887">
                  <c:v>0.52</c:v>
                </c:pt>
                <c:pt idx="888">
                  <c:v>0.56999999999999995</c:v>
                </c:pt>
                <c:pt idx="889">
                  <c:v>0.9</c:v>
                </c:pt>
                <c:pt idx="890">
                  <c:v>0.34</c:v>
                </c:pt>
                <c:pt idx="891">
                  <c:v>0.66</c:v>
                </c:pt>
                <c:pt idx="892">
                  <c:v>0.45</c:v>
                </c:pt>
                <c:pt idx="893">
                  <c:v>0.66</c:v>
                </c:pt>
                <c:pt idx="894">
                  <c:v>0.63</c:v>
                </c:pt>
                <c:pt idx="895">
                  <c:v>0.59</c:v>
                </c:pt>
                <c:pt idx="896">
                  <c:v>0.31</c:v>
                </c:pt>
                <c:pt idx="897">
                  <c:v>0.59</c:v>
                </c:pt>
                <c:pt idx="898">
                  <c:v>0.31</c:v>
                </c:pt>
                <c:pt idx="899">
                  <c:v>1.02</c:v>
                </c:pt>
                <c:pt idx="900">
                  <c:v>0.31</c:v>
                </c:pt>
                <c:pt idx="901">
                  <c:v>0.63500000000000001</c:v>
                </c:pt>
                <c:pt idx="902">
                  <c:v>0.63500000000000001</c:v>
                </c:pt>
                <c:pt idx="903">
                  <c:v>0.59</c:v>
                </c:pt>
                <c:pt idx="904">
                  <c:v>0.59</c:v>
                </c:pt>
                <c:pt idx="905">
                  <c:v>0.57999999999999996</c:v>
                </c:pt>
                <c:pt idx="906">
                  <c:v>0.54</c:v>
                </c:pt>
                <c:pt idx="907">
                  <c:v>0.56000000000000005</c:v>
                </c:pt>
                <c:pt idx="908">
                  <c:v>0.52</c:v>
                </c:pt>
                <c:pt idx="909">
                  <c:v>0.30499999999999999</c:v>
                </c:pt>
                <c:pt idx="910">
                  <c:v>0.38</c:v>
                </c:pt>
                <c:pt idx="911">
                  <c:v>0.28000000000000003</c:v>
                </c:pt>
                <c:pt idx="912">
                  <c:v>0.46</c:v>
                </c:pt>
                <c:pt idx="913">
                  <c:v>0.39500000000000002</c:v>
                </c:pt>
                <c:pt idx="914">
                  <c:v>0.30499999999999999</c:v>
                </c:pt>
                <c:pt idx="915">
                  <c:v>0.315</c:v>
                </c:pt>
                <c:pt idx="916">
                  <c:v>0.71499999999999997</c:v>
                </c:pt>
                <c:pt idx="917">
                  <c:v>0.41</c:v>
                </c:pt>
                <c:pt idx="918">
                  <c:v>0.36</c:v>
                </c:pt>
                <c:pt idx="919">
                  <c:v>0.62</c:v>
                </c:pt>
                <c:pt idx="920">
                  <c:v>0.41</c:v>
                </c:pt>
                <c:pt idx="921">
                  <c:v>0.36</c:v>
                </c:pt>
                <c:pt idx="922">
                  <c:v>0.62</c:v>
                </c:pt>
                <c:pt idx="923">
                  <c:v>0.41</c:v>
                </c:pt>
                <c:pt idx="924">
                  <c:v>0.47</c:v>
                </c:pt>
                <c:pt idx="925">
                  <c:v>0.22</c:v>
                </c:pt>
                <c:pt idx="926">
                  <c:v>0.24</c:v>
                </c:pt>
                <c:pt idx="927">
                  <c:v>0.67</c:v>
                </c:pt>
                <c:pt idx="928">
                  <c:v>0.47</c:v>
                </c:pt>
                <c:pt idx="929">
                  <c:v>0.33</c:v>
                </c:pt>
                <c:pt idx="930">
                  <c:v>0.61</c:v>
                </c:pt>
                <c:pt idx="931">
                  <c:v>0.61</c:v>
                </c:pt>
                <c:pt idx="932">
                  <c:v>0.4</c:v>
                </c:pt>
                <c:pt idx="933">
                  <c:v>0.61</c:v>
                </c:pt>
                <c:pt idx="934">
                  <c:v>0.61</c:v>
                </c:pt>
                <c:pt idx="935">
                  <c:v>0.3</c:v>
                </c:pt>
                <c:pt idx="936">
                  <c:v>0.3</c:v>
                </c:pt>
                <c:pt idx="937">
                  <c:v>0.63</c:v>
                </c:pt>
                <c:pt idx="938">
                  <c:v>0.38</c:v>
                </c:pt>
                <c:pt idx="939">
                  <c:v>0.46</c:v>
                </c:pt>
                <c:pt idx="940">
                  <c:v>0.33</c:v>
                </c:pt>
                <c:pt idx="941">
                  <c:v>0.27</c:v>
                </c:pt>
                <c:pt idx="942">
                  <c:v>0.43</c:v>
                </c:pt>
                <c:pt idx="943">
                  <c:v>0.5</c:v>
                </c:pt>
                <c:pt idx="944">
                  <c:v>0.3</c:v>
                </c:pt>
                <c:pt idx="945">
                  <c:v>0.44</c:v>
                </c:pt>
                <c:pt idx="946">
                  <c:v>0.44</c:v>
                </c:pt>
                <c:pt idx="947">
                  <c:v>0.28000000000000003</c:v>
                </c:pt>
                <c:pt idx="948">
                  <c:v>0.12</c:v>
                </c:pt>
                <c:pt idx="949">
                  <c:v>0.12</c:v>
                </c:pt>
                <c:pt idx="950">
                  <c:v>0.12</c:v>
                </c:pt>
                <c:pt idx="951">
                  <c:v>0.28000000000000003</c:v>
                </c:pt>
                <c:pt idx="952">
                  <c:v>0.31</c:v>
                </c:pt>
                <c:pt idx="953">
                  <c:v>0.34</c:v>
                </c:pt>
                <c:pt idx="954">
                  <c:v>0.43</c:v>
                </c:pt>
                <c:pt idx="955">
                  <c:v>0.21</c:v>
                </c:pt>
                <c:pt idx="956">
                  <c:v>0.36</c:v>
                </c:pt>
                <c:pt idx="957">
                  <c:v>0.37</c:v>
                </c:pt>
                <c:pt idx="958">
                  <c:v>0.56999999999999995</c:v>
                </c:pt>
                <c:pt idx="959">
                  <c:v>0.59</c:v>
                </c:pt>
                <c:pt idx="960">
                  <c:v>0.47</c:v>
                </c:pt>
                <c:pt idx="961">
                  <c:v>0.56000000000000005</c:v>
                </c:pt>
                <c:pt idx="962">
                  <c:v>0.56999999999999995</c:v>
                </c:pt>
                <c:pt idx="963">
                  <c:v>0.27</c:v>
                </c:pt>
                <c:pt idx="964">
                  <c:v>0.47</c:v>
                </c:pt>
                <c:pt idx="965">
                  <c:v>0.34</c:v>
                </c:pt>
                <c:pt idx="966">
                  <c:v>0.38</c:v>
                </c:pt>
                <c:pt idx="967">
                  <c:v>0.66</c:v>
                </c:pt>
                <c:pt idx="968">
                  <c:v>0.4</c:v>
                </c:pt>
                <c:pt idx="969">
                  <c:v>0.56000000000000005</c:v>
                </c:pt>
                <c:pt idx="970">
                  <c:v>0.26</c:v>
                </c:pt>
                <c:pt idx="971">
                  <c:v>0.26</c:v>
                </c:pt>
                <c:pt idx="972">
                  <c:v>0.38</c:v>
                </c:pt>
                <c:pt idx="973">
                  <c:v>0.34</c:v>
                </c:pt>
                <c:pt idx="974">
                  <c:v>0.33</c:v>
                </c:pt>
                <c:pt idx="975">
                  <c:v>0.41</c:v>
                </c:pt>
                <c:pt idx="976">
                  <c:v>0.41</c:v>
                </c:pt>
                <c:pt idx="977">
                  <c:v>0.59</c:v>
                </c:pt>
                <c:pt idx="978">
                  <c:v>0.4</c:v>
                </c:pt>
                <c:pt idx="979">
                  <c:v>0.45</c:v>
                </c:pt>
                <c:pt idx="980">
                  <c:v>0.5</c:v>
                </c:pt>
                <c:pt idx="981">
                  <c:v>0.86</c:v>
                </c:pt>
                <c:pt idx="982">
                  <c:v>0.52</c:v>
                </c:pt>
                <c:pt idx="983">
                  <c:v>0.5</c:v>
                </c:pt>
                <c:pt idx="984">
                  <c:v>0.45</c:v>
                </c:pt>
                <c:pt idx="985">
                  <c:v>0.57999999999999996</c:v>
                </c:pt>
                <c:pt idx="986">
                  <c:v>0.34</c:v>
                </c:pt>
                <c:pt idx="987">
                  <c:v>0.36</c:v>
                </c:pt>
                <c:pt idx="988">
                  <c:v>0.39</c:v>
                </c:pt>
                <c:pt idx="989">
                  <c:v>0.29499999999999998</c:v>
                </c:pt>
                <c:pt idx="990">
                  <c:v>0.39</c:v>
                </c:pt>
                <c:pt idx="991">
                  <c:v>0.34</c:v>
                </c:pt>
                <c:pt idx="992">
                  <c:v>0.4</c:v>
                </c:pt>
                <c:pt idx="993">
                  <c:v>0.34</c:v>
                </c:pt>
                <c:pt idx="994">
                  <c:v>0.35</c:v>
                </c:pt>
                <c:pt idx="995">
                  <c:v>0.6</c:v>
                </c:pt>
                <c:pt idx="996">
                  <c:v>0.66</c:v>
                </c:pt>
                <c:pt idx="997">
                  <c:v>0.66</c:v>
                </c:pt>
                <c:pt idx="998">
                  <c:v>0.84</c:v>
                </c:pt>
                <c:pt idx="999">
                  <c:v>0.69</c:v>
                </c:pt>
                <c:pt idx="1000">
                  <c:v>0.43</c:v>
                </c:pt>
                <c:pt idx="1001">
                  <c:v>0.35</c:v>
                </c:pt>
                <c:pt idx="1002">
                  <c:v>0.28999999999999998</c:v>
                </c:pt>
                <c:pt idx="1003">
                  <c:v>0.36</c:v>
                </c:pt>
                <c:pt idx="1004">
                  <c:v>0.43</c:v>
                </c:pt>
                <c:pt idx="1005">
                  <c:v>0.36</c:v>
                </c:pt>
                <c:pt idx="1006">
                  <c:v>0.28999999999999998</c:v>
                </c:pt>
                <c:pt idx="1007">
                  <c:v>0.3</c:v>
                </c:pt>
                <c:pt idx="1008">
                  <c:v>0.35</c:v>
                </c:pt>
                <c:pt idx="1009">
                  <c:v>0.5</c:v>
                </c:pt>
                <c:pt idx="1010">
                  <c:v>0.28000000000000003</c:v>
                </c:pt>
                <c:pt idx="1011">
                  <c:v>0.32</c:v>
                </c:pt>
                <c:pt idx="1012">
                  <c:v>1.0049999999999999</c:v>
                </c:pt>
                <c:pt idx="1013">
                  <c:v>0.71</c:v>
                </c:pt>
                <c:pt idx="1014">
                  <c:v>0.57999999999999996</c:v>
                </c:pt>
                <c:pt idx="1015">
                  <c:v>0.39</c:v>
                </c:pt>
                <c:pt idx="1016">
                  <c:v>0.38</c:v>
                </c:pt>
                <c:pt idx="1017">
                  <c:v>0.18</c:v>
                </c:pt>
                <c:pt idx="1018">
                  <c:v>0.18</c:v>
                </c:pt>
                <c:pt idx="1019">
                  <c:v>0.5</c:v>
                </c:pt>
                <c:pt idx="1020">
                  <c:v>0.36</c:v>
                </c:pt>
                <c:pt idx="1021">
                  <c:v>0.36</c:v>
                </c:pt>
                <c:pt idx="1022">
                  <c:v>0.51</c:v>
                </c:pt>
                <c:pt idx="1023">
                  <c:v>0.32</c:v>
                </c:pt>
                <c:pt idx="1024">
                  <c:v>0.57999999999999996</c:v>
                </c:pt>
                <c:pt idx="1025">
                  <c:v>0.83</c:v>
                </c:pt>
                <c:pt idx="1026">
                  <c:v>0.31</c:v>
                </c:pt>
                <c:pt idx="1027">
                  <c:v>0.79500000000000004</c:v>
                </c:pt>
                <c:pt idx="1028">
                  <c:v>0.34</c:v>
                </c:pt>
                <c:pt idx="1029">
                  <c:v>0.57999999999999996</c:v>
                </c:pt>
                <c:pt idx="1030">
                  <c:v>0.59</c:v>
                </c:pt>
                <c:pt idx="1031">
                  <c:v>0.55000000000000004</c:v>
                </c:pt>
                <c:pt idx="1032">
                  <c:v>0.82</c:v>
                </c:pt>
                <c:pt idx="1033">
                  <c:v>0.56999999999999995</c:v>
                </c:pt>
                <c:pt idx="1034">
                  <c:v>0.745</c:v>
                </c:pt>
                <c:pt idx="1035">
                  <c:v>0.37</c:v>
                </c:pt>
                <c:pt idx="1036">
                  <c:v>0.31</c:v>
                </c:pt>
                <c:pt idx="1037">
                  <c:v>0.91</c:v>
                </c:pt>
                <c:pt idx="1038">
                  <c:v>0.41</c:v>
                </c:pt>
                <c:pt idx="1039">
                  <c:v>0.5</c:v>
                </c:pt>
                <c:pt idx="1040">
                  <c:v>0.96499999999999997</c:v>
                </c:pt>
                <c:pt idx="1041">
                  <c:v>0.49</c:v>
                </c:pt>
                <c:pt idx="1042">
                  <c:v>0.5</c:v>
                </c:pt>
                <c:pt idx="1043">
                  <c:v>0.39</c:v>
                </c:pt>
                <c:pt idx="1044">
                  <c:v>0.39</c:v>
                </c:pt>
                <c:pt idx="1045">
                  <c:v>0.44</c:v>
                </c:pt>
                <c:pt idx="1046">
                  <c:v>0.78</c:v>
                </c:pt>
                <c:pt idx="1047">
                  <c:v>0.43</c:v>
                </c:pt>
                <c:pt idx="1048">
                  <c:v>0.49</c:v>
                </c:pt>
                <c:pt idx="1049">
                  <c:v>0.5</c:v>
                </c:pt>
                <c:pt idx="1050">
                  <c:v>0.43</c:v>
                </c:pt>
                <c:pt idx="1051">
                  <c:v>0.46</c:v>
                </c:pt>
                <c:pt idx="1052">
                  <c:v>0.60499999999999998</c:v>
                </c:pt>
                <c:pt idx="1053">
                  <c:v>0.33</c:v>
                </c:pt>
                <c:pt idx="1054">
                  <c:v>0.64</c:v>
                </c:pt>
                <c:pt idx="1055">
                  <c:v>0.64</c:v>
                </c:pt>
                <c:pt idx="1056">
                  <c:v>0.48</c:v>
                </c:pt>
                <c:pt idx="1057">
                  <c:v>0.42</c:v>
                </c:pt>
                <c:pt idx="1058">
                  <c:v>0.53</c:v>
                </c:pt>
                <c:pt idx="1059">
                  <c:v>0.48</c:v>
                </c:pt>
                <c:pt idx="1060">
                  <c:v>0.23</c:v>
                </c:pt>
                <c:pt idx="1061">
                  <c:v>0.4</c:v>
                </c:pt>
                <c:pt idx="1062">
                  <c:v>0.38</c:v>
                </c:pt>
                <c:pt idx="1063">
                  <c:v>0.28999999999999998</c:v>
                </c:pt>
                <c:pt idx="1064">
                  <c:v>0.74</c:v>
                </c:pt>
                <c:pt idx="1065">
                  <c:v>0.61</c:v>
                </c:pt>
                <c:pt idx="1066">
                  <c:v>0.52</c:v>
                </c:pt>
                <c:pt idx="1067">
                  <c:v>0.31</c:v>
                </c:pt>
                <c:pt idx="1068">
                  <c:v>0.31</c:v>
                </c:pt>
                <c:pt idx="1069">
                  <c:v>0.62</c:v>
                </c:pt>
                <c:pt idx="1070">
                  <c:v>0.33</c:v>
                </c:pt>
                <c:pt idx="1071">
                  <c:v>0.77</c:v>
                </c:pt>
                <c:pt idx="1072">
                  <c:v>0.35</c:v>
                </c:pt>
                <c:pt idx="1073">
                  <c:v>0.62</c:v>
                </c:pt>
                <c:pt idx="1074">
                  <c:v>0.77</c:v>
                </c:pt>
                <c:pt idx="1075">
                  <c:v>0.25</c:v>
                </c:pt>
                <c:pt idx="1076">
                  <c:v>0.32</c:v>
                </c:pt>
                <c:pt idx="1077">
                  <c:v>0.37</c:v>
                </c:pt>
                <c:pt idx="1078">
                  <c:v>0.37</c:v>
                </c:pt>
                <c:pt idx="1079">
                  <c:v>0.3</c:v>
                </c:pt>
                <c:pt idx="1080">
                  <c:v>0.27</c:v>
                </c:pt>
                <c:pt idx="1081">
                  <c:v>0.3</c:v>
                </c:pt>
                <c:pt idx="1082">
                  <c:v>0.38</c:v>
                </c:pt>
                <c:pt idx="1083">
                  <c:v>0.42</c:v>
                </c:pt>
                <c:pt idx="1084">
                  <c:v>0.38</c:v>
                </c:pt>
                <c:pt idx="1085">
                  <c:v>0.48</c:v>
                </c:pt>
                <c:pt idx="1086">
                  <c:v>0.34</c:v>
                </c:pt>
                <c:pt idx="1087">
                  <c:v>0.19</c:v>
                </c:pt>
                <c:pt idx="1088">
                  <c:v>0.41</c:v>
                </c:pt>
                <c:pt idx="1089">
                  <c:v>0.41</c:v>
                </c:pt>
                <c:pt idx="1090">
                  <c:v>0.26</c:v>
                </c:pt>
                <c:pt idx="1091">
                  <c:v>0.34</c:v>
                </c:pt>
                <c:pt idx="1092">
                  <c:v>0.54</c:v>
                </c:pt>
                <c:pt idx="1093">
                  <c:v>0.31</c:v>
                </c:pt>
                <c:pt idx="1094">
                  <c:v>0.72499999999999998</c:v>
                </c:pt>
                <c:pt idx="1095">
                  <c:v>0.4</c:v>
                </c:pt>
                <c:pt idx="1096">
                  <c:v>0.72499999999999998</c:v>
                </c:pt>
                <c:pt idx="1097">
                  <c:v>0.52</c:v>
                </c:pt>
                <c:pt idx="1098">
                  <c:v>0.31</c:v>
                </c:pt>
                <c:pt idx="1099">
                  <c:v>0.52</c:v>
                </c:pt>
                <c:pt idx="1100">
                  <c:v>0.34</c:v>
                </c:pt>
                <c:pt idx="1101">
                  <c:v>0.49</c:v>
                </c:pt>
                <c:pt idx="1102">
                  <c:v>0.48</c:v>
                </c:pt>
                <c:pt idx="1103">
                  <c:v>0.49</c:v>
                </c:pt>
                <c:pt idx="1104">
                  <c:v>0.48</c:v>
                </c:pt>
                <c:pt idx="1105">
                  <c:v>0.56999999999999995</c:v>
                </c:pt>
                <c:pt idx="1106">
                  <c:v>0.23</c:v>
                </c:pt>
                <c:pt idx="1107">
                  <c:v>0.3</c:v>
                </c:pt>
                <c:pt idx="1108">
                  <c:v>0.78</c:v>
                </c:pt>
                <c:pt idx="1109">
                  <c:v>0.47</c:v>
                </c:pt>
                <c:pt idx="1110">
                  <c:v>0.53</c:v>
                </c:pt>
                <c:pt idx="1111">
                  <c:v>0.42</c:v>
                </c:pt>
                <c:pt idx="1112">
                  <c:v>0.33</c:v>
                </c:pt>
                <c:pt idx="1113">
                  <c:v>0.24</c:v>
                </c:pt>
                <c:pt idx="1114">
                  <c:v>0.4</c:v>
                </c:pt>
                <c:pt idx="1115">
                  <c:v>0.69</c:v>
                </c:pt>
                <c:pt idx="1116">
                  <c:v>0.69</c:v>
                </c:pt>
                <c:pt idx="1117">
                  <c:v>0.69</c:v>
                </c:pt>
                <c:pt idx="1118">
                  <c:v>0.39</c:v>
                </c:pt>
                <c:pt idx="1119">
                  <c:v>0.66</c:v>
                </c:pt>
                <c:pt idx="1120">
                  <c:v>0.54</c:v>
                </c:pt>
                <c:pt idx="1121">
                  <c:v>0.5</c:v>
                </c:pt>
                <c:pt idx="1122">
                  <c:v>0.47</c:v>
                </c:pt>
                <c:pt idx="1123">
                  <c:v>0.4</c:v>
                </c:pt>
                <c:pt idx="1124">
                  <c:v>0.57999999999999996</c:v>
                </c:pt>
                <c:pt idx="1125">
                  <c:v>0.24</c:v>
                </c:pt>
                <c:pt idx="1126">
                  <c:v>0.28999999999999998</c:v>
                </c:pt>
                <c:pt idx="1127">
                  <c:v>0.76</c:v>
                </c:pt>
                <c:pt idx="1128">
                  <c:v>0.43</c:v>
                </c:pt>
                <c:pt idx="1129">
                  <c:v>0.43</c:v>
                </c:pt>
                <c:pt idx="1130">
                  <c:v>0.6</c:v>
                </c:pt>
                <c:pt idx="1131">
                  <c:v>0.19</c:v>
                </c:pt>
                <c:pt idx="1132">
                  <c:v>0.36</c:v>
                </c:pt>
                <c:pt idx="1133">
                  <c:v>0.48</c:v>
                </c:pt>
                <c:pt idx="1134">
                  <c:v>0.28000000000000003</c:v>
                </c:pt>
                <c:pt idx="1135">
                  <c:v>0.25</c:v>
                </c:pt>
                <c:pt idx="1136">
                  <c:v>0.52</c:v>
                </c:pt>
                <c:pt idx="1137">
                  <c:v>0.52</c:v>
                </c:pt>
                <c:pt idx="1138">
                  <c:v>0.41</c:v>
                </c:pt>
                <c:pt idx="1139">
                  <c:v>0.51</c:v>
                </c:pt>
                <c:pt idx="1140">
                  <c:v>0.4</c:v>
                </c:pt>
                <c:pt idx="1141">
                  <c:v>0.38</c:v>
                </c:pt>
                <c:pt idx="1142">
                  <c:v>0.45</c:v>
                </c:pt>
                <c:pt idx="1143">
                  <c:v>0.22</c:v>
                </c:pt>
                <c:pt idx="1144">
                  <c:v>0.32</c:v>
                </c:pt>
                <c:pt idx="1145">
                  <c:v>0.2</c:v>
                </c:pt>
                <c:pt idx="1146">
                  <c:v>0.5</c:v>
                </c:pt>
                <c:pt idx="1147">
                  <c:v>0.41</c:v>
                </c:pt>
                <c:pt idx="1148">
                  <c:v>0.39</c:v>
                </c:pt>
                <c:pt idx="1149">
                  <c:v>0.35</c:v>
                </c:pt>
                <c:pt idx="1150">
                  <c:v>0.33</c:v>
                </c:pt>
                <c:pt idx="1151">
                  <c:v>0.57999999999999996</c:v>
                </c:pt>
                <c:pt idx="1152">
                  <c:v>0.6</c:v>
                </c:pt>
                <c:pt idx="1153">
                  <c:v>0.42</c:v>
                </c:pt>
                <c:pt idx="1154">
                  <c:v>0.57999999999999996</c:v>
                </c:pt>
                <c:pt idx="1155">
                  <c:v>0.6</c:v>
                </c:pt>
                <c:pt idx="1156">
                  <c:v>0.18</c:v>
                </c:pt>
                <c:pt idx="1157">
                  <c:v>0.51</c:v>
                </c:pt>
                <c:pt idx="1158">
                  <c:v>0.41</c:v>
                </c:pt>
                <c:pt idx="1159">
                  <c:v>0.41</c:v>
                </c:pt>
                <c:pt idx="1160">
                  <c:v>0.36</c:v>
                </c:pt>
                <c:pt idx="1161">
                  <c:v>0.45</c:v>
                </c:pt>
                <c:pt idx="1162">
                  <c:v>0.32</c:v>
                </c:pt>
                <c:pt idx="1163">
                  <c:v>0.78500000000000003</c:v>
                </c:pt>
                <c:pt idx="1164">
                  <c:v>0.78500000000000003</c:v>
                </c:pt>
                <c:pt idx="1165">
                  <c:v>0.44</c:v>
                </c:pt>
                <c:pt idx="1166">
                  <c:v>0.54</c:v>
                </c:pt>
                <c:pt idx="1167">
                  <c:v>0.33</c:v>
                </c:pt>
                <c:pt idx="1168">
                  <c:v>0.34</c:v>
                </c:pt>
                <c:pt idx="1169">
                  <c:v>0.5</c:v>
                </c:pt>
                <c:pt idx="1170">
                  <c:v>0.36</c:v>
                </c:pt>
                <c:pt idx="1171">
                  <c:v>0.59</c:v>
                </c:pt>
                <c:pt idx="1172">
                  <c:v>0.42</c:v>
                </c:pt>
                <c:pt idx="1173">
                  <c:v>0.36</c:v>
                </c:pt>
                <c:pt idx="1174">
                  <c:v>0.36</c:v>
                </c:pt>
                <c:pt idx="1175">
                  <c:v>0.61</c:v>
                </c:pt>
                <c:pt idx="1176">
                  <c:v>0.88</c:v>
                </c:pt>
                <c:pt idx="1177">
                  <c:v>0.66</c:v>
                </c:pt>
                <c:pt idx="1178">
                  <c:v>0.91500000000000004</c:v>
                </c:pt>
                <c:pt idx="1179">
                  <c:v>0.35</c:v>
                </c:pt>
                <c:pt idx="1180">
                  <c:v>0.35</c:v>
                </c:pt>
                <c:pt idx="1181">
                  <c:v>0.39</c:v>
                </c:pt>
                <c:pt idx="1182">
                  <c:v>0.4</c:v>
                </c:pt>
                <c:pt idx="1183">
                  <c:v>0.66</c:v>
                </c:pt>
                <c:pt idx="1184">
                  <c:v>0.64</c:v>
                </c:pt>
                <c:pt idx="1185">
                  <c:v>0.43</c:v>
                </c:pt>
                <c:pt idx="1186">
                  <c:v>0.8</c:v>
                </c:pt>
                <c:pt idx="1187">
                  <c:v>0.43</c:v>
                </c:pt>
                <c:pt idx="1188">
                  <c:v>0.64</c:v>
                </c:pt>
                <c:pt idx="1189">
                  <c:v>0.95499999999999996</c:v>
                </c:pt>
                <c:pt idx="1190">
                  <c:v>0.4</c:v>
                </c:pt>
                <c:pt idx="1191">
                  <c:v>0.88500000000000001</c:v>
                </c:pt>
                <c:pt idx="1192">
                  <c:v>0.25</c:v>
                </c:pt>
                <c:pt idx="1193">
                  <c:v>0.88500000000000001</c:v>
                </c:pt>
                <c:pt idx="1194">
                  <c:v>0.745</c:v>
                </c:pt>
                <c:pt idx="1195">
                  <c:v>0.43</c:v>
                </c:pt>
                <c:pt idx="1196">
                  <c:v>0.57999999999999996</c:v>
                </c:pt>
                <c:pt idx="1197">
                  <c:v>0.56999999999999995</c:v>
                </c:pt>
                <c:pt idx="1198">
                  <c:v>0.26</c:v>
                </c:pt>
                <c:pt idx="1199">
                  <c:v>0.57999999999999996</c:v>
                </c:pt>
                <c:pt idx="1200">
                  <c:v>0.56999999999999995</c:v>
                </c:pt>
                <c:pt idx="1201">
                  <c:v>0.34</c:v>
                </c:pt>
                <c:pt idx="1202">
                  <c:v>0.42</c:v>
                </c:pt>
                <c:pt idx="1203">
                  <c:v>0.74</c:v>
                </c:pt>
                <c:pt idx="1204">
                  <c:v>0.36</c:v>
                </c:pt>
                <c:pt idx="1205">
                  <c:v>0.36</c:v>
                </c:pt>
                <c:pt idx="1206">
                  <c:v>0.36</c:v>
                </c:pt>
                <c:pt idx="1207">
                  <c:v>0.72</c:v>
                </c:pt>
                <c:pt idx="1208">
                  <c:v>0.36</c:v>
                </c:pt>
                <c:pt idx="1209">
                  <c:v>0.39</c:v>
                </c:pt>
                <c:pt idx="1210">
                  <c:v>0.65</c:v>
                </c:pt>
                <c:pt idx="1211">
                  <c:v>0.44</c:v>
                </c:pt>
                <c:pt idx="1212">
                  <c:v>0.65</c:v>
                </c:pt>
                <c:pt idx="1213">
                  <c:v>0.38</c:v>
                </c:pt>
                <c:pt idx="1214">
                  <c:v>0.33</c:v>
                </c:pt>
                <c:pt idx="1215">
                  <c:v>0.27</c:v>
                </c:pt>
                <c:pt idx="1216">
                  <c:v>0.56999999999999995</c:v>
                </c:pt>
                <c:pt idx="1217">
                  <c:v>0.34</c:v>
                </c:pt>
                <c:pt idx="1218">
                  <c:v>0.4</c:v>
                </c:pt>
                <c:pt idx="1219">
                  <c:v>0.39</c:v>
                </c:pt>
                <c:pt idx="1220">
                  <c:v>0.32</c:v>
                </c:pt>
                <c:pt idx="1221">
                  <c:v>0.32</c:v>
                </c:pt>
                <c:pt idx="1222">
                  <c:v>0.53</c:v>
                </c:pt>
                <c:pt idx="1223">
                  <c:v>0.36</c:v>
                </c:pt>
                <c:pt idx="1224">
                  <c:v>0.39</c:v>
                </c:pt>
                <c:pt idx="1225">
                  <c:v>0.46</c:v>
                </c:pt>
                <c:pt idx="1226">
                  <c:v>0.57999999999999996</c:v>
                </c:pt>
                <c:pt idx="1227">
                  <c:v>0.57999999999999996</c:v>
                </c:pt>
                <c:pt idx="1228">
                  <c:v>0.42</c:v>
                </c:pt>
                <c:pt idx="1229">
                  <c:v>0.43</c:v>
                </c:pt>
                <c:pt idx="1230">
                  <c:v>0.18</c:v>
                </c:pt>
                <c:pt idx="1231">
                  <c:v>0.81499999999999995</c:v>
                </c:pt>
                <c:pt idx="1232">
                  <c:v>0.43</c:v>
                </c:pt>
                <c:pt idx="1233">
                  <c:v>0.23</c:v>
                </c:pt>
                <c:pt idx="1234">
                  <c:v>0.75</c:v>
                </c:pt>
                <c:pt idx="1235">
                  <c:v>0.33</c:v>
                </c:pt>
                <c:pt idx="1236">
                  <c:v>0.55000000000000004</c:v>
                </c:pt>
                <c:pt idx="1237">
                  <c:v>0.75</c:v>
                </c:pt>
                <c:pt idx="1238">
                  <c:v>0.73</c:v>
                </c:pt>
                <c:pt idx="1239">
                  <c:v>0.67</c:v>
                </c:pt>
                <c:pt idx="1240">
                  <c:v>0.61</c:v>
                </c:pt>
                <c:pt idx="1241">
                  <c:v>0.37</c:v>
                </c:pt>
                <c:pt idx="1242">
                  <c:v>0.4</c:v>
                </c:pt>
                <c:pt idx="1243">
                  <c:v>0.56000000000000005</c:v>
                </c:pt>
                <c:pt idx="1244">
                  <c:v>0.28999999999999998</c:v>
                </c:pt>
                <c:pt idx="1245">
                  <c:v>0.55000000000000004</c:v>
                </c:pt>
                <c:pt idx="1246">
                  <c:v>0.74</c:v>
                </c:pt>
                <c:pt idx="1247">
                  <c:v>0.55000000000000004</c:v>
                </c:pt>
                <c:pt idx="1248">
                  <c:v>0.41</c:v>
                </c:pt>
                <c:pt idx="1249">
                  <c:v>0.6</c:v>
                </c:pt>
                <c:pt idx="1250">
                  <c:v>0.6</c:v>
                </c:pt>
                <c:pt idx="1251">
                  <c:v>0.57999999999999996</c:v>
                </c:pt>
                <c:pt idx="1252">
                  <c:v>0.72</c:v>
                </c:pt>
                <c:pt idx="1253">
                  <c:v>0.66</c:v>
                </c:pt>
                <c:pt idx="1254">
                  <c:v>0.7</c:v>
                </c:pt>
                <c:pt idx="1255">
                  <c:v>0.64</c:v>
                </c:pt>
                <c:pt idx="1256">
                  <c:v>0.59</c:v>
                </c:pt>
                <c:pt idx="1257">
                  <c:v>0.57999999999999996</c:v>
                </c:pt>
                <c:pt idx="1258">
                  <c:v>0.64</c:v>
                </c:pt>
                <c:pt idx="1259">
                  <c:v>0.64</c:v>
                </c:pt>
                <c:pt idx="1260">
                  <c:v>0.63500000000000001</c:v>
                </c:pt>
                <c:pt idx="1261">
                  <c:v>1.02</c:v>
                </c:pt>
                <c:pt idx="1262">
                  <c:v>0.45</c:v>
                </c:pt>
                <c:pt idx="1263">
                  <c:v>0.78</c:v>
                </c:pt>
                <c:pt idx="1264">
                  <c:v>0.37</c:v>
                </c:pt>
                <c:pt idx="1265">
                  <c:v>0.56999999999999995</c:v>
                </c:pt>
                <c:pt idx="1266">
                  <c:v>0.56999999999999995</c:v>
                </c:pt>
                <c:pt idx="1267">
                  <c:v>0.43</c:v>
                </c:pt>
                <c:pt idx="1268">
                  <c:v>0.41</c:v>
                </c:pt>
                <c:pt idx="1269">
                  <c:v>0.49</c:v>
                </c:pt>
                <c:pt idx="1270">
                  <c:v>0.38</c:v>
                </c:pt>
                <c:pt idx="1271">
                  <c:v>0.44</c:v>
                </c:pt>
                <c:pt idx="1272">
                  <c:v>0.46</c:v>
                </c:pt>
                <c:pt idx="1273">
                  <c:v>0.57999999999999996</c:v>
                </c:pt>
                <c:pt idx="1274">
                  <c:v>0.57999999999999996</c:v>
                </c:pt>
                <c:pt idx="1275">
                  <c:v>0.71499999999999997</c:v>
                </c:pt>
                <c:pt idx="1276">
                  <c:v>0.4</c:v>
                </c:pt>
                <c:pt idx="1277">
                  <c:v>0.69</c:v>
                </c:pt>
                <c:pt idx="1278">
                  <c:v>0.71499999999999997</c:v>
                </c:pt>
                <c:pt idx="1279">
                  <c:v>0.3</c:v>
                </c:pt>
                <c:pt idx="1280">
                  <c:v>0.46</c:v>
                </c:pt>
                <c:pt idx="1281">
                  <c:v>0.46</c:v>
                </c:pt>
                <c:pt idx="1282">
                  <c:v>0.76500000000000001</c:v>
                </c:pt>
                <c:pt idx="1283">
                  <c:v>0.63</c:v>
                </c:pt>
                <c:pt idx="1284">
                  <c:v>0.42</c:v>
                </c:pt>
                <c:pt idx="1285">
                  <c:v>0.37</c:v>
                </c:pt>
                <c:pt idx="1286">
                  <c:v>0.16</c:v>
                </c:pt>
                <c:pt idx="1287">
                  <c:v>0.6</c:v>
                </c:pt>
                <c:pt idx="1288">
                  <c:v>0.6</c:v>
                </c:pt>
                <c:pt idx="1289">
                  <c:v>0.6</c:v>
                </c:pt>
                <c:pt idx="1290">
                  <c:v>0.74</c:v>
                </c:pt>
                <c:pt idx="1291">
                  <c:v>0.63500000000000001</c:v>
                </c:pt>
                <c:pt idx="1292">
                  <c:v>0.39500000000000002</c:v>
                </c:pt>
                <c:pt idx="1293">
                  <c:v>0.755</c:v>
                </c:pt>
                <c:pt idx="1294">
                  <c:v>0.63500000000000001</c:v>
                </c:pt>
                <c:pt idx="1295">
                  <c:v>0.63</c:v>
                </c:pt>
                <c:pt idx="1296">
                  <c:v>0.63</c:v>
                </c:pt>
                <c:pt idx="1297">
                  <c:v>0.53</c:v>
                </c:pt>
                <c:pt idx="1298">
                  <c:v>0.6</c:v>
                </c:pt>
                <c:pt idx="1299">
                  <c:v>1.58</c:v>
                </c:pt>
                <c:pt idx="1300">
                  <c:v>0.64500000000000002</c:v>
                </c:pt>
                <c:pt idx="1301">
                  <c:v>0.86</c:v>
                </c:pt>
                <c:pt idx="1302">
                  <c:v>0.37</c:v>
                </c:pt>
                <c:pt idx="1303">
                  <c:v>0.28000000000000003</c:v>
                </c:pt>
                <c:pt idx="1304">
                  <c:v>0.79</c:v>
                </c:pt>
                <c:pt idx="1305">
                  <c:v>0.61</c:v>
                </c:pt>
                <c:pt idx="1306">
                  <c:v>0.69</c:v>
                </c:pt>
                <c:pt idx="1307">
                  <c:v>0.68</c:v>
                </c:pt>
                <c:pt idx="1308">
                  <c:v>0.69</c:v>
                </c:pt>
                <c:pt idx="1309">
                  <c:v>0.62</c:v>
                </c:pt>
                <c:pt idx="1310">
                  <c:v>0.61</c:v>
                </c:pt>
                <c:pt idx="1311">
                  <c:v>0.51</c:v>
                </c:pt>
                <c:pt idx="1312">
                  <c:v>1.18</c:v>
                </c:pt>
                <c:pt idx="1313">
                  <c:v>0.36</c:v>
                </c:pt>
                <c:pt idx="1314">
                  <c:v>0.36</c:v>
                </c:pt>
                <c:pt idx="1315">
                  <c:v>0.63</c:v>
                </c:pt>
                <c:pt idx="1316">
                  <c:v>0.74</c:v>
                </c:pt>
                <c:pt idx="1317">
                  <c:v>0.44</c:v>
                </c:pt>
                <c:pt idx="1318">
                  <c:v>0.63</c:v>
                </c:pt>
                <c:pt idx="1319">
                  <c:v>0.76</c:v>
                </c:pt>
                <c:pt idx="1320">
                  <c:v>0.66</c:v>
                </c:pt>
                <c:pt idx="1321">
                  <c:v>0.74</c:v>
                </c:pt>
                <c:pt idx="1322">
                  <c:v>0.34</c:v>
                </c:pt>
                <c:pt idx="1323">
                  <c:v>0.36</c:v>
                </c:pt>
                <c:pt idx="1324">
                  <c:v>0.46</c:v>
                </c:pt>
                <c:pt idx="1325">
                  <c:v>0.46</c:v>
                </c:pt>
                <c:pt idx="1326">
                  <c:v>0.46</c:v>
                </c:pt>
                <c:pt idx="1327">
                  <c:v>0.46</c:v>
                </c:pt>
                <c:pt idx="1328">
                  <c:v>0.52</c:v>
                </c:pt>
                <c:pt idx="1329">
                  <c:v>0.6</c:v>
                </c:pt>
                <c:pt idx="1330">
                  <c:v>0.6</c:v>
                </c:pt>
                <c:pt idx="1331">
                  <c:v>0.87</c:v>
                </c:pt>
                <c:pt idx="1332">
                  <c:v>0.39</c:v>
                </c:pt>
                <c:pt idx="1333">
                  <c:v>0.77500000000000002</c:v>
                </c:pt>
                <c:pt idx="1334">
                  <c:v>0.83499999999999996</c:v>
                </c:pt>
                <c:pt idx="1335">
                  <c:v>0.57999999999999996</c:v>
                </c:pt>
                <c:pt idx="1336">
                  <c:v>0.5</c:v>
                </c:pt>
                <c:pt idx="1337">
                  <c:v>0.5</c:v>
                </c:pt>
                <c:pt idx="1338">
                  <c:v>0.5</c:v>
                </c:pt>
                <c:pt idx="1339">
                  <c:v>0.51</c:v>
                </c:pt>
                <c:pt idx="1340">
                  <c:v>0.51</c:v>
                </c:pt>
                <c:pt idx="1341">
                  <c:v>0.51</c:v>
                </c:pt>
                <c:pt idx="1342">
                  <c:v>0.54</c:v>
                </c:pt>
                <c:pt idx="1343">
                  <c:v>0.51</c:v>
                </c:pt>
                <c:pt idx="1344">
                  <c:v>0.42</c:v>
                </c:pt>
                <c:pt idx="1345">
                  <c:v>0.44</c:v>
                </c:pt>
                <c:pt idx="1346">
                  <c:v>0.59</c:v>
                </c:pt>
                <c:pt idx="1347">
                  <c:v>0.65500000000000003</c:v>
                </c:pt>
                <c:pt idx="1348">
                  <c:v>0.65500000000000003</c:v>
                </c:pt>
                <c:pt idx="1349">
                  <c:v>0.56999999999999995</c:v>
                </c:pt>
                <c:pt idx="1350">
                  <c:v>0.6</c:v>
                </c:pt>
                <c:pt idx="1351">
                  <c:v>0.62</c:v>
                </c:pt>
                <c:pt idx="1352">
                  <c:v>0.64500000000000002</c:v>
                </c:pt>
                <c:pt idx="1353">
                  <c:v>0.64500000000000002</c:v>
                </c:pt>
                <c:pt idx="1354">
                  <c:v>0.57999999999999996</c:v>
                </c:pt>
                <c:pt idx="1355">
                  <c:v>0.32</c:v>
                </c:pt>
                <c:pt idx="1356">
                  <c:v>0.34</c:v>
                </c:pt>
                <c:pt idx="1357">
                  <c:v>0.43</c:v>
                </c:pt>
                <c:pt idx="1358">
                  <c:v>0.64</c:v>
                </c:pt>
                <c:pt idx="1359">
                  <c:v>0.47499999999999998</c:v>
                </c:pt>
                <c:pt idx="1360">
                  <c:v>0.54</c:v>
                </c:pt>
                <c:pt idx="1361">
                  <c:v>0.85</c:v>
                </c:pt>
                <c:pt idx="1362">
                  <c:v>0.47499999999999998</c:v>
                </c:pt>
                <c:pt idx="1363">
                  <c:v>0.83</c:v>
                </c:pt>
                <c:pt idx="1364">
                  <c:v>0.60499999999999998</c:v>
                </c:pt>
                <c:pt idx="1365">
                  <c:v>0.5</c:v>
                </c:pt>
                <c:pt idx="1366">
                  <c:v>0.74</c:v>
                </c:pt>
                <c:pt idx="1367">
                  <c:v>0.54</c:v>
                </c:pt>
                <c:pt idx="1368">
                  <c:v>0.77</c:v>
                </c:pt>
                <c:pt idx="1369">
                  <c:v>0.61</c:v>
                </c:pt>
                <c:pt idx="1370">
                  <c:v>0.78</c:v>
                </c:pt>
                <c:pt idx="1371">
                  <c:v>0.57999999999999996</c:v>
                </c:pt>
                <c:pt idx="1372">
                  <c:v>0.78</c:v>
                </c:pt>
                <c:pt idx="1373">
                  <c:v>0.75</c:v>
                </c:pt>
                <c:pt idx="1374">
                  <c:v>0.81499999999999995</c:v>
                </c:pt>
                <c:pt idx="1375">
                  <c:v>0.56000000000000005</c:v>
                </c:pt>
                <c:pt idx="1376">
                  <c:v>0.88500000000000001</c:v>
                </c:pt>
                <c:pt idx="1377">
                  <c:v>0.49</c:v>
                </c:pt>
                <c:pt idx="1378">
                  <c:v>0.45</c:v>
                </c:pt>
                <c:pt idx="1379">
                  <c:v>0.56999999999999995</c:v>
                </c:pt>
                <c:pt idx="1380">
                  <c:v>0.56999999999999995</c:v>
                </c:pt>
                <c:pt idx="1381">
                  <c:v>0.83</c:v>
                </c:pt>
                <c:pt idx="1382">
                  <c:v>0.6</c:v>
                </c:pt>
                <c:pt idx="1383">
                  <c:v>0.6</c:v>
                </c:pt>
                <c:pt idx="1384">
                  <c:v>0.755</c:v>
                </c:pt>
                <c:pt idx="1385">
                  <c:v>0.81</c:v>
                </c:pt>
                <c:pt idx="1386">
                  <c:v>0.64</c:v>
                </c:pt>
                <c:pt idx="1387">
                  <c:v>0.64</c:v>
                </c:pt>
                <c:pt idx="1388">
                  <c:v>0.64</c:v>
                </c:pt>
                <c:pt idx="1389">
                  <c:v>0.48</c:v>
                </c:pt>
                <c:pt idx="1390">
                  <c:v>0.49</c:v>
                </c:pt>
                <c:pt idx="1391">
                  <c:v>0.64</c:v>
                </c:pt>
                <c:pt idx="1392">
                  <c:v>0.62</c:v>
                </c:pt>
                <c:pt idx="1393">
                  <c:v>0.52</c:v>
                </c:pt>
                <c:pt idx="1394">
                  <c:v>0.56999999999999995</c:v>
                </c:pt>
                <c:pt idx="1395">
                  <c:v>0.68500000000000005</c:v>
                </c:pt>
                <c:pt idx="1396">
                  <c:v>0.67500000000000004</c:v>
                </c:pt>
                <c:pt idx="1397">
                  <c:v>0.59</c:v>
                </c:pt>
                <c:pt idx="1398">
                  <c:v>0.6</c:v>
                </c:pt>
                <c:pt idx="1399">
                  <c:v>0.67</c:v>
                </c:pt>
                <c:pt idx="1400">
                  <c:v>0.69</c:v>
                </c:pt>
                <c:pt idx="1401">
                  <c:v>0.69</c:v>
                </c:pt>
                <c:pt idx="1402">
                  <c:v>0.3</c:v>
                </c:pt>
                <c:pt idx="1403">
                  <c:v>0.33</c:v>
                </c:pt>
                <c:pt idx="1404">
                  <c:v>0.5</c:v>
                </c:pt>
                <c:pt idx="1405">
                  <c:v>0.28000000000000003</c:v>
                </c:pt>
                <c:pt idx="1406">
                  <c:v>0.24</c:v>
                </c:pt>
                <c:pt idx="1407">
                  <c:v>0.51</c:v>
                </c:pt>
                <c:pt idx="1408">
                  <c:v>0.28999999999999998</c:v>
                </c:pt>
                <c:pt idx="1409">
                  <c:v>0.51</c:v>
                </c:pt>
                <c:pt idx="1410">
                  <c:v>0.96</c:v>
                </c:pt>
                <c:pt idx="1411">
                  <c:v>0.47</c:v>
                </c:pt>
                <c:pt idx="1412">
                  <c:v>0.24</c:v>
                </c:pt>
                <c:pt idx="1413">
                  <c:v>0.56999999999999995</c:v>
                </c:pt>
                <c:pt idx="1414">
                  <c:v>0.32</c:v>
                </c:pt>
                <c:pt idx="1415">
                  <c:v>0.57999999999999996</c:v>
                </c:pt>
                <c:pt idx="1416">
                  <c:v>0.32</c:v>
                </c:pt>
                <c:pt idx="1417">
                  <c:v>0.34</c:v>
                </c:pt>
                <c:pt idx="1418">
                  <c:v>0.53</c:v>
                </c:pt>
                <c:pt idx="1419">
                  <c:v>0.64</c:v>
                </c:pt>
                <c:pt idx="1420">
                  <c:v>0.53</c:v>
                </c:pt>
                <c:pt idx="1421">
                  <c:v>0.4</c:v>
                </c:pt>
                <c:pt idx="1422">
                  <c:v>0.54</c:v>
                </c:pt>
                <c:pt idx="1423">
                  <c:v>0.53</c:v>
                </c:pt>
                <c:pt idx="1424">
                  <c:v>0.26</c:v>
                </c:pt>
                <c:pt idx="1425">
                  <c:v>0.26</c:v>
                </c:pt>
                <c:pt idx="1426">
                  <c:v>0.23</c:v>
                </c:pt>
                <c:pt idx="1427">
                  <c:v>0.41</c:v>
                </c:pt>
                <c:pt idx="1428">
                  <c:v>0.64</c:v>
                </c:pt>
                <c:pt idx="1429">
                  <c:v>0.18</c:v>
                </c:pt>
                <c:pt idx="1430">
                  <c:v>0.41</c:v>
                </c:pt>
                <c:pt idx="1431">
                  <c:v>0.43</c:v>
                </c:pt>
                <c:pt idx="1432">
                  <c:v>0.44</c:v>
                </c:pt>
                <c:pt idx="1433">
                  <c:v>0.4</c:v>
                </c:pt>
                <c:pt idx="1434">
                  <c:v>0.54</c:v>
                </c:pt>
                <c:pt idx="1435">
                  <c:v>0.54</c:v>
                </c:pt>
                <c:pt idx="1436">
                  <c:v>0.38</c:v>
                </c:pt>
                <c:pt idx="1437">
                  <c:v>0.91500000000000004</c:v>
                </c:pt>
                <c:pt idx="1438">
                  <c:v>0.59</c:v>
                </c:pt>
                <c:pt idx="1439">
                  <c:v>0.67</c:v>
                </c:pt>
                <c:pt idx="1440">
                  <c:v>0.37</c:v>
                </c:pt>
                <c:pt idx="1441">
                  <c:v>0.78500000000000003</c:v>
                </c:pt>
                <c:pt idx="1442">
                  <c:v>0.63</c:v>
                </c:pt>
                <c:pt idx="1443">
                  <c:v>0.57999999999999996</c:v>
                </c:pt>
                <c:pt idx="1444">
                  <c:v>0.67</c:v>
                </c:pt>
                <c:pt idx="1445">
                  <c:v>0.78500000000000003</c:v>
                </c:pt>
                <c:pt idx="1446">
                  <c:v>0.63</c:v>
                </c:pt>
                <c:pt idx="1447">
                  <c:v>0.67</c:v>
                </c:pt>
                <c:pt idx="1448">
                  <c:v>0.57999999999999996</c:v>
                </c:pt>
                <c:pt idx="1449">
                  <c:v>0.38</c:v>
                </c:pt>
                <c:pt idx="1450">
                  <c:v>0.37</c:v>
                </c:pt>
                <c:pt idx="1451">
                  <c:v>0.32</c:v>
                </c:pt>
                <c:pt idx="1452">
                  <c:v>0.57999999999999996</c:v>
                </c:pt>
                <c:pt idx="1453">
                  <c:v>0.49</c:v>
                </c:pt>
                <c:pt idx="1454">
                  <c:v>0.45</c:v>
                </c:pt>
                <c:pt idx="1455">
                  <c:v>0.9</c:v>
                </c:pt>
                <c:pt idx="1456">
                  <c:v>0.54</c:v>
                </c:pt>
                <c:pt idx="1457">
                  <c:v>0.49</c:v>
                </c:pt>
                <c:pt idx="1458">
                  <c:v>0.28999999999999998</c:v>
                </c:pt>
                <c:pt idx="1459">
                  <c:v>0.2</c:v>
                </c:pt>
                <c:pt idx="1460">
                  <c:v>0.42</c:v>
                </c:pt>
                <c:pt idx="1461">
                  <c:v>0.78500000000000003</c:v>
                </c:pt>
                <c:pt idx="1462">
                  <c:v>0.64</c:v>
                </c:pt>
                <c:pt idx="1463">
                  <c:v>0.63</c:v>
                </c:pt>
                <c:pt idx="1464">
                  <c:v>0.59</c:v>
                </c:pt>
                <c:pt idx="1465">
                  <c:v>0.59</c:v>
                </c:pt>
                <c:pt idx="1466">
                  <c:v>0.48</c:v>
                </c:pt>
                <c:pt idx="1467">
                  <c:v>1.04</c:v>
                </c:pt>
                <c:pt idx="1468">
                  <c:v>0.48</c:v>
                </c:pt>
                <c:pt idx="1469">
                  <c:v>0.98</c:v>
                </c:pt>
                <c:pt idx="1470">
                  <c:v>0.69</c:v>
                </c:pt>
                <c:pt idx="1471">
                  <c:v>0.7</c:v>
                </c:pt>
                <c:pt idx="1472">
                  <c:v>0.35</c:v>
                </c:pt>
                <c:pt idx="1473">
                  <c:v>0.6</c:v>
                </c:pt>
                <c:pt idx="1474">
                  <c:v>0.5</c:v>
                </c:pt>
                <c:pt idx="1475">
                  <c:v>0.47</c:v>
                </c:pt>
                <c:pt idx="1476">
                  <c:v>0.5</c:v>
                </c:pt>
                <c:pt idx="1477">
                  <c:v>0.47</c:v>
                </c:pt>
                <c:pt idx="1478">
                  <c:v>0.875</c:v>
                </c:pt>
                <c:pt idx="1479">
                  <c:v>0.28000000000000003</c:v>
                </c:pt>
                <c:pt idx="1480">
                  <c:v>0.62</c:v>
                </c:pt>
                <c:pt idx="1481">
                  <c:v>0.28000000000000003</c:v>
                </c:pt>
                <c:pt idx="1482">
                  <c:v>0.57999999999999996</c:v>
                </c:pt>
                <c:pt idx="1483">
                  <c:v>0.33</c:v>
                </c:pt>
                <c:pt idx="1484">
                  <c:v>0.91</c:v>
                </c:pt>
                <c:pt idx="1485">
                  <c:v>0.65500000000000003</c:v>
                </c:pt>
                <c:pt idx="1486">
                  <c:v>0.68</c:v>
                </c:pt>
                <c:pt idx="1487">
                  <c:v>0.64</c:v>
                </c:pt>
                <c:pt idx="1488">
                  <c:v>0.54</c:v>
                </c:pt>
                <c:pt idx="1489">
                  <c:v>0.56999999999999995</c:v>
                </c:pt>
                <c:pt idx="1490">
                  <c:v>0.22</c:v>
                </c:pt>
                <c:pt idx="1491">
                  <c:v>0.54</c:v>
                </c:pt>
                <c:pt idx="1492">
                  <c:v>0.65</c:v>
                </c:pt>
                <c:pt idx="1493">
                  <c:v>0.54</c:v>
                </c:pt>
                <c:pt idx="1494">
                  <c:v>0.31</c:v>
                </c:pt>
                <c:pt idx="1495">
                  <c:v>0.43</c:v>
                </c:pt>
                <c:pt idx="1496">
                  <c:v>0.54</c:v>
                </c:pt>
                <c:pt idx="1497">
                  <c:v>0.74</c:v>
                </c:pt>
                <c:pt idx="1498">
                  <c:v>0.89500000000000002</c:v>
                </c:pt>
                <c:pt idx="1499">
                  <c:v>0.74</c:v>
                </c:pt>
                <c:pt idx="1500">
                  <c:v>0.72499999999999998</c:v>
                </c:pt>
                <c:pt idx="1501">
                  <c:v>0.82</c:v>
                </c:pt>
                <c:pt idx="1502">
                  <c:v>0.58499999999999996</c:v>
                </c:pt>
                <c:pt idx="1503">
                  <c:v>0.44</c:v>
                </c:pt>
                <c:pt idx="1504">
                  <c:v>0.38</c:v>
                </c:pt>
                <c:pt idx="1505">
                  <c:v>0.76</c:v>
                </c:pt>
                <c:pt idx="1506">
                  <c:v>0.81</c:v>
                </c:pt>
                <c:pt idx="1507">
                  <c:v>0.38</c:v>
                </c:pt>
                <c:pt idx="1508">
                  <c:v>0.27</c:v>
                </c:pt>
                <c:pt idx="1509">
                  <c:v>0.18</c:v>
                </c:pt>
                <c:pt idx="1510">
                  <c:v>0.36</c:v>
                </c:pt>
                <c:pt idx="1511">
                  <c:v>0.69</c:v>
                </c:pt>
                <c:pt idx="1512">
                  <c:v>0.79</c:v>
                </c:pt>
                <c:pt idx="1513">
                  <c:v>0.56000000000000005</c:v>
                </c:pt>
                <c:pt idx="1514">
                  <c:v>0.84</c:v>
                </c:pt>
                <c:pt idx="1515">
                  <c:v>0.84</c:v>
                </c:pt>
                <c:pt idx="1516">
                  <c:v>0.32</c:v>
                </c:pt>
                <c:pt idx="1517">
                  <c:v>0.53</c:v>
                </c:pt>
                <c:pt idx="1518">
                  <c:v>0.47</c:v>
                </c:pt>
                <c:pt idx="1519">
                  <c:v>0.7</c:v>
                </c:pt>
                <c:pt idx="1520">
                  <c:v>0.53</c:v>
                </c:pt>
                <c:pt idx="1521">
                  <c:v>0.48</c:v>
                </c:pt>
                <c:pt idx="1522">
                  <c:v>0.32</c:v>
                </c:pt>
                <c:pt idx="1523">
                  <c:v>0.48</c:v>
                </c:pt>
                <c:pt idx="1524">
                  <c:v>0.42</c:v>
                </c:pt>
                <c:pt idx="1525">
                  <c:v>0.48</c:v>
                </c:pt>
                <c:pt idx="1526">
                  <c:v>0.47</c:v>
                </c:pt>
                <c:pt idx="1527">
                  <c:v>0.53</c:v>
                </c:pt>
                <c:pt idx="1528">
                  <c:v>0.28999999999999998</c:v>
                </c:pt>
                <c:pt idx="1529">
                  <c:v>0.69</c:v>
                </c:pt>
                <c:pt idx="1530">
                  <c:v>0.44</c:v>
                </c:pt>
                <c:pt idx="1531">
                  <c:v>0.70499999999999996</c:v>
                </c:pt>
                <c:pt idx="1532">
                  <c:v>0.53</c:v>
                </c:pt>
                <c:pt idx="1533">
                  <c:v>0.39</c:v>
                </c:pt>
                <c:pt idx="1534">
                  <c:v>0.56000000000000005</c:v>
                </c:pt>
                <c:pt idx="1535">
                  <c:v>0.55000000000000004</c:v>
                </c:pt>
                <c:pt idx="1536">
                  <c:v>0.53</c:v>
                </c:pt>
                <c:pt idx="1537">
                  <c:v>0.57999999999999996</c:v>
                </c:pt>
                <c:pt idx="1538">
                  <c:v>0.64</c:v>
                </c:pt>
                <c:pt idx="1539">
                  <c:v>0.39</c:v>
                </c:pt>
                <c:pt idx="1540">
                  <c:v>0.52</c:v>
                </c:pt>
                <c:pt idx="1541">
                  <c:v>0.25</c:v>
                </c:pt>
                <c:pt idx="1542">
                  <c:v>0.85499999999999998</c:v>
                </c:pt>
                <c:pt idx="1543">
                  <c:v>0.44</c:v>
                </c:pt>
                <c:pt idx="1544">
                  <c:v>0.37</c:v>
                </c:pt>
                <c:pt idx="1545">
                  <c:v>0.63</c:v>
                </c:pt>
                <c:pt idx="1546">
                  <c:v>0.56999999999999995</c:v>
                </c:pt>
                <c:pt idx="1547">
                  <c:v>0.6</c:v>
                </c:pt>
                <c:pt idx="1548">
                  <c:v>0.4</c:v>
                </c:pt>
                <c:pt idx="1549">
                  <c:v>0.36</c:v>
                </c:pt>
                <c:pt idx="1550">
                  <c:v>0.68</c:v>
                </c:pt>
                <c:pt idx="1551">
                  <c:v>0.67</c:v>
                </c:pt>
                <c:pt idx="1552">
                  <c:v>0.68</c:v>
                </c:pt>
                <c:pt idx="1553">
                  <c:v>0.73499999999999999</c:v>
                </c:pt>
                <c:pt idx="1554">
                  <c:v>0.85499999999999998</c:v>
                </c:pt>
                <c:pt idx="1555">
                  <c:v>0.56000000000000005</c:v>
                </c:pt>
                <c:pt idx="1556">
                  <c:v>0.88</c:v>
                </c:pt>
                <c:pt idx="1557">
                  <c:v>0.85499999999999998</c:v>
                </c:pt>
                <c:pt idx="1558">
                  <c:v>0.63</c:v>
                </c:pt>
                <c:pt idx="1559">
                  <c:v>0.6</c:v>
                </c:pt>
                <c:pt idx="1560">
                  <c:v>0.6</c:v>
                </c:pt>
                <c:pt idx="1561">
                  <c:v>0.6</c:v>
                </c:pt>
                <c:pt idx="1562">
                  <c:v>0.69499999999999995</c:v>
                </c:pt>
                <c:pt idx="1563">
                  <c:v>0.69499999999999995</c:v>
                </c:pt>
                <c:pt idx="1564">
                  <c:v>0.69499999999999995</c:v>
                </c:pt>
                <c:pt idx="1565">
                  <c:v>0.67</c:v>
                </c:pt>
                <c:pt idx="1566">
                  <c:v>0.16</c:v>
                </c:pt>
                <c:pt idx="1567">
                  <c:v>0.69499999999999995</c:v>
                </c:pt>
                <c:pt idx="1568">
                  <c:v>0.56000000000000005</c:v>
                </c:pt>
                <c:pt idx="1569">
                  <c:v>0.51</c:v>
                </c:pt>
                <c:pt idx="1570">
                  <c:v>0.36</c:v>
                </c:pt>
                <c:pt idx="1571">
                  <c:v>0.38</c:v>
                </c:pt>
                <c:pt idx="1572">
                  <c:v>0.69</c:v>
                </c:pt>
                <c:pt idx="1573">
                  <c:v>0.57999999999999996</c:v>
                </c:pt>
                <c:pt idx="1574">
                  <c:v>0.31</c:v>
                </c:pt>
                <c:pt idx="1575">
                  <c:v>0.52</c:v>
                </c:pt>
                <c:pt idx="1576">
                  <c:v>0.3</c:v>
                </c:pt>
                <c:pt idx="1577">
                  <c:v>0.7</c:v>
                </c:pt>
                <c:pt idx="1578">
                  <c:v>0.67</c:v>
                </c:pt>
                <c:pt idx="1579">
                  <c:v>0.56000000000000005</c:v>
                </c:pt>
                <c:pt idx="1580">
                  <c:v>0.35</c:v>
                </c:pt>
                <c:pt idx="1581">
                  <c:v>0.56000000000000005</c:v>
                </c:pt>
                <c:pt idx="1582">
                  <c:v>0.71499999999999997</c:v>
                </c:pt>
                <c:pt idx="1583">
                  <c:v>0.46</c:v>
                </c:pt>
                <c:pt idx="1584">
                  <c:v>0.32</c:v>
                </c:pt>
                <c:pt idx="1585">
                  <c:v>0.39</c:v>
                </c:pt>
                <c:pt idx="1586">
                  <c:v>0.31</c:v>
                </c:pt>
                <c:pt idx="1587">
                  <c:v>0.61</c:v>
                </c:pt>
                <c:pt idx="1588">
                  <c:v>0.66</c:v>
                </c:pt>
                <c:pt idx="1589">
                  <c:v>0.72499999999999998</c:v>
                </c:pt>
                <c:pt idx="1590">
                  <c:v>0.55000000000000004</c:v>
                </c:pt>
                <c:pt idx="1591">
                  <c:v>0.74</c:v>
                </c:pt>
                <c:pt idx="1592">
                  <c:v>0.51</c:v>
                </c:pt>
                <c:pt idx="1593">
                  <c:v>0.62</c:v>
                </c:pt>
                <c:pt idx="1594">
                  <c:v>0.6</c:v>
                </c:pt>
                <c:pt idx="1595">
                  <c:v>0.55000000000000004</c:v>
                </c:pt>
                <c:pt idx="1596">
                  <c:v>0.51</c:v>
                </c:pt>
                <c:pt idx="1597">
                  <c:v>0.64500000000000002</c:v>
                </c:pt>
                <c:pt idx="1598">
                  <c:v>0.31</c:v>
                </c:pt>
              </c:numCache>
            </c:numRef>
          </c:xVal>
          <c:yVal>
            <c:numRef>
              <c:f>'winequality-red(in) (1)'!$M$2:$M$1600</c:f>
              <c:numCache>
                <c:formatCode>General</c:formatCode>
                <c:ptCount val="1599"/>
                <c:pt idx="0">
                  <c:v>5</c:v>
                </c:pt>
                <c:pt idx="1">
                  <c:v>5</c:v>
                </c:pt>
                <c:pt idx="2">
                  <c:v>5</c:v>
                </c:pt>
                <c:pt idx="3">
                  <c:v>6</c:v>
                </c:pt>
                <c:pt idx="4">
                  <c:v>5</c:v>
                </c:pt>
                <c:pt idx="5">
                  <c:v>5</c:v>
                </c:pt>
                <c:pt idx="6">
                  <c:v>5</c:v>
                </c:pt>
                <c:pt idx="7">
                  <c:v>7</c:v>
                </c:pt>
                <c:pt idx="8">
                  <c:v>7</c:v>
                </c:pt>
                <c:pt idx="9">
                  <c:v>5</c:v>
                </c:pt>
                <c:pt idx="10">
                  <c:v>5</c:v>
                </c:pt>
                <c:pt idx="11">
                  <c:v>5</c:v>
                </c:pt>
                <c:pt idx="12">
                  <c:v>5</c:v>
                </c:pt>
                <c:pt idx="13">
                  <c:v>5</c:v>
                </c:pt>
                <c:pt idx="14">
                  <c:v>5</c:v>
                </c:pt>
                <c:pt idx="15">
                  <c:v>5</c:v>
                </c:pt>
                <c:pt idx="16">
                  <c:v>7</c:v>
                </c:pt>
                <c:pt idx="17">
                  <c:v>5</c:v>
                </c:pt>
                <c:pt idx="18">
                  <c:v>4</c:v>
                </c:pt>
                <c:pt idx="19">
                  <c:v>6</c:v>
                </c:pt>
                <c:pt idx="20">
                  <c:v>6</c:v>
                </c:pt>
                <c:pt idx="21">
                  <c:v>5</c:v>
                </c:pt>
                <c:pt idx="22">
                  <c:v>5</c:v>
                </c:pt>
                <c:pt idx="23">
                  <c:v>5</c:v>
                </c:pt>
                <c:pt idx="24">
                  <c:v>6</c:v>
                </c:pt>
                <c:pt idx="25">
                  <c:v>5</c:v>
                </c:pt>
                <c:pt idx="26">
                  <c:v>5</c:v>
                </c:pt>
                <c:pt idx="27">
                  <c:v>5</c:v>
                </c:pt>
                <c:pt idx="28">
                  <c:v>5</c:v>
                </c:pt>
                <c:pt idx="29">
                  <c:v>6</c:v>
                </c:pt>
                <c:pt idx="30">
                  <c:v>5</c:v>
                </c:pt>
                <c:pt idx="31">
                  <c:v>6</c:v>
                </c:pt>
                <c:pt idx="32">
                  <c:v>5</c:v>
                </c:pt>
                <c:pt idx="33">
                  <c:v>6</c:v>
                </c:pt>
                <c:pt idx="34">
                  <c:v>5</c:v>
                </c:pt>
                <c:pt idx="35">
                  <c:v>6</c:v>
                </c:pt>
                <c:pt idx="36">
                  <c:v>6</c:v>
                </c:pt>
                <c:pt idx="37">
                  <c:v>7</c:v>
                </c:pt>
                <c:pt idx="38">
                  <c:v>4</c:v>
                </c:pt>
                <c:pt idx="39">
                  <c:v>5</c:v>
                </c:pt>
                <c:pt idx="40">
                  <c:v>5</c:v>
                </c:pt>
                <c:pt idx="41">
                  <c:v>4</c:v>
                </c:pt>
                <c:pt idx="42">
                  <c:v>6</c:v>
                </c:pt>
                <c:pt idx="43">
                  <c:v>5</c:v>
                </c:pt>
                <c:pt idx="44">
                  <c:v>5</c:v>
                </c:pt>
                <c:pt idx="45">
                  <c:v>4</c:v>
                </c:pt>
                <c:pt idx="46">
                  <c:v>5</c:v>
                </c:pt>
                <c:pt idx="47">
                  <c:v>5</c:v>
                </c:pt>
                <c:pt idx="48">
                  <c:v>5</c:v>
                </c:pt>
                <c:pt idx="49">
                  <c:v>5</c:v>
                </c:pt>
                <c:pt idx="50">
                  <c:v>5</c:v>
                </c:pt>
                <c:pt idx="51">
                  <c:v>6</c:v>
                </c:pt>
                <c:pt idx="52">
                  <c:v>6</c:v>
                </c:pt>
                <c:pt idx="53">
                  <c:v>5</c:v>
                </c:pt>
                <c:pt idx="54">
                  <c:v>6</c:v>
                </c:pt>
                <c:pt idx="55">
                  <c:v>5</c:v>
                </c:pt>
                <c:pt idx="56">
                  <c:v>5</c:v>
                </c:pt>
                <c:pt idx="57">
                  <c:v>5</c:v>
                </c:pt>
                <c:pt idx="58">
                  <c:v>5</c:v>
                </c:pt>
                <c:pt idx="59">
                  <c:v>6</c:v>
                </c:pt>
                <c:pt idx="60">
                  <c:v>5</c:v>
                </c:pt>
                <c:pt idx="61">
                  <c:v>5</c:v>
                </c:pt>
                <c:pt idx="62">
                  <c:v>7</c:v>
                </c:pt>
                <c:pt idx="63">
                  <c:v>5</c:v>
                </c:pt>
                <c:pt idx="64">
                  <c:v>5</c:v>
                </c:pt>
                <c:pt idx="65">
                  <c:v>5</c:v>
                </c:pt>
                <c:pt idx="66">
                  <c:v>5</c:v>
                </c:pt>
                <c:pt idx="67">
                  <c:v>5</c:v>
                </c:pt>
                <c:pt idx="68">
                  <c:v>5</c:v>
                </c:pt>
                <c:pt idx="69">
                  <c:v>6</c:v>
                </c:pt>
                <c:pt idx="70">
                  <c:v>6</c:v>
                </c:pt>
                <c:pt idx="71">
                  <c:v>5</c:v>
                </c:pt>
                <c:pt idx="72">
                  <c:v>5</c:v>
                </c:pt>
                <c:pt idx="73">
                  <c:v>4</c:v>
                </c:pt>
                <c:pt idx="74">
                  <c:v>5</c:v>
                </c:pt>
                <c:pt idx="75">
                  <c:v>5</c:v>
                </c:pt>
                <c:pt idx="76">
                  <c:v>5</c:v>
                </c:pt>
                <c:pt idx="77">
                  <c:v>6</c:v>
                </c:pt>
                <c:pt idx="78">
                  <c:v>5</c:v>
                </c:pt>
                <c:pt idx="79">
                  <c:v>4</c:v>
                </c:pt>
                <c:pt idx="80">
                  <c:v>5</c:v>
                </c:pt>
                <c:pt idx="81">
                  <c:v>5</c:v>
                </c:pt>
                <c:pt idx="82">
                  <c:v>5</c:v>
                </c:pt>
                <c:pt idx="83">
                  <c:v>5</c:v>
                </c:pt>
                <c:pt idx="84">
                  <c:v>6</c:v>
                </c:pt>
                <c:pt idx="85">
                  <c:v>5</c:v>
                </c:pt>
                <c:pt idx="86">
                  <c:v>6</c:v>
                </c:pt>
                <c:pt idx="87">
                  <c:v>5</c:v>
                </c:pt>
                <c:pt idx="88">
                  <c:v>5</c:v>
                </c:pt>
                <c:pt idx="89">
                  <c:v>5</c:v>
                </c:pt>
                <c:pt idx="90">
                  <c:v>5</c:v>
                </c:pt>
                <c:pt idx="91">
                  <c:v>6</c:v>
                </c:pt>
                <c:pt idx="92">
                  <c:v>5</c:v>
                </c:pt>
                <c:pt idx="93">
                  <c:v>5</c:v>
                </c:pt>
                <c:pt idx="94">
                  <c:v>4</c:v>
                </c:pt>
                <c:pt idx="95">
                  <c:v>6</c:v>
                </c:pt>
                <c:pt idx="96">
                  <c:v>5</c:v>
                </c:pt>
                <c:pt idx="97">
                  <c:v>5</c:v>
                </c:pt>
                <c:pt idx="98">
                  <c:v>5</c:v>
                </c:pt>
                <c:pt idx="99">
                  <c:v>6</c:v>
                </c:pt>
                <c:pt idx="100">
                  <c:v>6</c:v>
                </c:pt>
                <c:pt idx="101">
                  <c:v>6</c:v>
                </c:pt>
                <c:pt idx="102">
                  <c:v>6</c:v>
                </c:pt>
                <c:pt idx="103">
                  <c:v>5</c:v>
                </c:pt>
                <c:pt idx="104">
                  <c:v>5</c:v>
                </c:pt>
                <c:pt idx="105">
                  <c:v>5</c:v>
                </c:pt>
                <c:pt idx="106">
                  <c:v>5</c:v>
                </c:pt>
                <c:pt idx="107">
                  <c:v>5</c:v>
                </c:pt>
                <c:pt idx="108">
                  <c:v>6</c:v>
                </c:pt>
                <c:pt idx="109">
                  <c:v>5</c:v>
                </c:pt>
                <c:pt idx="110">
                  <c:v>5</c:v>
                </c:pt>
                <c:pt idx="111">
                  <c:v>5</c:v>
                </c:pt>
                <c:pt idx="112">
                  <c:v>5</c:v>
                </c:pt>
                <c:pt idx="113">
                  <c:v>6</c:v>
                </c:pt>
                <c:pt idx="114">
                  <c:v>5</c:v>
                </c:pt>
                <c:pt idx="115">
                  <c:v>6</c:v>
                </c:pt>
                <c:pt idx="116">
                  <c:v>6</c:v>
                </c:pt>
                <c:pt idx="117">
                  <c:v>6</c:v>
                </c:pt>
                <c:pt idx="118">
                  <c:v>6</c:v>
                </c:pt>
                <c:pt idx="119">
                  <c:v>6</c:v>
                </c:pt>
                <c:pt idx="120">
                  <c:v>5</c:v>
                </c:pt>
                <c:pt idx="121">
                  <c:v>6</c:v>
                </c:pt>
                <c:pt idx="122">
                  <c:v>5</c:v>
                </c:pt>
                <c:pt idx="123">
                  <c:v>5</c:v>
                </c:pt>
                <c:pt idx="124">
                  <c:v>5</c:v>
                </c:pt>
                <c:pt idx="125">
                  <c:v>5</c:v>
                </c:pt>
                <c:pt idx="126">
                  <c:v>5</c:v>
                </c:pt>
                <c:pt idx="127">
                  <c:v>5</c:v>
                </c:pt>
                <c:pt idx="128">
                  <c:v>7</c:v>
                </c:pt>
                <c:pt idx="129">
                  <c:v>5</c:v>
                </c:pt>
                <c:pt idx="130">
                  <c:v>5</c:v>
                </c:pt>
                <c:pt idx="131">
                  <c:v>5</c:v>
                </c:pt>
                <c:pt idx="132">
                  <c:v>5</c:v>
                </c:pt>
                <c:pt idx="133">
                  <c:v>6</c:v>
                </c:pt>
                <c:pt idx="134">
                  <c:v>6</c:v>
                </c:pt>
                <c:pt idx="135">
                  <c:v>5</c:v>
                </c:pt>
                <c:pt idx="136">
                  <c:v>5</c:v>
                </c:pt>
                <c:pt idx="137">
                  <c:v>5</c:v>
                </c:pt>
                <c:pt idx="138">
                  <c:v>5</c:v>
                </c:pt>
                <c:pt idx="139">
                  <c:v>5</c:v>
                </c:pt>
                <c:pt idx="140">
                  <c:v>5</c:v>
                </c:pt>
                <c:pt idx="141">
                  <c:v>5</c:v>
                </c:pt>
                <c:pt idx="142">
                  <c:v>6</c:v>
                </c:pt>
                <c:pt idx="143">
                  <c:v>5</c:v>
                </c:pt>
                <c:pt idx="144">
                  <c:v>6</c:v>
                </c:pt>
                <c:pt idx="145">
                  <c:v>5</c:v>
                </c:pt>
                <c:pt idx="146">
                  <c:v>5</c:v>
                </c:pt>
                <c:pt idx="147">
                  <c:v>5</c:v>
                </c:pt>
                <c:pt idx="148">
                  <c:v>6</c:v>
                </c:pt>
                <c:pt idx="149">
                  <c:v>6</c:v>
                </c:pt>
                <c:pt idx="150">
                  <c:v>6</c:v>
                </c:pt>
                <c:pt idx="151">
                  <c:v>4</c:v>
                </c:pt>
                <c:pt idx="152">
                  <c:v>5</c:v>
                </c:pt>
                <c:pt idx="153">
                  <c:v>5</c:v>
                </c:pt>
                <c:pt idx="154">
                  <c:v>5</c:v>
                </c:pt>
                <c:pt idx="155">
                  <c:v>5</c:v>
                </c:pt>
                <c:pt idx="156">
                  <c:v>5</c:v>
                </c:pt>
                <c:pt idx="157">
                  <c:v>5</c:v>
                </c:pt>
                <c:pt idx="158">
                  <c:v>5</c:v>
                </c:pt>
                <c:pt idx="159">
                  <c:v>6</c:v>
                </c:pt>
                <c:pt idx="160">
                  <c:v>5</c:v>
                </c:pt>
                <c:pt idx="161">
                  <c:v>4</c:v>
                </c:pt>
                <c:pt idx="162">
                  <c:v>6</c:v>
                </c:pt>
                <c:pt idx="163">
                  <c:v>5</c:v>
                </c:pt>
                <c:pt idx="164">
                  <c:v>5</c:v>
                </c:pt>
                <c:pt idx="165">
                  <c:v>5</c:v>
                </c:pt>
                <c:pt idx="166">
                  <c:v>5</c:v>
                </c:pt>
                <c:pt idx="167">
                  <c:v>4</c:v>
                </c:pt>
                <c:pt idx="168">
                  <c:v>6</c:v>
                </c:pt>
                <c:pt idx="169">
                  <c:v>5</c:v>
                </c:pt>
                <c:pt idx="170">
                  <c:v>4</c:v>
                </c:pt>
                <c:pt idx="171">
                  <c:v>6</c:v>
                </c:pt>
                <c:pt idx="172">
                  <c:v>6</c:v>
                </c:pt>
                <c:pt idx="173">
                  <c:v>6</c:v>
                </c:pt>
                <c:pt idx="174">
                  <c:v>5</c:v>
                </c:pt>
                <c:pt idx="175">
                  <c:v>5</c:v>
                </c:pt>
                <c:pt idx="176">
                  <c:v>5</c:v>
                </c:pt>
                <c:pt idx="177">
                  <c:v>6</c:v>
                </c:pt>
                <c:pt idx="178">
                  <c:v>5</c:v>
                </c:pt>
                <c:pt idx="179">
                  <c:v>5</c:v>
                </c:pt>
                <c:pt idx="180">
                  <c:v>5</c:v>
                </c:pt>
                <c:pt idx="181">
                  <c:v>5</c:v>
                </c:pt>
                <c:pt idx="182">
                  <c:v>5</c:v>
                </c:pt>
                <c:pt idx="183">
                  <c:v>5</c:v>
                </c:pt>
                <c:pt idx="184">
                  <c:v>6</c:v>
                </c:pt>
                <c:pt idx="185">
                  <c:v>5</c:v>
                </c:pt>
                <c:pt idx="186">
                  <c:v>5</c:v>
                </c:pt>
                <c:pt idx="187">
                  <c:v>5</c:v>
                </c:pt>
                <c:pt idx="188">
                  <c:v>5</c:v>
                </c:pt>
                <c:pt idx="189">
                  <c:v>5</c:v>
                </c:pt>
                <c:pt idx="190">
                  <c:v>5</c:v>
                </c:pt>
                <c:pt idx="191">
                  <c:v>6</c:v>
                </c:pt>
                <c:pt idx="192">
                  <c:v>5</c:v>
                </c:pt>
                <c:pt idx="193">
                  <c:v>5</c:v>
                </c:pt>
                <c:pt idx="194">
                  <c:v>5</c:v>
                </c:pt>
                <c:pt idx="195">
                  <c:v>5</c:v>
                </c:pt>
                <c:pt idx="196">
                  <c:v>5</c:v>
                </c:pt>
                <c:pt idx="197">
                  <c:v>6</c:v>
                </c:pt>
                <c:pt idx="198">
                  <c:v>7</c:v>
                </c:pt>
                <c:pt idx="199">
                  <c:v>4</c:v>
                </c:pt>
                <c:pt idx="200">
                  <c:v>7</c:v>
                </c:pt>
                <c:pt idx="201">
                  <c:v>5</c:v>
                </c:pt>
                <c:pt idx="202">
                  <c:v>5</c:v>
                </c:pt>
                <c:pt idx="203">
                  <c:v>5</c:v>
                </c:pt>
                <c:pt idx="204">
                  <c:v>6</c:v>
                </c:pt>
                <c:pt idx="205">
                  <c:v>7</c:v>
                </c:pt>
                <c:pt idx="206">
                  <c:v>7</c:v>
                </c:pt>
                <c:pt idx="207">
                  <c:v>5</c:v>
                </c:pt>
                <c:pt idx="208">
                  <c:v>5</c:v>
                </c:pt>
                <c:pt idx="209">
                  <c:v>7</c:v>
                </c:pt>
                <c:pt idx="210">
                  <c:v>6</c:v>
                </c:pt>
                <c:pt idx="211">
                  <c:v>6</c:v>
                </c:pt>
                <c:pt idx="212">
                  <c:v>6</c:v>
                </c:pt>
                <c:pt idx="213">
                  <c:v>5</c:v>
                </c:pt>
                <c:pt idx="214">
                  <c:v>6</c:v>
                </c:pt>
                <c:pt idx="215">
                  <c:v>5</c:v>
                </c:pt>
                <c:pt idx="216">
                  <c:v>5</c:v>
                </c:pt>
                <c:pt idx="217">
                  <c:v>5</c:v>
                </c:pt>
                <c:pt idx="218">
                  <c:v>5</c:v>
                </c:pt>
                <c:pt idx="219">
                  <c:v>5</c:v>
                </c:pt>
                <c:pt idx="220">
                  <c:v>6</c:v>
                </c:pt>
                <c:pt idx="221">
                  <c:v>5</c:v>
                </c:pt>
                <c:pt idx="222">
                  <c:v>5</c:v>
                </c:pt>
                <c:pt idx="223">
                  <c:v>6</c:v>
                </c:pt>
                <c:pt idx="224">
                  <c:v>4</c:v>
                </c:pt>
                <c:pt idx="225">
                  <c:v>6</c:v>
                </c:pt>
                <c:pt idx="226">
                  <c:v>6</c:v>
                </c:pt>
                <c:pt idx="227">
                  <c:v>5</c:v>
                </c:pt>
                <c:pt idx="228">
                  <c:v>6</c:v>
                </c:pt>
                <c:pt idx="229">
                  <c:v>5</c:v>
                </c:pt>
                <c:pt idx="230">
                  <c:v>7</c:v>
                </c:pt>
                <c:pt idx="231">
                  <c:v>6</c:v>
                </c:pt>
                <c:pt idx="232">
                  <c:v>6</c:v>
                </c:pt>
                <c:pt idx="233">
                  <c:v>5</c:v>
                </c:pt>
                <c:pt idx="234">
                  <c:v>6</c:v>
                </c:pt>
                <c:pt idx="235">
                  <c:v>6</c:v>
                </c:pt>
                <c:pt idx="236">
                  <c:v>6</c:v>
                </c:pt>
                <c:pt idx="237">
                  <c:v>6</c:v>
                </c:pt>
                <c:pt idx="238">
                  <c:v>6</c:v>
                </c:pt>
                <c:pt idx="239">
                  <c:v>6</c:v>
                </c:pt>
                <c:pt idx="240">
                  <c:v>5</c:v>
                </c:pt>
                <c:pt idx="241">
                  <c:v>6</c:v>
                </c:pt>
                <c:pt idx="242">
                  <c:v>6</c:v>
                </c:pt>
                <c:pt idx="243">
                  <c:v>7</c:v>
                </c:pt>
                <c:pt idx="244">
                  <c:v>7</c:v>
                </c:pt>
                <c:pt idx="245">
                  <c:v>6</c:v>
                </c:pt>
                <c:pt idx="246">
                  <c:v>5</c:v>
                </c:pt>
                <c:pt idx="247">
                  <c:v>5</c:v>
                </c:pt>
                <c:pt idx="248">
                  <c:v>6</c:v>
                </c:pt>
                <c:pt idx="249">
                  <c:v>6</c:v>
                </c:pt>
                <c:pt idx="250">
                  <c:v>6</c:v>
                </c:pt>
                <c:pt idx="251">
                  <c:v>6</c:v>
                </c:pt>
                <c:pt idx="252">
                  <c:v>5</c:v>
                </c:pt>
                <c:pt idx="253">
                  <c:v>5</c:v>
                </c:pt>
                <c:pt idx="254">
                  <c:v>6</c:v>
                </c:pt>
                <c:pt idx="255">
                  <c:v>5</c:v>
                </c:pt>
                <c:pt idx="256">
                  <c:v>5</c:v>
                </c:pt>
                <c:pt idx="257">
                  <c:v>5</c:v>
                </c:pt>
                <c:pt idx="258">
                  <c:v>5</c:v>
                </c:pt>
                <c:pt idx="259">
                  <c:v>7</c:v>
                </c:pt>
                <c:pt idx="260">
                  <c:v>5</c:v>
                </c:pt>
                <c:pt idx="261">
                  <c:v>4</c:v>
                </c:pt>
                <c:pt idx="262">
                  <c:v>5</c:v>
                </c:pt>
                <c:pt idx="263">
                  <c:v>5</c:v>
                </c:pt>
                <c:pt idx="264">
                  <c:v>5</c:v>
                </c:pt>
                <c:pt idx="265">
                  <c:v>7</c:v>
                </c:pt>
                <c:pt idx="266">
                  <c:v>4</c:v>
                </c:pt>
                <c:pt idx="267">
                  <c:v>8</c:v>
                </c:pt>
                <c:pt idx="268">
                  <c:v>6</c:v>
                </c:pt>
                <c:pt idx="269">
                  <c:v>6</c:v>
                </c:pt>
                <c:pt idx="270">
                  <c:v>6</c:v>
                </c:pt>
                <c:pt idx="271">
                  <c:v>6</c:v>
                </c:pt>
                <c:pt idx="272">
                  <c:v>5</c:v>
                </c:pt>
                <c:pt idx="273">
                  <c:v>5</c:v>
                </c:pt>
                <c:pt idx="274">
                  <c:v>5</c:v>
                </c:pt>
                <c:pt idx="275">
                  <c:v>6</c:v>
                </c:pt>
                <c:pt idx="276">
                  <c:v>6</c:v>
                </c:pt>
                <c:pt idx="277">
                  <c:v>6</c:v>
                </c:pt>
                <c:pt idx="278">
                  <c:v>8</c:v>
                </c:pt>
                <c:pt idx="279">
                  <c:v>7</c:v>
                </c:pt>
                <c:pt idx="280">
                  <c:v>6</c:v>
                </c:pt>
                <c:pt idx="281">
                  <c:v>7</c:v>
                </c:pt>
                <c:pt idx="282">
                  <c:v>5</c:v>
                </c:pt>
                <c:pt idx="283">
                  <c:v>7</c:v>
                </c:pt>
                <c:pt idx="284">
                  <c:v>5</c:v>
                </c:pt>
                <c:pt idx="285">
                  <c:v>5</c:v>
                </c:pt>
                <c:pt idx="286">
                  <c:v>6</c:v>
                </c:pt>
                <c:pt idx="287">
                  <c:v>6</c:v>
                </c:pt>
                <c:pt idx="288">
                  <c:v>7</c:v>
                </c:pt>
                <c:pt idx="289">
                  <c:v>5</c:v>
                </c:pt>
                <c:pt idx="290">
                  <c:v>7</c:v>
                </c:pt>
                <c:pt idx="291">
                  <c:v>5</c:v>
                </c:pt>
                <c:pt idx="292">
                  <c:v>6</c:v>
                </c:pt>
                <c:pt idx="293">
                  <c:v>6</c:v>
                </c:pt>
                <c:pt idx="294">
                  <c:v>6</c:v>
                </c:pt>
                <c:pt idx="295">
                  <c:v>5</c:v>
                </c:pt>
                <c:pt idx="296">
                  <c:v>5</c:v>
                </c:pt>
                <c:pt idx="297">
                  <c:v>5</c:v>
                </c:pt>
                <c:pt idx="298">
                  <c:v>5</c:v>
                </c:pt>
                <c:pt idx="299">
                  <c:v>5</c:v>
                </c:pt>
                <c:pt idx="300">
                  <c:v>6</c:v>
                </c:pt>
                <c:pt idx="301">
                  <c:v>6</c:v>
                </c:pt>
                <c:pt idx="302">
                  <c:v>5</c:v>
                </c:pt>
                <c:pt idx="303">
                  <c:v>5</c:v>
                </c:pt>
                <c:pt idx="304">
                  <c:v>5</c:v>
                </c:pt>
                <c:pt idx="305">
                  <c:v>6</c:v>
                </c:pt>
                <c:pt idx="306">
                  <c:v>5</c:v>
                </c:pt>
                <c:pt idx="307">
                  <c:v>6</c:v>
                </c:pt>
                <c:pt idx="308">
                  <c:v>6</c:v>
                </c:pt>
                <c:pt idx="309">
                  <c:v>6</c:v>
                </c:pt>
                <c:pt idx="310">
                  <c:v>6</c:v>
                </c:pt>
                <c:pt idx="311">
                  <c:v>6</c:v>
                </c:pt>
                <c:pt idx="312">
                  <c:v>6</c:v>
                </c:pt>
                <c:pt idx="313">
                  <c:v>5</c:v>
                </c:pt>
                <c:pt idx="314">
                  <c:v>5</c:v>
                </c:pt>
                <c:pt idx="315">
                  <c:v>6</c:v>
                </c:pt>
                <c:pt idx="316">
                  <c:v>5</c:v>
                </c:pt>
                <c:pt idx="317">
                  <c:v>6</c:v>
                </c:pt>
                <c:pt idx="318">
                  <c:v>7</c:v>
                </c:pt>
                <c:pt idx="319">
                  <c:v>6</c:v>
                </c:pt>
                <c:pt idx="320">
                  <c:v>7</c:v>
                </c:pt>
                <c:pt idx="321">
                  <c:v>5</c:v>
                </c:pt>
                <c:pt idx="322">
                  <c:v>5</c:v>
                </c:pt>
                <c:pt idx="323">
                  <c:v>6</c:v>
                </c:pt>
                <c:pt idx="324">
                  <c:v>6</c:v>
                </c:pt>
                <c:pt idx="325">
                  <c:v>6</c:v>
                </c:pt>
                <c:pt idx="326">
                  <c:v>7</c:v>
                </c:pt>
                <c:pt idx="327">
                  <c:v>5</c:v>
                </c:pt>
                <c:pt idx="328">
                  <c:v>6</c:v>
                </c:pt>
                <c:pt idx="329">
                  <c:v>5</c:v>
                </c:pt>
                <c:pt idx="330">
                  <c:v>6</c:v>
                </c:pt>
                <c:pt idx="331">
                  <c:v>6</c:v>
                </c:pt>
                <c:pt idx="332">
                  <c:v>6</c:v>
                </c:pt>
                <c:pt idx="333">
                  <c:v>5</c:v>
                </c:pt>
                <c:pt idx="334">
                  <c:v>7</c:v>
                </c:pt>
                <c:pt idx="335">
                  <c:v>7</c:v>
                </c:pt>
                <c:pt idx="336">
                  <c:v>6</c:v>
                </c:pt>
                <c:pt idx="337">
                  <c:v>5</c:v>
                </c:pt>
                <c:pt idx="338">
                  <c:v>6</c:v>
                </c:pt>
                <c:pt idx="339">
                  <c:v>7</c:v>
                </c:pt>
                <c:pt idx="340">
                  <c:v>6</c:v>
                </c:pt>
                <c:pt idx="341">
                  <c:v>6</c:v>
                </c:pt>
                <c:pt idx="342">
                  <c:v>6</c:v>
                </c:pt>
                <c:pt idx="343">
                  <c:v>6</c:v>
                </c:pt>
                <c:pt idx="344">
                  <c:v>6</c:v>
                </c:pt>
                <c:pt idx="345">
                  <c:v>5</c:v>
                </c:pt>
                <c:pt idx="346">
                  <c:v>7</c:v>
                </c:pt>
                <c:pt idx="347">
                  <c:v>6</c:v>
                </c:pt>
                <c:pt idx="348">
                  <c:v>6</c:v>
                </c:pt>
                <c:pt idx="349">
                  <c:v>6</c:v>
                </c:pt>
                <c:pt idx="350">
                  <c:v>6</c:v>
                </c:pt>
                <c:pt idx="351">
                  <c:v>6</c:v>
                </c:pt>
                <c:pt idx="352">
                  <c:v>5</c:v>
                </c:pt>
                <c:pt idx="353">
                  <c:v>5</c:v>
                </c:pt>
                <c:pt idx="354">
                  <c:v>6</c:v>
                </c:pt>
                <c:pt idx="355">
                  <c:v>6</c:v>
                </c:pt>
                <c:pt idx="356">
                  <c:v>5</c:v>
                </c:pt>
                <c:pt idx="357">
                  <c:v>7</c:v>
                </c:pt>
                <c:pt idx="358">
                  <c:v>7</c:v>
                </c:pt>
                <c:pt idx="359">
                  <c:v>6</c:v>
                </c:pt>
                <c:pt idx="360">
                  <c:v>5</c:v>
                </c:pt>
                <c:pt idx="361">
                  <c:v>6</c:v>
                </c:pt>
                <c:pt idx="362">
                  <c:v>5</c:v>
                </c:pt>
                <c:pt idx="363">
                  <c:v>5</c:v>
                </c:pt>
                <c:pt idx="364">
                  <c:v>7</c:v>
                </c:pt>
                <c:pt idx="365">
                  <c:v>6</c:v>
                </c:pt>
                <c:pt idx="366">
                  <c:v>7</c:v>
                </c:pt>
                <c:pt idx="367">
                  <c:v>5</c:v>
                </c:pt>
                <c:pt idx="368">
                  <c:v>5</c:v>
                </c:pt>
                <c:pt idx="369">
                  <c:v>7</c:v>
                </c:pt>
                <c:pt idx="370">
                  <c:v>5</c:v>
                </c:pt>
                <c:pt idx="371">
                  <c:v>6</c:v>
                </c:pt>
                <c:pt idx="372">
                  <c:v>6</c:v>
                </c:pt>
                <c:pt idx="373">
                  <c:v>5</c:v>
                </c:pt>
                <c:pt idx="374">
                  <c:v>6</c:v>
                </c:pt>
                <c:pt idx="375">
                  <c:v>7</c:v>
                </c:pt>
                <c:pt idx="376">
                  <c:v>6</c:v>
                </c:pt>
                <c:pt idx="377">
                  <c:v>7</c:v>
                </c:pt>
                <c:pt idx="378">
                  <c:v>6</c:v>
                </c:pt>
                <c:pt idx="379">
                  <c:v>6</c:v>
                </c:pt>
                <c:pt idx="380">
                  <c:v>6</c:v>
                </c:pt>
                <c:pt idx="381">
                  <c:v>6</c:v>
                </c:pt>
                <c:pt idx="382">
                  <c:v>6</c:v>
                </c:pt>
                <c:pt idx="383">
                  <c:v>6</c:v>
                </c:pt>
                <c:pt idx="384">
                  <c:v>5</c:v>
                </c:pt>
                <c:pt idx="385">
                  <c:v>6</c:v>
                </c:pt>
                <c:pt idx="386">
                  <c:v>6</c:v>
                </c:pt>
                <c:pt idx="387">
                  <c:v>6</c:v>
                </c:pt>
                <c:pt idx="388">
                  <c:v>6</c:v>
                </c:pt>
                <c:pt idx="389">
                  <c:v>7</c:v>
                </c:pt>
                <c:pt idx="390">
                  <c:v>8</c:v>
                </c:pt>
                <c:pt idx="391">
                  <c:v>6</c:v>
                </c:pt>
                <c:pt idx="392">
                  <c:v>5</c:v>
                </c:pt>
                <c:pt idx="393">
                  <c:v>5</c:v>
                </c:pt>
                <c:pt idx="394">
                  <c:v>5</c:v>
                </c:pt>
                <c:pt idx="395">
                  <c:v>7</c:v>
                </c:pt>
                <c:pt idx="396">
                  <c:v>5</c:v>
                </c:pt>
                <c:pt idx="397">
                  <c:v>6</c:v>
                </c:pt>
                <c:pt idx="398">
                  <c:v>6</c:v>
                </c:pt>
                <c:pt idx="399">
                  <c:v>5</c:v>
                </c:pt>
                <c:pt idx="400">
                  <c:v>5</c:v>
                </c:pt>
                <c:pt idx="401">
                  <c:v>6</c:v>
                </c:pt>
                <c:pt idx="402">
                  <c:v>6</c:v>
                </c:pt>
                <c:pt idx="403">
                  <c:v>6</c:v>
                </c:pt>
                <c:pt idx="404">
                  <c:v>5</c:v>
                </c:pt>
                <c:pt idx="405">
                  <c:v>6</c:v>
                </c:pt>
                <c:pt idx="406">
                  <c:v>6</c:v>
                </c:pt>
                <c:pt idx="407">
                  <c:v>7</c:v>
                </c:pt>
                <c:pt idx="408">
                  <c:v>6</c:v>
                </c:pt>
                <c:pt idx="409">
                  <c:v>4</c:v>
                </c:pt>
                <c:pt idx="410">
                  <c:v>6</c:v>
                </c:pt>
                <c:pt idx="411">
                  <c:v>5</c:v>
                </c:pt>
                <c:pt idx="412">
                  <c:v>5</c:v>
                </c:pt>
                <c:pt idx="413">
                  <c:v>7</c:v>
                </c:pt>
                <c:pt idx="414">
                  <c:v>5</c:v>
                </c:pt>
                <c:pt idx="415">
                  <c:v>5</c:v>
                </c:pt>
                <c:pt idx="416">
                  <c:v>6</c:v>
                </c:pt>
                <c:pt idx="417">
                  <c:v>5</c:v>
                </c:pt>
                <c:pt idx="418">
                  <c:v>6</c:v>
                </c:pt>
                <c:pt idx="419">
                  <c:v>5</c:v>
                </c:pt>
                <c:pt idx="420">
                  <c:v>7</c:v>
                </c:pt>
                <c:pt idx="421">
                  <c:v>7</c:v>
                </c:pt>
                <c:pt idx="422">
                  <c:v>5</c:v>
                </c:pt>
                <c:pt idx="423">
                  <c:v>7</c:v>
                </c:pt>
                <c:pt idx="424">
                  <c:v>5</c:v>
                </c:pt>
                <c:pt idx="425">
                  <c:v>7</c:v>
                </c:pt>
                <c:pt idx="426">
                  <c:v>6</c:v>
                </c:pt>
                <c:pt idx="427">
                  <c:v>6</c:v>
                </c:pt>
                <c:pt idx="428">
                  <c:v>5</c:v>
                </c:pt>
                <c:pt idx="429">
                  <c:v>6</c:v>
                </c:pt>
                <c:pt idx="430">
                  <c:v>7</c:v>
                </c:pt>
                <c:pt idx="431">
                  <c:v>5</c:v>
                </c:pt>
                <c:pt idx="432">
                  <c:v>6</c:v>
                </c:pt>
                <c:pt idx="433">
                  <c:v>5</c:v>
                </c:pt>
                <c:pt idx="434">
                  <c:v>6</c:v>
                </c:pt>
                <c:pt idx="435">
                  <c:v>5</c:v>
                </c:pt>
                <c:pt idx="436">
                  <c:v>6</c:v>
                </c:pt>
                <c:pt idx="437">
                  <c:v>6</c:v>
                </c:pt>
                <c:pt idx="438">
                  <c:v>6</c:v>
                </c:pt>
                <c:pt idx="439">
                  <c:v>5</c:v>
                </c:pt>
                <c:pt idx="440">
                  <c:v>8</c:v>
                </c:pt>
                <c:pt idx="441">
                  <c:v>6</c:v>
                </c:pt>
                <c:pt idx="442">
                  <c:v>7</c:v>
                </c:pt>
                <c:pt idx="443">
                  <c:v>7</c:v>
                </c:pt>
                <c:pt idx="444">
                  <c:v>7</c:v>
                </c:pt>
                <c:pt idx="445">
                  <c:v>6</c:v>
                </c:pt>
                <c:pt idx="446">
                  <c:v>5</c:v>
                </c:pt>
                <c:pt idx="447">
                  <c:v>5</c:v>
                </c:pt>
                <c:pt idx="448">
                  <c:v>6</c:v>
                </c:pt>
                <c:pt idx="449">
                  <c:v>6</c:v>
                </c:pt>
                <c:pt idx="450">
                  <c:v>6</c:v>
                </c:pt>
                <c:pt idx="451">
                  <c:v>6</c:v>
                </c:pt>
                <c:pt idx="452">
                  <c:v>6</c:v>
                </c:pt>
                <c:pt idx="453">
                  <c:v>7</c:v>
                </c:pt>
                <c:pt idx="454">
                  <c:v>5</c:v>
                </c:pt>
                <c:pt idx="455">
                  <c:v>8</c:v>
                </c:pt>
                <c:pt idx="456">
                  <c:v>5</c:v>
                </c:pt>
                <c:pt idx="457">
                  <c:v>5</c:v>
                </c:pt>
                <c:pt idx="458">
                  <c:v>7</c:v>
                </c:pt>
                <c:pt idx="459">
                  <c:v>3</c:v>
                </c:pt>
                <c:pt idx="460">
                  <c:v>6</c:v>
                </c:pt>
                <c:pt idx="461">
                  <c:v>5</c:v>
                </c:pt>
                <c:pt idx="462">
                  <c:v>5</c:v>
                </c:pt>
                <c:pt idx="463">
                  <c:v>5</c:v>
                </c:pt>
                <c:pt idx="464">
                  <c:v>6</c:v>
                </c:pt>
                <c:pt idx="465">
                  <c:v>5</c:v>
                </c:pt>
                <c:pt idx="466">
                  <c:v>6</c:v>
                </c:pt>
                <c:pt idx="467">
                  <c:v>6</c:v>
                </c:pt>
                <c:pt idx="468">
                  <c:v>6</c:v>
                </c:pt>
                <c:pt idx="469">
                  <c:v>5</c:v>
                </c:pt>
                <c:pt idx="470">
                  <c:v>5</c:v>
                </c:pt>
                <c:pt idx="471">
                  <c:v>6</c:v>
                </c:pt>
                <c:pt idx="472">
                  <c:v>6</c:v>
                </c:pt>
                <c:pt idx="473">
                  <c:v>5</c:v>
                </c:pt>
                <c:pt idx="474">
                  <c:v>6</c:v>
                </c:pt>
                <c:pt idx="475">
                  <c:v>5</c:v>
                </c:pt>
                <c:pt idx="476">
                  <c:v>5</c:v>
                </c:pt>
                <c:pt idx="477">
                  <c:v>6</c:v>
                </c:pt>
                <c:pt idx="478">
                  <c:v>5</c:v>
                </c:pt>
                <c:pt idx="479">
                  <c:v>6</c:v>
                </c:pt>
                <c:pt idx="480">
                  <c:v>5</c:v>
                </c:pt>
                <c:pt idx="481">
                  <c:v>8</c:v>
                </c:pt>
                <c:pt idx="482">
                  <c:v>5</c:v>
                </c:pt>
                <c:pt idx="483">
                  <c:v>5</c:v>
                </c:pt>
                <c:pt idx="484">
                  <c:v>6</c:v>
                </c:pt>
                <c:pt idx="485">
                  <c:v>5</c:v>
                </c:pt>
                <c:pt idx="486">
                  <c:v>5</c:v>
                </c:pt>
                <c:pt idx="487">
                  <c:v>6</c:v>
                </c:pt>
                <c:pt idx="488">
                  <c:v>7</c:v>
                </c:pt>
                <c:pt idx="489">
                  <c:v>6</c:v>
                </c:pt>
                <c:pt idx="490">
                  <c:v>6</c:v>
                </c:pt>
                <c:pt idx="491">
                  <c:v>7</c:v>
                </c:pt>
                <c:pt idx="492">
                  <c:v>7</c:v>
                </c:pt>
                <c:pt idx="493">
                  <c:v>6</c:v>
                </c:pt>
                <c:pt idx="494">
                  <c:v>6</c:v>
                </c:pt>
                <c:pt idx="495">
                  <c:v>8</c:v>
                </c:pt>
                <c:pt idx="496">
                  <c:v>6</c:v>
                </c:pt>
                <c:pt idx="497">
                  <c:v>5</c:v>
                </c:pt>
                <c:pt idx="498">
                  <c:v>8</c:v>
                </c:pt>
                <c:pt idx="499">
                  <c:v>6</c:v>
                </c:pt>
                <c:pt idx="500">
                  <c:v>6</c:v>
                </c:pt>
                <c:pt idx="501">
                  <c:v>7</c:v>
                </c:pt>
                <c:pt idx="502">
                  <c:v>7</c:v>
                </c:pt>
                <c:pt idx="503">
                  <c:v>7</c:v>
                </c:pt>
                <c:pt idx="504">
                  <c:v>7</c:v>
                </c:pt>
                <c:pt idx="505">
                  <c:v>7</c:v>
                </c:pt>
                <c:pt idx="506">
                  <c:v>7</c:v>
                </c:pt>
                <c:pt idx="507">
                  <c:v>6</c:v>
                </c:pt>
                <c:pt idx="508">
                  <c:v>6</c:v>
                </c:pt>
                <c:pt idx="509">
                  <c:v>7</c:v>
                </c:pt>
                <c:pt idx="510">
                  <c:v>5</c:v>
                </c:pt>
                <c:pt idx="511">
                  <c:v>6</c:v>
                </c:pt>
                <c:pt idx="512">
                  <c:v>6</c:v>
                </c:pt>
                <c:pt idx="513">
                  <c:v>7</c:v>
                </c:pt>
                <c:pt idx="514">
                  <c:v>7</c:v>
                </c:pt>
                <c:pt idx="515">
                  <c:v>5</c:v>
                </c:pt>
                <c:pt idx="516">
                  <c:v>6</c:v>
                </c:pt>
                <c:pt idx="517">
                  <c:v>3</c:v>
                </c:pt>
                <c:pt idx="518">
                  <c:v>6</c:v>
                </c:pt>
                <c:pt idx="519">
                  <c:v>5</c:v>
                </c:pt>
                <c:pt idx="520">
                  <c:v>6</c:v>
                </c:pt>
                <c:pt idx="521">
                  <c:v>5</c:v>
                </c:pt>
                <c:pt idx="522">
                  <c:v>5</c:v>
                </c:pt>
                <c:pt idx="523">
                  <c:v>5</c:v>
                </c:pt>
                <c:pt idx="524">
                  <c:v>5</c:v>
                </c:pt>
                <c:pt idx="525">
                  <c:v>5</c:v>
                </c:pt>
                <c:pt idx="526">
                  <c:v>5</c:v>
                </c:pt>
                <c:pt idx="527">
                  <c:v>6</c:v>
                </c:pt>
                <c:pt idx="528">
                  <c:v>6</c:v>
                </c:pt>
                <c:pt idx="529">
                  <c:v>5</c:v>
                </c:pt>
                <c:pt idx="530">
                  <c:v>6</c:v>
                </c:pt>
                <c:pt idx="531">
                  <c:v>5</c:v>
                </c:pt>
                <c:pt idx="532">
                  <c:v>5</c:v>
                </c:pt>
                <c:pt idx="533">
                  <c:v>6</c:v>
                </c:pt>
                <c:pt idx="534">
                  <c:v>6</c:v>
                </c:pt>
                <c:pt idx="535">
                  <c:v>6</c:v>
                </c:pt>
                <c:pt idx="536">
                  <c:v>5</c:v>
                </c:pt>
                <c:pt idx="537">
                  <c:v>6</c:v>
                </c:pt>
                <c:pt idx="538">
                  <c:v>7</c:v>
                </c:pt>
                <c:pt idx="539">
                  <c:v>5</c:v>
                </c:pt>
                <c:pt idx="540">
                  <c:v>5</c:v>
                </c:pt>
                <c:pt idx="541">
                  <c:v>6</c:v>
                </c:pt>
                <c:pt idx="542">
                  <c:v>5</c:v>
                </c:pt>
                <c:pt idx="543">
                  <c:v>6</c:v>
                </c:pt>
                <c:pt idx="544">
                  <c:v>6</c:v>
                </c:pt>
                <c:pt idx="545">
                  <c:v>5</c:v>
                </c:pt>
                <c:pt idx="546">
                  <c:v>6</c:v>
                </c:pt>
                <c:pt idx="547">
                  <c:v>6</c:v>
                </c:pt>
                <c:pt idx="548">
                  <c:v>6</c:v>
                </c:pt>
                <c:pt idx="549">
                  <c:v>6</c:v>
                </c:pt>
                <c:pt idx="550">
                  <c:v>6</c:v>
                </c:pt>
                <c:pt idx="551">
                  <c:v>6</c:v>
                </c:pt>
                <c:pt idx="552">
                  <c:v>6</c:v>
                </c:pt>
                <c:pt idx="553">
                  <c:v>5</c:v>
                </c:pt>
                <c:pt idx="554">
                  <c:v>5</c:v>
                </c:pt>
                <c:pt idx="555">
                  <c:v>5</c:v>
                </c:pt>
                <c:pt idx="556">
                  <c:v>6</c:v>
                </c:pt>
                <c:pt idx="557">
                  <c:v>5</c:v>
                </c:pt>
                <c:pt idx="558">
                  <c:v>6</c:v>
                </c:pt>
                <c:pt idx="559">
                  <c:v>6</c:v>
                </c:pt>
                <c:pt idx="560">
                  <c:v>5</c:v>
                </c:pt>
                <c:pt idx="561">
                  <c:v>5</c:v>
                </c:pt>
                <c:pt idx="562">
                  <c:v>5</c:v>
                </c:pt>
                <c:pt idx="563">
                  <c:v>6</c:v>
                </c:pt>
                <c:pt idx="564">
                  <c:v>6</c:v>
                </c:pt>
                <c:pt idx="565">
                  <c:v>5</c:v>
                </c:pt>
                <c:pt idx="566">
                  <c:v>6</c:v>
                </c:pt>
                <c:pt idx="567">
                  <c:v>6</c:v>
                </c:pt>
                <c:pt idx="568">
                  <c:v>6</c:v>
                </c:pt>
                <c:pt idx="569">
                  <c:v>6</c:v>
                </c:pt>
                <c:pt idx="570">
                  <c:v>6</c:v>
                </c:pt>
                <c:pt idx="571">
                  <c:v>6</c:v>
                </c:pt>
                <c:pt idx="572">
                  <c:v>5</c:v>
                </c:pt>
                <c:pt idx="573">
                  <c:v>4</c:v>
                </c:pt>
                <c:pt idx="574">
                  <c:v>6</c:v>
                </c:pt>
                <c:pt idx="575">
                  <c:v>6</c:v>
                </c:pt>
                <c:pt idx="576">
                  <c:v>4</c:v>
                </c:pt>
                <c:pt idx="577">
                  <c:v>5</c:v>
                </c:pt>
                <c:pt idx="578">
                  <c:v>5</c:v>
                </c:pt>
                <c:pt idx="579">
                  <c:v>6</c:v>
                </c:pt>
                <c:pt idx="580">
                  <c:v>5</c:v>
                </c:pt>
                <c:pt idx="581">
                  <c:v>5</c:v>
                </c:pt>
                <c:pt idx="582">
                  <c:v>5</c:v>
                </c:pt>
                <c:pt idx="583">
                  <c:v>7</c:v>
                </c:pt>
                <c:pt idx="584">
                  <c:v>7</c:v>
                </c:pt>
                <c:pt idx="585">
                  <c:v>6</c:v>
                </c:pt>
                <c:pt idx="586">
                  <c:v>7</c:v>
                </c:pt>
                <c:pt idx="587">
                  <c:v>5</c:v>
                </c:pt>
                <c:pt idx="588">
                  <c:v>8</c:v>
                </c:pt>
                <c:pt idx="589">
                  <c:v>7</c:v>
                </c:pt>
                <c:pt idx="590">
                  <c:v>5</c:v>
                </c:pt>
                <c:pt idx="591">
                  <c:v>6</c:v>
                </c:pt>
                <c:pt idx="592">
                  <c:v>5</c:v>
                </c:pt>
                <c:pt idx="593">
                  <c:v>5</c:v>
                </c:pt>
                <c:pt idx="594">
                  <c:v>5</c:v>
                </c:pt>
                <c:pt idx="595">
                  <c:v>5</c:v>
                </c:pt>
                <c:pt idx="596">
                  <c:v>6</c:v>
                </c:pt>
                <c:pt idx="597">
                  <c:v>6</c:v>
                </c:pt>
                <c:pt idx="598">
                  <c:v>6</c:v>
                </c:pt>
                <c:pt idx="599">
                  <c:v>6</c:v>
                </c:pt>
                <c:pt idx="600">
                  <c:v>4</c:v>
                </c:pt>
                <c:pt idx="601">
                  <c:v>6</c:v>
                </c:pt>
                <c:pt idx="602">
                  <c:v>5</c:v>
                </c:pt>
                <c:pt idx="603">
                  <c:v>6</c:v>
                </c:pt>
                <c:pt idx="604">
                  <c:v>6</c:v>
                </c:pt>
                <c:pt idx="605">
                  <c:v>6</c:v>
                </c:pt>
                <c:pt idx="606">
                  <c:v>7</c:v>
                </c:pt>
                <c:pt idx="607">
                  <c:v>6</c:v>
                </c:pt>
                <c:pt idx="608">
                  <c:v>6</c:v>
                </c:pt>
                <c:pt idx="609">
                  <c:v>6</c:v>
                </c:pt>
                <c:pt idx="610">
                  <c:v>5</c:v>
                </c:pt>
                <c:pt idx="611">
                  <c:v>5</c:v>
                </c:pt>
                <c:pt idx="612">
                  <c:v>6</c:v>
                </c:pt>
                <c:pt idx="613">
                  <c:v>5</c:v>
                </c:pt>
                <c:pt idx="614">
                  <c:v>6</c:v>
                </c:pt>
                <c:pt idx="615">
                  <c:v>5</c:v>
                </c:pt>
                <c:pt idx="616">
                  <c:v>5</c:v>
                </c:pt>
                <c:pt idx="617">
                  <c:v>6</c:v>
                </c:pt>
                <c:pt idx="618">
                  <c:v>5</c:v>
                </c:pt>
                <c:pt idx="619">
                  <c:v>5</c:v>
                </c:pt>
                <c:pt idx="620">
                  <c:v>5</c:v>
                </c:pt>
                <c:pt idx="621">
                  <c:v>5</c:v>
                </c:pt>
                <c:pt idx="622">
                  <c:v>5</c:v>
                </c:pt>
                <c:pt idx="623">
                  <c:v>6</c:v>
                </c:pt>
                <c:pt idx="624">
                  <c:v>5</c:v>
                </c:pt>
                <c:pt idx="625">
                  <c:v>5</c:v>
                </c:pt>
                <c:pt idx="626">
                  <c:v>5</c:v>
                </c:pt>
                <c:pt idx="627">
                  <c:v>5</c:v>
                </c:pt>
                <c:pt idx="628">
                  <c:v>6</c:v>
                </c:pt>
                <c:pt idx="629">
                  <c:v>5</c:v>
                </c:pt>
                <c:pt idx="630">
                  <c:v>6</c:v>
                </c:pt>
                <c:pt idx="631">
                  <c:v>5</c:v>
                </c:pt>
                <c:pt idx="632">
                  <c:v>6</c:v>
                </c:pt>
                <c:pt idx="633">
                  <c:v>4</c:v>
                </c:pt>
                <c:pt idx="634">
                  <c:v>5</c:v>
                </c:pt>
                <c:pt idx="635">
                  <c:v>5</c:v>
                </c:pt>
                <c:pt idx="636">
                  <c:v>5</c:v>
                </c:pt>
                <c:pt idx="637">
                  <c:v>5</c:v>
                </c:pt>
                <c:pt idx="638">
                  <c:v>7</c:v>
                </c:pt>
                <c:pt idx="639">
                  <c:v>6</c:v>
                </c:pt>
                <c:pt idx="640">
                  <c:v>5</c:v>
                </c:pt>
                <c:pt idx="641">
                  <c:v>5</c:v>
                </c:pt>
                <c:pt idx="642">
                  <c:v>5</c:v>
                </c:pt>
                <c:pt idx="643">
                  <c:v>5</c:v>
                </c:pt>
                <c:pt idx="644">
                  <c:v>5</c:v>
                </c:pt>
                <c:pt idx="645">
                  <c:v>7</c:v>
                </c:pt>
                <c:pt idx="646">
                  <c:v>5</c:v>
                </c:pt>
                <c:pt idx="647">
                  <c:v>4</c:v>
                </c:pt>
                <c:pt idx="648">
                  <c:v>7</c:v>
                </c:pt>
                <c:pt idx="649">
                  <c:v>6</c:v>
                </c:pt>
                <c:pt idx="650">
                  <c:v>5</c:v>
                </c:pt>
                <c:pt idx="651">
                  <c:v>5</c:v>
                </c:pt>
                <c:pt idx="652">
                  <c:v>5</c:v>
                </c:pt>
                <c:pt idx="653">
                  <c:v>6</c:v>
                </c:pt>
                <c:pt idx="654">
                  <c:v>5</c:v>
                </c:pt>
                <c:pt idx="655">
                  <c:v>5</c:v>
                </c:pt>
                <c:pt idx="656">
                  <c:v>5</c:v>
                </c:pt>
                <c:pt idx="657">
                  <c:v>7</c:v>
                </c:pt>
                <c:pt idx="658">
                  <c:v>6</c:v>
                </c:pt>
                <c:pt idx="659">
                  <c:v>4</c:v>
                </c:pt>
                <c:pt idx="660">
                  <c:v>6</c:v>
                </c:pt>
                <c:pt idx="661">
                  <c:v>5</c:v>
                </c:pt>
                <c:pt idx="662">
                  <c:v>6</c:v>
                </c:pt>
                <c:pt idx="663">
                  <c:v>6</c:v>
                </c:pt>
                <c:pt idx="664">
                  <c:v>5</c:v>
                </c:pt>
                <c:pt idx="665">
                  <c:v>5</c:v>
                </c:pt>
                <c:pt idx="666">
                  <c:v>6</c:v>
                </c:pt>
                <c:pt idx="667">
                  <c:v>6</c:v>
                </c:pt>
                <c:pt idx="668">
                  <c:v>5</c:v>
                </c:pt>
                <c:pt idx="669">
                  <c:v>6</c:v>
                </c:pt>
                <c:pt idx="670">
                  <c:v>5</c:v>
                </c:pt>
                <c:pt idx="671">
                  <c:v>5</c:v>
                </c:pt>
                <c:pt idx="672">
                  <c:v>5</c:v>
                </c:pt>
                <c:pt idx="673">
                  <c:v>5</c:v>
                </c:pt>
                <c:pt idx="674">
                  <c:v>6</c:v>
                </c:pt>
                <c:pt idx="675">
                  <c:v>5</c:v>
                </c:pt>
                <c:pt idx="676">
                  <c:v>6</c:v>
                </c:pt>
                <c:pt idx="677">
                  <c:v>5</c:v>
                </c:pt>
                <c:pt idx="678">
                  <c:v>5</c:v>
                </c:pt>
                <c:pt idx="679">
                  <c:v>5</c:v>
                </c:pt>
                <c:pt idx="680">
                  <c:v>5</c:v>
                </c:pt>
                <c:pt idx="681">
                  <c:v>6</c:v>
                </c:pt>
                <c:pt idx="682">
                  <c:v>5</c:v>
                </c:pt>
                <c:pt idx="683">
                  <c:v>5</c:v>
                </c:pt>
                <c:pt idx="684">
                  <c:v>5</c:v>
                </c:pt>
                <c:pt idx="685">
                  <c:v>5</c:v>
                </c:pt>
                <c:pt idx="686">
                  <c:v>5</c:v>
                </c:pt>
                <c:pt idx="687">
                  <c:v>5</c:v>
                </c:pt>
                <c:pt idx="688">
                  <c:v>5</c:v>
                </c:pt>
                <c:pt idx="689">
                  <c:v>5</c:v>
                </c:pt>
                <c:pt idx="690">
                  <c:v>3</c:v>
                </c:pt>
                <c:pt idx="691">
                  <c:v>5</c:v>
                </c:pt>
                <c:pt idx="692">
                  <c:v>5</c:v>
                </c:pt>
                <c:pt idx="693">
                  <c:v>5</c:v>
                </c:pt>
                <c:pt idx="694">
                  <c:v>5</c:v>
                </c:pt>
                <c:pt idx="695">
                  <c:v>6</c:v>
                </c:pt>
                <c:pt idx="696">
                  <c:v>6</c:v>
                </c:pt>
                <c:pt idx="697">
                  <c:v>6</c:v>
                </c:pt>
                <c:pt idx="698">
                  <c:v>5</c:v>
                </c:pt>
                <c:pt idx="699">
                  <c:v>6</c:v>
                </c:pt>
                <c:pt idx="700">
                  <c:v>6</c:v>
                </c:pt>
                <c:pt idx="701">
                  <c:v>6</c:v>
                </c:pt>
                <c:pt idx="702">
                  <c:v>6</c:v>
                </c:pt>
                <c:pt idx="703">
                  <c:v>4</c:v>
                </c:pt>
                <c:pt idx="704">
                  <c:v>4</c:v>
                </c:pt>
                <c:pt idx="705">
                  <c:v>5</c:v>
                </c:pt>
                <c:pt idx="706">
                  <c:v>5</c:v>
                </c:pt>
                <c:pt idx="707">
                  <c:v>5</c:v>
                </c:pt>
                <c:pt idx="708">
                  <c:v>6</c:v>
                </c:pt>
                <c:pt idx="709">
                  <c:v>6</c:v>
                </c:pt>
                <c:pt idx="710">
                  <c:v>5</c:v>
                </c:pt>
                <c:pt idx="711">
                  <c:v>5</c:v>
                </c:pt>
                <c:pt idx="712">
                  <c:v>5</c:v>
                </c:pt>
                <c:pt idx="713">
                  <c:v>5</c:v>
                </c:pt>
                <c:pt idx="714">
                  <c:v>5</c:v>
                </c:pt>
                <c:pt idx="715">
                  <c:v>6</c:v>
                </c:pt>
                <c:pt idx="716">
                  <c:v>5</c:v>
                </c:pt>
                <c:pt idx="717">
                  <c:v>5</c:v>
                </c:pt>
                <c:pt idx="718">
                  <c:v>5</c:v>
                </c:pt>
                <c:pt idx="719">
                  <c:v>5</c:v>
                </c:pt>
                <c:pt idx="720">
                  <c:v>5</c:v>
                </c:pt>
                <c:pt idx="721">
                  <c:v>5</c:v>
                </c:pt>
                <c:pt idx="722">
                  <c:v>5</c:v>
                </c:pt>
                <c:pt idx="723">
                  <c:v>5</c:v>
                </c:pt>
                <c:pt idx="724">
                  <c:v>4</c:v>
                </c:pt>
                <c:pt idx="725">
                  <c:v>5</c:v>
                </c:pt>
                <c:pt idx="726">
                  <c:v>6</c:v>
                </c:pt>
                <c:pt idx="727">
                  <c:v>5</c:v>
                </c:pt>
                <c:pt idx="728">
                  <c:v>5</c:v>
                </c:pt>
                <c:pt idx="729">
                  <c:v>6</c:v>
                </c:pt>
                <c:pt idx="730">
                  <c:v>5</c:v>
                </c:pt>
                <c:pt idx="731">
                  <c:v>5</c:v>
                </c:pt>
                <c:pt idx="732">
                  <c:v>5</c:v>
                </c:pt>
                <c:pt idx="733">
                  <c:v>5</c:v>
                </c:pt>
                <c:pt idx="734">
                  <c:v>5</c:v>
                </c:pt>
                <c:pt idx="735">
                  <c:v>5</c:v>
                </c:pt>
                <c:pt idx="736">
                  <c:v>5</c:v>
                </c:pt>
                <c:pt idx="737">
                  <c:v>6</c:v>
                </c:pt>
                <c:pt idx="738">
                  <c:v>5</c:v>
                </c:pt>
                <c:pt idx="739">
                  <c:v>5</c:v>
                </c:pt>
                <c:pt idx="740">
                  <c:v>6</c:v>
                </c:pt>
                <c:pt idx="741">
                  <c:v>5</c:v>
                </c:pt>
                <c:pt idx="742">
                  <c:v>5</c:v>
                </c:pt>
                <c:pt idx="743">
                  <c:v>5</c:v>
                </c:pt>
                <c:pt idx="744">
                  <c:v>5</c:v>
                </c:pt>
                <c:pt idx="745">
                  <c:v>6</c:v>
                </c:pt>
                <c:pt idx="746">
                  <c:v>6</c:v>
                </c:pt>
                <c:pt idx="747">
                  <c:v>5</c:v>
                </c:pt>
                <c:pt idx="748">
                  <c:v>6</c:v>
                </c:pt>
                <c:pt idx="749">
                  <c:v>6</c:v>
                </c:pt>
                <c:pt idx="750">
                  <c:v>5</c:v>
                </c:pt>
                <c:pt idx="751">
                  <c:v>5</c:v>
                </c:pt>
                <c:pt idx="752">
                  <c:v>5</c:v>
                </c:pt>
                <c:pt idx="753">
                  <c:v>5</c:v>
                </c:pt>
                <c:pt idx="754">
                  <c:v>6</c:v>
                </c:pt>
                <c:pt idx="755">
                  <c:v>6</c:v>
                </c:pt>
                <c:pt idx="756">
                  <c:v>6</c:v>
                </c:pt>
                <c:pt idx="757">
                  <c:v>5</c:v>
                </c:pt>
                <c:pt idx="758">
                  <c:v>5</c:v>
                </c:pt>
                <c:pt idx="759">
                  <c:v>5</c:v>
                </c:pt>
                <c:pt idx="760">
                  <c:v>5</c:v>
                </c:pt>
                <c:pt idx="761">
                  <c:v>5</c:v>
                </c:pt>
                <c:pt idx="762">
                  <c:v>6</c:v>
                </c:pt>
                <c:pt idx="763">
                  <c:v>5</c:v>
                </c:pt>
                <c:pt idx="764">
                  <c:v>6</c:v>
                </c:pt>
                <c:pt idx="765">
                  <c:v>6</c:v>
                </c:pt>
                <c:pt idx="766">
                  <c:v>5</c:v>
                </c:pt>
                <c:pt idx="767">
                  <c:v>5</c:v>
                </c:pt>
                <c:pt idx="768">
                  <c:v>6</c:v>
                </c:pt>
                <c:pt idx="769">
                  <c:v>5</c:v>
                </c:pt>
                <c:pt idx="770">
                  <c:v>6</c:v>
                </c:pt>
                <c:pt idx="771">
                  <c:v>5</c:v>
                </c:pt>
                <c:pt idx="772">
                  <c:v>5</c:v>
                </c:pt>
                <c:pt idx="773">
                  <c:v>6</c:v>
                </c:pt>
                <c:pt idx="774">
                  <c:v>6</c:v>
                </c:pt>
                <c:pt idx="775">
                  <c:v>5</c:v>
                </c:pt>
                <c:pt idx="776">
                  <c:v>6</c:v>
                </c:pt>
                <c:pt idx="777">
                  <c:v>6</c:v>
                </c:pt>
                <c:pt idx="778">
                  <c:v>5</c:v>
                </c:pt>
                <c:pt idx="779">
                  <c:v>5</c:v>
                </c:pt>
                <c:pt idx="780">
                  <c:v>6</c:v>
                </c:pt>
                <c:pt idx="781">
                  <c:v>5</c:v>
                </c:pt>
                <c:pt idx="782">
                  <c:v>5</c:v>
                </c:pt>
                <c:pt idx="783">
                  <c:v>5</c:v>
                </c:pt>
                <c:pt idx="784">
                  <c:v>5</c:v>
                </c:pt>
                <c:pt idx="785">
                  <c:v>5</c:v>
                </c:pt>
                <c:pt idx="786">
                  <c:v>5</c:v>
                </c:pt>
                <c:pt idx="787">
                  <c:v>6</c:v>
                </c:pt>
                <c:pt idx="788">
                  <c:v>6</c:v>
                </c:pt>
                <c:pt idx="789">
                  <c:v>5</c:v>
                </c:pt>
                <c:pt idx="790">
                  <c:v>6</c:v>
                </c:pt>
                <c:pt idx="791">
                  <c:v>5</c:v>
                </c:pt>
                <c:pt idx="792">
                  <c:v>6</c:v>
                </c:pt>
                <c:pt idx="793">
                  <c:v>5</c:v>
                </c:pt>
                <c:pt idx="794">
                  <c:v>6</c:v>
                </c:pt>
                <c:pt idx="795">
                  <c:v>5</c:v>
                </c:pt>
                <c:pt idx="796">
                  <c:v>5</c:v>
                </c:pt>
                <c:pt idx="797">
                  <c:v>7</c:v>
                </c:pt>
                <c:pt idx="798">
                  <c:v>6</c:v>
                </c:pt>
                <c:pt idx="799">
                  <c:v>6</c:v>
                </c:pt>
                <c:pt idx="800">
                  <c:v>5</c:v>
                </c:pt>
                <c:pt idx="801">
                  <c:v>5</c:v>
                </c:pt>
                <c:pt idx="802">
                  <c:v>7</c:v>
                </c:pt>
                <c:pt idx="803">
                  <c:v>6</c:v>
                </c:pt>
                <c:pt idx="804">
                  <c:v>6</c:v>
                </c:pt>
                <c:pt idx="805">
                  <c:v>7</c:v>
                </c:pt>
                <c:pt idx="806">
                  <c:v>7</c:v>
                </c:pt>
                <c:pt idx="807">
                  <c:v>7</c:v>
                </c:pt>
                <c:pt idx="808">
                  <c:v>5</c:v>
                </c:pt>
                <c:pt idx="809">
                  <c:v>6</c:v>
                </c:pt>
                <c:pt idx="810">
                  <c:v>5</c:v>
                </c:pt>
                <c:pt idx="811">
                  <c:v>6</c:v>
                </c:pt>
                <c:pt idx="812">
                  <c:v>5</c:v>
                </c:pt>
                <c:pt idx="813">
                  <c:v>4</c:v>
                </c:pt>
                <c:pt idx="814">
                  <c:v>6</c:v>
                </c:pt>
                <c:pt idx="815">
                  <c:v>5</c:v>
                </c:pt>
                <c:pt idx="816">
                  <c:v>6</c:v>
                </c:pt>
                <c:pt idx="817">
                  <c:v>6</c:v>
                </c:pt>
                <c:pt idx="818">
                  <c:v>5</c:v>
                </c:pt>
                <c:pt idx="819">
                  <c:v>5</c:v>
                </c:pt>
                <c:pt idx="820">
                  <c:v>5</c:v>
                </c:pt>
                <c:pt idx="821">
                  <c:v>7</c:v>
                </c:pt>
                <c:pt idx="822">
                  <c:v>5</c:v>
                </c:pt>
                <c:pt idx="823">
                  <c:v>5</c:v>
                </c:pt>
                <c:pt idx="824">
                  <c:v>5</c:v>
                </c:pt>
                <c:pt idx="825">
                  <c:v>5</c:v>
                </c:pt>
                <c:pt idx="826">
                  <c:v>7</c:v>
                </c:pt>
                <c:pt idx="827">
                  <c:v>5</c:v>
                </c:pt>
                <c:pt idx="828">
                  <c:v>8</c:v>
                </c:pt>
                <c:pt idx="829">
                  <c:v>6</c:v>
                </c:pt>
                <c:pt idx="830">
                  <c:v>4</c:v>
                </c:pt>
                <c:pt idx="831">
                  <c:v>6</c:v>
                </c:pt>
                <c:pt idx="832">
                  <c:v>3</c:v>
                </c:pt>
                <c:pt idx="833">
                  <c:v>4</c:v>
                </c:pt>
                <c:pt idx="834">
                  <c:v>5</c:v>
                </c:pt>
                <c:pt idx="835">
                  <c:v>5</c:v>
                </c:pt>
                <c:pt idx="836">
                  <c:v>7</c:v>
                </c:pt>
                <c:pt idx="837">
                  <c:v>7</c:v>
                </c:pt>
                <c:pt idx="838">
                  <c:v>7</c:v>
                </c:pt>
                <c:pt idx="839">
                  <c:v>5</c:v>
                </c:pt>
                <c:pt idx="840">
                  <c:v>7</c:v>
                </c:pt>
                <c:pt idx="841">
                  <c:v>5</c:v>
                </c:pt>
                <c:pt idx="842">
                  <c:v>6</c:v>
                </c:pt>
                <c:pt idx="843">
                  <c:v>5</c:v>
                </c:pt>
                <c:pt idx="844">
                  <c:v>6</c:v>
                </c:pt>
                <c:pt idx="845">
                  <c:v>5</c:v>
                </c:pt>
                <c:pt idx="846">
                  <c:v>5</c:v>
                </c:pt>
                <c:pt idx="847">
                  <c:v>6</c:v>
                </c:pt>
                <c:pt idx="848">
                  <c:v>5</c:v>
                </c:pt>
                <c:pt idx="849">
                  <c:v>5</c:v>
                </c:pt>
                <c:pt idx="850">
                  <c:v>5</c:v>
                </c:pt>
                <c:pt idx="851">
                  <c:v>5</c:v>
                </c:pt>
                <c:pt idx="852">
                  <c:v>5</c:v>
                </c:pt>
                <c:pt idx="853">
                  <c:v>6</c:v>
                </c:pt>
                <c:pt idx="854">
                  <c:v>6</c:v>
                </c:pt>
                <c:pt idx="855">
                  <c:v>7</c:v>
                </c:pt>
                <c:pt idx="856">
                  <c:v>6</c:v>
                </c:pt>
                <c:pt idx="857">
                  <c:v>7</c:v>
                </c:pt>
                <c:pt idx="858">
                  <c:v>7</c:v>
                </c:pt>
                <c:pt idx="859">
                  <c:v>6</c:v>
                </c:pt>
                <c:pt idx="860">
                  <c:v>5</c:v>
                </c:pt>
                <c:pt idx="861">
                  <c:v>6</c:v>
                </c:pt>
                <c:pt idx="862">
                  <c:v>5</c:v>
                </c:pt>
                <c:pt idx="863">
                  <c:v>5</c:v>
                </c:pt>
                <c:pt idx="864">
                  <c:v>5</c:v>
                </c:pt>
                <c:pt idx="865">
                  <c:v>5</c:v>
                </c:pt>
                <c:pt idx="866">
                  <c:v>6</c:v>
                </c:pt>
                <c:pt idx="867">
                  <c:v>6</c:v>
                </c:pt>
                <c:pt idx="868">
                  <c:v>6</c:v>
                </c:pt>
                <c:pt idx="869">
                  <c:v>6</c:v>
                </c:pt>
                <c:pt idx="870">
                  <c:v>6</c:v>
                </c:pt>
                <c:pt idx="871">
                  <c:v>5</c:v>
                </c:pt>
                <c:pt idx="872">
                  <c:v>4</c:v>
                </c:pt>
                <c:pt idx="873">
                  <c:v>7</c:v>
                </c:pt>
                <c:pt idx="874">
                  <c:v>7</c:v>
                </c:pt>
                <c:pt idx="875">
                  <c:v>7</c:v>
                </c:pt>
                <c:pt idx="876">
                  <c:v>4</c:v>
                </c:pt>
                <c:pt idx="877">
                  <c:v>6</c:v>
                </c:pt>
                <c:pt idx="878">
                  <c:v>6</c:v>
                </c:pt>
                <c:pt idx="879">
                  <c:v>5</c:v>
                </c:pt>
                <c:pt idx="880">
                  <c:v>5</c:v>
                </c:pt>
                <c:pt idx="881">
                  <c:v>6</c:v>
                </c:pt>
                <c:pt idx="882">
                  <c:v>6</c:v>
                </c:pt>
                <c:pt idx="883">
                  <c:v>5</c:v>
                </c:pt>
                <c:pt idx="884">
                  <c:v>6</c:v>
                </c:pt>
                <c:pt idx="885">
                  <c:v>5</c:v>
                </c:pt>
                <c:pt idx="886">
                  <c:v>6</c:v>
                </c:pt>
                <c:pt idx="887">
                  <c:v>7</c:v>
                </c:pt>
                <c:pt idx="888">
                  <c:v>6</c:v>
                </c:pt>
                <c:pt idx="889">
                  <c:v>5</c:v>
                </c:pt>
                <c:pt idx="890">
                  <c:v>5</c:v>
                </c:pt>
                <c:pt idx="891">
                  <c:v>5</c:v>
                </c:pt>
                <c:pt idx="892">
                  <c:v>6</c:v>
                </c:pt>
                <c:pt idx="893">
                  <c:v>5</c:v>
                </c:pt>
                <c:pt idx="894">
                  <c:v>6</c:v>
                </c:pt>
                <c:pt idx="895">
                  <c:v>6</c:v>
                </c:pt>
                <c:pt idx="896">
                  <c:v>7</c:v>
                </c:pt>
                <c:pt idx="897">
                  <c:v>6</c:v>
                </c:pt>
                <c:pt idx="898">
                  <c:v>7</c:v>
                </c:pt>
                <c:pt idx="899">
                  <c:v>3</c:v>
                </c:pt>
                <c:pt idx="900">
                  <c:v>5</c:v>
                </c:pt>
                <c:pt idx="901">
                  <c:v>7</c:v>
                </c:pt>
                <c:pt idx="902">
                  <c:v>7</c:v>
                </c:pt>
                <c:pt idx="903">
                  <c:v>7</c:v>
                </c:pt>
                <c:pt idx="904">
                  <c:v>7</c:v>
                </c:pt>
                <c:pt idx="905">
                  <c:v>5</c:v>
                </c:pt>
                <c:pt idx="906">
                  <c:v>5</c:v>
                </c:pt>
                <c:pt idx="907">
                  <c:v>6</c:v>
                </c:pt>
                <c:pt idx="908">
                  <c:v>6</c:v>
                </c:pt>
                <c:pt idx="909">
                  <c:v>6</c:v>
                </c:pt>
                <c:pt idx="910">
                  <c:v>6</c:v>
                </c:pt>
                <c:pt idx="911">
                  <c:v>6</c:v>
                </c:pt>
                <c:pt idx="912">
                  <c:v>6</c:v>
                </c:pt>
                <c:pt idx="913">
                  <c:v>7</c:v>
                </c:pt>
                <c:pt idx="914">
                  <c:v>6</c:v>
                </c:pt>
                <c:pt idx="915">
                  <c:v>6</c:v>
                </c:pt>
                <c:pt idx="916">
                  <c:v>5</c:v>
                </c:pt>
                <c:pt idx="917">
                  <c:v>6</c:v>
                </c:pt>
                <c:pt idx="918">
                  <c:v>6</c:v>
                </c:pt>
                <c:pt idx="919">
                  <c:v>6</c:v>
                </c:pt>
                <c:pt idx="920">
                  <c:v>5</c:v>
                </c:pt>
                <c:pt idx="921">
                  <c:v>6</c:v>
                </c:pt>
                <c:pt idx="922">
                  <c:v>6</c:v>
                </c:pt>
                <c:pt idx="923">
                  <c:v>6</c:v>
                </c:pt>
                <c:pt idx="924">
                  <c:v>5</c:v>
                </c:pt>
                <c:pt idx="925">
                  <c:v>7</c:v>
                </c:pt>
                <c:pt idx="926">
                  <c:v>6</c:v>
                </c:pt>
                <c:pt idx="927">
                  <c:v>4</c:v>
                </c:pt>
                <c:pt idx="928">
                  <c:v>5</c:v>
                </c:pt>
                <c:pt idx="929">
                  <c:v>7</c:v>
                </c:pt>
                <c:pt idx="930">
                  <c:v>5</c:v>
                </c:pt>
                <c:pt idx="931">
                  <c:v>5</c:v>
                </c:pt>
                <c:pt idx="932">
                  <c:v>6</c:v>
                </c:pt>
                <c:pt idx="933">
                  <c:v>5</c:v>
                </c:pt>
                <c:pt idx="934">
                  <c:v>5</c:v>
                </c:pt>
                <c:pt idx="935">
                  <c:v>6</c:v>
                </c:pt>
                <c:pt idx="936">
                  <c:v>6</c:v>
                </c:pt>
                <c:pt idx="937">
                  <c:v>4</c:v>
                </c:pt>
                <c:pt idx="938">
                  <c:v>7</c:v>
                </c:pt>
                <c:pt idx="939">
                  <c:v>5</c:v>
                </c:pt>
                <c:pt idx="940">
                  <c:v>7</c:v>
                </c:pt>
                <c:pt idx="941">
                  <c:v>7</c:v>
                </c:pt>
                <c:pt idx="942">
                  <c:v>7</c:v>
                </c:pt>
                <c:pt idx="943">
                  <c:v>7</c:v>
                </c:pt>
                <c:pt idx="944">
                  <c:v>7</c:v>
                </c:pt>
                <c:pt idx="945">
                  <c:v>7</c:v>
                </c:pt>
                <c:pt idx="946">
                  <c:v>7</c:v>
                </c:pt>
                <c:pt idx="947">
                  <c:v>7</c:v>
                </c:pt>
                <c:pt idx="948">
                  <c:v>7</c:v>
                </c:pt>
                <c:pt idx="949">
                  <c:v>7</c:v>
                </c:pt>
                <c:pt idx="950">
                  <c:v>7</c:v>
                </c:pt>
                <c:pt idx="951">
                  <c:v>7</c:v>
                </c:pt>
                <c:pt idx="952">
                  <c:v>7</c:v>
                </c:pt>
                <c:pt idx="953">
                  <c:v>7</c:v>
                </c:pt>
                <c:pt idx="954">
                  <c:v>6</c:v>
                </c:pt>
                <c:pt idx="955">
                  <c:v>5</c:v>
                </c:pt>
                <c:pt idx="956">
                  <c:v>6</c:v>
                </c:pt>
                <c:pt idx="957">
                  <c:v>6</c:v>
                </c:pt>
                <c:pt idx="958">
                  <c:v>7</c:v>
                </c:pt>
                <c:pt idx="959">
                  <c:v>5</c:v>
                </c:pt>
                <c:pt idx="960">
                  <c:v>6</c:v>
                </c:pt>
                <c:pt idx="961">
                  <c:v>5</c:v>
                </c:pt>
                <c:pt idx="962">
                  <c:v>5</c:v>
                </c:pt>
                <c:pt idx="963">
                  <c:v>6</c:v>
                </c:pt>
                <c:pt idx="964">
                  <c:v>6</c:v>
                </c:pt>
                <c:pt idx="965">
                  <c:v>6</c:v>
                </c:pt>
                <c:pt idx="966">
                  <c:v>7</c:v>
                </c:pt>
                <c:pt idx="967">
                  <c:v>5</c:v>
                </c:pt>
                <c:pt idx="968">
                  <c:v>6</c:v>
                </c:pt>
                <c:pt idx="969">
                  <c:v>5</c:v>
                </c:pt>
                <c:pt idx="970">
                  <c:v>6</c:v>
                </c:pt>
                <c:pt idx="971">
                  <c:v>6</c:v>
                </c:pt>
                <c:pt idx="972">
                  <c:v>7</c:v>
                </c:pt>
                <c:pt idx="973">
                  <c:v>5</c:v>
                </c:pt>
                <c:pt idx="974">
                  <c:v>7</c:v>
                </c:pt>
                <c:pt idx="975">
                  <c:v>5</c:v>
                </c:pt>
                <c:pt idx="976">
                  <c:v>5</c:v>
                </c:pt>
                <c:pt idx="977">
                  <c:v>5</c:v>
                </c:pt>
                <c:pt idx="978">
                  <c:v>7</c:v>
                </c:pt>
                <c:pt idx="979">
                  <c:v>5</c:v>
                </c:pt>
                <c:pt idx="980">
                  <c:v>6</c:v>
                </c:pt>
                <c:pt idx="981">
                  <c:v>5</c:v>
                </c:pt>
                <c:pt idx="982">
                  <c:v>6</c:v>
                </c:pt>
                <c:pt idx="983">
                  <c:v>6</c:v>
                </c:pt>
                <c:pt idx="984">
                  <c:v>5</c:v>
                </c:pt>
                <c:pt idx="985">
                  <c:v>6</c:v>
                </c:pt>
                <c:pt idx="986">
                  <c:v>7</c:v>
                </c:pt>
                <c:pt idx="987">
                  <c:v>5</c:v>
                </c:pt>
                <c:pt idx="988">
                  <c:v>5</c:v>
                </c:pt>
                <c:pt idx="989">
                  <c:v>6</c:v>
                </c:pt>
                <c:pt idx="990">
                  <c:v>5</c:v>
                </c:pt>
                <c:pt idx="991">
                  <c:v>5</c:v>
                </c:pt>
                <c:pt idx="992">
                  <c:v>6</c:v>
                </c:pt>
                <c:pt idx="993">
                  <c:v>5</c:v>
                </c:pt>
                <c:pt idx="994">
                  <c:v>5</c:v>
                </c:pt>
                <c:pt idx="995">
                  <c:v>6</c:v>
                </c:pt>
                <c:pt idx="996">
                  <c:v>7</c:v>
                </c:pt>
                <c:pt idx="997">
                  <c:v>7</c:v>
                </c:pt>
                <c:pt idx="998">
                  <c:v>6</c:v>
                </c:pt>
                <c:pt idx="999">
                  <c:v>6</c:v>
                </c:pt>
                <c:pt idx="1000">
                  <c:v>7</c:v>
                </c:pt>
                <c:pt idx="1001">
                  <c:v>7</c:v>
                </c:pt>
                <c:pt idx="1002">
                  <c:v>7</c:v>
                </c:pt>
                <c:pt idx="1003">
                  <c:v>7</c:v>
                </c:pt>
                <c:pt idx="1004">
                  <c:v>5</c:v>
                </c:pt>
                <c:pt idx="1005">
                  <c:v>7</c:v>
                </c:pt>
                <c:pt idx="1006">
                  <c:v>7</c:v>
                </c:pt>
                <c:pt idx="1007">
                  <c:v>7</c:v>
                </c:pt>
                <c:pt idx="1008">
                  <c:v>7</c:v>
                </c:pt>
                <c:pt idx="1009">
                  <c:v>5</c:v>
                </c:pt>
                <c:pt idx="1010">
                  <c:v>7</c:v>
                </c:pt>
                <c:pt idx="1011">
                  <c:v>6</c:v>
                </c:pt>
                <c:pt idx="1012">
                  <c:v>5</c:v>
                </c:pt>
                <c:pt idx="1013">
                  <c:v>6</c:v>
                </c:pt>
                <c:pt idx="1014">
                  <c:v>6</c:v>
                </c:pt>
                <c:pt idx="1015">
                  <c:v>6</c:v>
                </c:pt>
                <c:pt idx="1016">
                  <c:v>7</c:v>
                </c:pt>
                <c:pt idx="1017">
                  <c:v>6</c:v>
                </c:pt>
                <c:pt idx="1018">
                  <c:v>6</c:v>
                </c:pt>
                <c:pt idx="1019">
                  <c:v>5</c:v>
                </c:pt>
                <c:pt idx="1020">
                  <c:v>6</c:v>
                </c:pt>
                <c:pt idx="1021">
                  <c:v>6</c:v>
                </c:pt>
                <c:pt idx="1022">
                  <c:v>5</c:v>
                </c:pt>
                <c:pt idx="1023">
                  <c:v>6</c:v>
                </c:pt>
                <c:pt idx="1024">
                  <c:v>7</c:v>
                </c:pt>
                <c:pt idx="1025">
                  <c:v>6</c:v>
                </c:pt>
                <c:pt idx="1026">
                  <c:v>6</c:v>
                </c:pt>
                <c:pt idx="1027">
                  <c:v>5</c:v>
                </c:pt>
                <c:pt idx="1028">
                  <c:v>6</c:v>
                </c:pt>
                <c:pt idx="1029">
                  <c:v>7</c:v>
                </c:pt>
                <c:pt idx="1030">
                  <c:v>7</c:v>
                </c:pt>
                <c:pt idx="1031">
                  <c:v>7</c:v>
                </c:pt>
                <c:pt idx="1032">
                  <c:v>5</c:v>
                </c:pt>
                <c:pt idx="1033">
                  <c:v>6</c:v>
                </c:pt>
                <c:pt idx="1034">
                  <c:v>6</c:v>
                </c:pt>
                <c:pt idx="1035">
                  <c:v>7</c:v>
                </c:pt>
                <c:pt idx="1036">
                  <c:v>7</c:v>
                </c:pt>
                <c:pt idx="1037">
                  <c:v>5</c:v>
                </c:pt>
                <c:pt idx="1038">
                  <c:v>7</c:v>
                </c:pt>
                <c:pt idx="1039">
                  <c:v>6</c:v>
                </c:pt>
                <c:pt idx="1040">
                  <c:v>5</c:v>
                </c:pt>
                <c:pt idx="1041">
                  <c:v>6</c:v>
                </c:pt>
                <c:pt idx="1042">
                  <c:v>6</c:v>
                </c:pt>
                <c:pt idx="1043">
                  <c:v>7</c:v>
                </c:pt>
                <c:pt idx="1044">
                  <c:v>6</c:v>
                </c:pt>
                <c:pt idx="1045">
                  <c:v>6</c:v>
                </c:pt>
                <c:pt idx="1046">
                  <c:v>6</c:v>
                </c:pt>
                <c:pt idx="1047">
                  <c:v>5</c:v>
                </c:pt>
                <c:pt idx="1048">
                  <c:v>6</c:v>
                </c:pt>
                <c:pt idx="1049">
                  <c:v>6</c:v>
                </c:pt>
                <c:pt idx="1050">
                  <c:v>5</c:v>
                </c:pt>
                <c:pt idx="1051">
                  <c:v>5</c:v>
                </c:pt>
                <c:pt idx="1052">
                  <c:v>5</c:v>
                </c:pt>
                <c:pt idx="1053">
                  <c:v>7</c:v>
                </c:pt>
                <c:pt idx="1054">
                  <c:v>6</c:v>
                </c:pt>
                <c:pt idx="1055">
                  <c:v>6</c:v>
                </c:pt>
                <c:pt idx="1056">
                  <c:v>7</c:v>
                </c:pt>
                <c:pt idx="1057">
                  <c:v>5</c:v>
                </c:pt>
                <c:pt idx="1058">
                  <c:v>7</c:v>
                </c:pt>
                <c:pt idx="1059">
                  <c:v>7</c:v>
                </c:pt>
                <c:pt idx="1060">
                  <c:v>6</c:v>
                </c:pt>
                <c:pt idx="1061">
                  <c:v>8</c:v>
                </c:pt>
                <c:pt idx="1062">
                  <c:v>6</c:v>
                </c:pt>
                <c:pt idx="1063">
                  <c:v>6</c:v>
                </c:pt>
                <c:pt idx="1064">
                  <c:v>6</c:v>
                </c:pt>
                <c:pt idx="1065">
                  <c:v>6</c:v>
                </c:pt>
                <c:pt idx="1066">
                  <c:v>7</c:v>
                </c:pt>
                <c:pt idx="1067">
                  <c:v>7</c:v>
                </c:pt>
                <c:pt idx="1068">
                  <c:v>7</c:v>
                </c:pt>
                <c:pt idx="1069">
                  <c:v>5</c:v>
                </c:pt>
                <c:pt idx="1070">
                  <c:v>7</c:v>
                </c:pt>
                <c:pt idx="1071">
                  <c:v>5</c:v>
                </c:pt>
                <c:pt idx="1072">
                  <c:v>6</c:v>
                </c:pt>
                <c:pt idx="1073">
                  <c:v>6</c:v>
                </c:pt>
                <c:pt idx="1074">
                  <c:v>5</c:v>
                </c:pt>
                <c:pt idx="1075">
                  <c:v>7</c:v>
                </c:pt>
                <c:pt idx="1076">
                  <c:v>6</c:v>
                </c:pt>
                <c:pt idx="1077">
                  <c:v>5</c:v>
                </c:pt>
                <c:pt idx="1078">
                  <c:v>5</c:v>
                </c:pt>
                <c:pt idx="1079">
                  <c:v>7</c:v>
                </c:pt>
                <c:pt idx="1080">
                  <c:v>6</c:v>
                </c:pt>
                <c:pt idx="1081">
                  <c:v>7</c:v>
                </c:pt>
                <c:pt idx="1082">
                  <c:v>6</c:v>
                </c:pt>
                <c:pt idx="1083">
                  <c:v>6</c:v>
                </c:pt>
                <c:pt idx="1084">
                  <c:v>6</c:v>
                </c:pt>
                <c:pt idx="1085">
                  <c:v>5</c:v>
                </c:pt>
                <c:pt idx="1086">
                  <c:v>7</c:v>
                </c:pt>
                <c:pt idx="1087">
                  <c:v>6</c:v>
                </c:pt>
                <c:pt idx="1088">
                  <c:v>7</c:v>
                </c:pt>
                <c:pt idx="1089">
                  <c:v>7</c:v>
                </c:pt>
                <c:pt idx="1090">
                  <c:v>8</c:v>
                </c:pt>
                <c:pt idx="1091">
                  <c:v>6</c:v>
                </c:pt>
                <c:pt idx="1092">
                  <c:v>6</c:v>
                </c:pt>
                <c:pt idx="1093">
                  <c:v>7</c:v>
                </c:pt>
                <c:pt idx="1094">
                  <c:v>6</c:v>
                </c:pt>
                <c:pt idx="1095">
                  <c:v>5</c:v>
                </c:pt>
                <c:pt idx="1096">
                  <c:v>6</c:v>
                </c:pt>
                <c:pt idx="1097">
                  <c:v>5</c:v>
                </c:pt>
                <c:pt idx="1098">
                  <c:v>7</c:v>
                </c:pt>
                <c:pt idx="1099">
                  <c:v>5</c:v>
                </c:pt>
                <c:pt idx="1100">
                  <c:v>6</c:v>
                </c:pt>
                <c:pt idx="1101">
                  <c:v>6</c:v>
                </c:pt>
                <c:pt idx="1102">
                  <c:v>6</c:v>
                </c:pt>
                <c:pt idx="1103">
                  <c:v>6</c:v>
                </c:pt>
                <c:pt idx="1104">
                  <c:v>6</c:v>
                </c:pt>
                <c:pt idx="1105">
                  <c:v>5</c:v>
                </c:pt>
                <c:pt idx="1106">
                  <c:v>6</c:v>
                </c:pt>
                <c:pt idx="1107">
                  <c:v>7</c:v>
                </c:pt>
                <c:pt idx="1108">
                  <c:v>5</c:v>
                </c:pt>
                <c:pt idx="1109">
                  <c:v>6</c:v>
                </c:pt>
                <c:pt idx="1110">
                  <c:v>6</c:v>
                </c:pt>
                <c:pt idx="1111">
                  <c:v>7</c:v>
                </c:pt>
                <c:pt idx="1112">
                  <c:v>6</c:v>
                </c:pt>
                <c:pt idx="1113">
                  <c:v>6</c:v>
                </c:pt>
                <c:pt idx="1114">
                  <c:v>6</c:v>
                </c:pt>
                <c:pt idx="1115">
                  <c:v>6</c:v>
                </c:pt>
                <c:pt idx="1116">
                  <c:v>6</c:v>
                </c:pt>
                <c:pt idx="1117">
                  <c:v>6</c:v>
                </c:pt>
                <c:pt idx="1118">
                  <c:v>6</c:v>
                </c:pt>
                <c:pt idx="1119">
                  <c:v>5</c:v>
                </c:pt>
                <c:pt idx="1120">
                  <c:v>8</c:v>
                </c:pt>
                <c:pt idx="1121">
                  <c:v>6</c:v>
                </c:pt>
                <c:pt idx="1122">
                  <c:v>6</c:v>
                </c:pt>
                <c:pt idx="1123">
                  <c:v>6</c:v>
                </c:pt>
                <c:pt idx="1124">
                  <c:v>4</c:v>
                </c:pt>
                <c:pt idx="1125">
                  <c:v>7</c:v>
                </c:pt>
                <c:pt idx="1126">
                  <c:v>6</c:v>
                </c:pt>
                <c:pt idx="1127">
                  <c:v>6</c:v>
                </c:pt>
                <c:pt idx="1128">
                  <c:v>5</c:v>
                </c:pt>
                <c:pt idx="1129">
                  <c:v>6</c:v>
                </c:pt>
                <c:pt idx="1130">
                  <c:v>6</c:v>
                </c:pt>
                <c:pt idx="1131">
                  <c:v>5</c:v>
                </c:pt>
                <c:pt idx="1132">
                  <c:v>7</c:v>
                </c:pt>
                <c:pt idx="1133">
                  <c:v>7</c:v>
                </c:pt>
                <c:pt idx="1134">
                  <c:v>7</c:v>
                </c:pt>
                <c:pt idx="1135">
                  <c:v>6</c:v>
                </c:pt>
                <c:pt idx="1136">
                  <c:v>6</c:v>
                </c:pt>
                <c:pt idx="1137">
                  <c:v>6</c:v>
                </c:pt>
                <c:pt idx="1138">
                  <c:v>5</c:v>
                </c:pt>
                <c:pt idx="1139">
                  <c:v>6</c:v>
                </c:pt>
                <c:pt idx="1140">
                  <c:v>6</c:v>
                </c:pt>
                <c:pt idx="1141">
                  <c:v>6</c:v>
                </c:pt>
                <c:pt idx="1142">
                  <c:v>6</c:v>
                </c:pt>
                <c:pt idx="1143">
                  <c:v>6</c:v>
                </c:pt>
                <c:pt idx="1144">
                  <c:v>5</c:v>
                </c:pt>
                <c:pt idx="1145">
                  <c:v>6</c:v>
                </c:pt>
                <c:pt idx="1146">
                  <c:v>6</c:v>
                </c:pt>
                <c:pt idx="1147">
                  <c:v>7</c:v>
                </c:pt>
                <c:pt idx="1148">
                  <c:v>6</c:v>
                </c:pt>
                <c:pt idx="1149">
                  <c:v>6</c:v>
                </c:pt>
                <c:pt idx="1150">
                  <c:v>7</c:v>
                </c:pt>
                <c:pt idx="1151">
                  <c:v>6</c:v>
                </c:pt>
                <c:pt idx="1152">
                  <c:v>5</c:v>
                </c:pt>
                <c:pt idx="1153">
                  <c:v>6</c:v>
                </c:pt>
                <c:pt idx="1154">
                  <c:v>6</c:v>
                </c:pt>
                <c:pt idx="1155">
                  <c:v>5</c:v>
                </c:pt>
                <c:pt idx="1156">
                  <c:v>7</c:v>
                </c:pt>
                <c:pt idx="1157">
                  <c:v>7</c:v>
                </c:pt>
                <c:pt idx="1158">
                  <c:v>6</c:v>
                </c:pt>
                <c:pt idx="1159">
                  <c:v>5</c:v>
                </c:pt>
                <c:pt idx="1160">
                  <c:v>7</c:v>
                </c:pt>
                <c:pt idx="1161">
                  <c:v>6</c:v>
                </c:pt>
                <c:pt idx="1162">
                  <c:v>7</c:v>
                </c:pt>
                <c:pt idx="1163">
                  <c:v>5</c:v>
                </c:pt>
                <c:pt idx="1164">
                  <c:v>5</c:v>
                </c:pt>
                <c:pt idx="1165">
                  <c:v>5</c:v>
                </c:pt>
                <c:pt idx="1166">
                  <c:v>5</c:v>
                </c:pt>
                <c:pt idx="1167">
                  <c:v>7</c:v>
                </c:pt>
                <c:pt idx="1168">
                  <c:v>6</c:v>
                </c:pt>
                <c:pt idx="1169">
                  <c:v>6</c:v>
                </c:pt>
                <c:pt idx="1170">
                  <c:v>6</c:v>
                </c:pt>
                <c:pt idx="1171">
                  <c:v>6</c:v>
                </c:pt>
                <c:pt idx="1172">
                  <c:v>6</c:v>
                </c:pt>
                <c:pt idx="1173">
                  <c:v>6</c:v>
                </c:pt>
                <c:pt idx="1174">
                  <c:v>6</c:v>
                </c:pt>
                <c:pt idx="1175">
                  <c:v>6</c:v>
                </c:pt>
                <c:pt idx="1176">
                  <c:v>4</c:v>
                </c:pt>
                <c:pt idx="1177">
                  <c:v>7</c:v>
                </c:pt>
                <c:pt idx="1178">
                  <c:v>5</c:v>
                </c:pt>
                <c:pt idx="1179">
                  <c:v>6</c:v>
                </c:pt>
                <c:pt idx="1180">
                  <c:v>6</c:v>
                </c:pt>
                <c:pt idx="1181">
                  <c:v>5</c:v>
                </c:pt>
                <c:pt idx="1182">
                  <c:v>6</c:v>
                </c:pt>
                <c:pt idx="1183">
                  <c:v>5</c:v>
                </c:pt>
                <c:pt idx="1184">
                  <c:v>5</c:v>
                </c:pt>
                <c:pt idx="1185">
                  <c:v>6</c:v>
                </c:pt>
                <c:pt idx="1186">
                  <c:v>5</c:v>
                </c:pt>
                <c:pt idx="1187">
                  <c:v>6</c:v>
                </c:pt>
                <c:pt idx="1188">
                  <c:v>5</c:v>
                </c:pt>
                <c:pt idx="1189">
                  <c:v>4</c:v>
                </c:pt>
                <c:pt idx="1190">
                  <c:v>6</c:v>
                </c:pt>
                <c:pt idx="1191">
                  <c:v>5</c:v>
                </c:pt>
                <c:pt idx="1192">
                  <c:v>7</c:v>
                </c:pt>
                <c:pt idx="1193">
                  <c:v>5</c:v>
                </c:pt>
                <c:pt idx="1194">
                  <c:v>6</c:v>
                </c:pt>
                <c:pt idx="1195">
                  <c:v>6</c:v>
                </c:pt>
                <c:pt idx="1196">
                  <c:v>6</c:v>
                </c:pt>
                <c:pt idx="1197">
                  <c:v>6</c:v>
                </c:pt>
                <c:pt idx="1198">
                  <c:v>6</c:v>
                </c:pt>
                <c:pt idx="1199">
                  <c:v>6</c:v>
                </c:pt>
                <c:pt idx="1200">
                  <c:v>6</c:v>
                </c:pt>
                <c:pt idx="1201">
                  <c:v>7</c:v>
                </c:pt>
                <c:pt idx="1202">
                  <c:v>8</c:v>
                </c:pt>
                <c:pt idx="1203">
                  <c:v>5</c:v>
                </c:pt>
                <c:pt idx="1204">
                  <c:v>7</c:v>
                </c:pt>
                <c:pt idx="1205">
                  <c:v>7</c:v>
                </c:pt>
                <c:pt idx="1206">
                  <c:v>7</c:v>
                </c:pt>
                <c:pt idx="1207">
                  <c:v>5</c:v>
                </c:pt>
                <c:pt idx="1208">
                  <c:v>7</c:v>
                </c:pt>
                <c:pt idx="1209">
                  <c:v>7</c:v>
                </c:pt>
                <c:pt idx="1210">
                  <c:v>6</c:v>
                </c:pt>
                <c:pt idx="1211">
                  <c:v>5</c:v>
                </c:pt>
                <c:pt idx="1212">
                  <c:v>6</c:v>
                </c:pt>
                <c:pt idx="1213">
                  <c:v>6</c:v>
                </c:pt>
                <c:pt idx="1214">
                  <c:v>6</c:v>
                </c:pt>
                <c:pt idx="1215">
                  <c:v>6</c:v>
                </c:pt>
                <c:pt idx="1216">
                  <c:v>6</c:v>
                </c:pt>
                <c:pt idx="1217">
                  <c:v>6</c:v>
                </c:pt>
                <c:pt idx="1218">
                  <c:v>6</c:v>
                </c:pt>
                <c:pt idx="1219">
                  <c:v>6</c:v>
                </c:pt>
                <c:pt idx="1220">
                  <c:v>6</c:v>
                </c:pt>
                <c:pt idx="1221">
                  <c:v>6</c:v>
                </c:pt>
                <c:pt idx="1222">
                  <c:v>6</c:v>
                </c:pt>
                <c:pt idx="1223">
                  <c:v>6</c:v>
                </c:pt>
                <c:pt idx="1224">
                  <c:v>6</c:v>
                </c:pt>
                <c:pt idx="1225">
                  <c:v>5</c:v>
                </c:pt>
                <c:pt idx="1226">
                  <c:v>5</c:v>
                </c:pt>
                <c:pt idx="1227">
                  <c:v>5</c:v>
                </c:pt>
                <c:pt idx="1228">
                  <c:v>7</c:v>
                </c:pt>
                <c:pt idx="1229">
                  <c:v>5</c:v>
                </c:pt>
                <c:pt idx="1230">
                  <c:v>6</c:v>
                </c:pt>
                <c:pt idx="1231">
                  <c:v>5</c:v>
                </c:pt>
                <c:pt idx="1232">
                  <c:v>5</c:v>
                </c:pt>
                <c:pt idx="1233">
                  <c:v>4</c:v>
                </c:pt>
                <c:pt idx="1234">
                  <c:v>6</c:v>
                </c:pt>
                <c:pt idx="1235">
                  <c:v>4</c:v>
                </c:pt>
                <c:pt idx="1236">
                  <c:v>6</c:v>
                </c:pt>
                <c:pt idx="1237">
                  <c:v>6</c:v>
                </c:pt>
                <c:pt idx="1238">
                  <c:v>4</c:v>
                </c:pt>
                <c:pt idx="1239">
                  <c:v>4</c:v>
                </c:pt>
                <c:pt idx="1240">
                  <c:v>5</c:v>
                </c:pt>
                <c:pt idx="1241">
                  <c:v>5</c:v>
                </c:pt>
                <c:pt idx="1242">
                  <c:v>6</c:v>
                </c:pt>
                <c:pt idx="1243">
                  <c:v>5</c:v>
                </c:pt>
                <c:pt idx="1244">
                  <c:v>6</c:v>
                </c:pt>
                <c:pt idx="1245">
                  <c:v>5</c:v>
                </c:pt>
                <c:pt idx="1246">
                  <c:v>5</c:v>
                </c:pt>
                <c:pt idx="1247">
                  <c:v>5</c:v>
                </c:pt>
                <c:pt idx="1248">
                  <c:v>6</c:v>
                </c:pt>
                <c:pt idx="1249">
                  <c:v>6</c:v>
                </c:pt>
                <c:pt idx="1250">
                  <c:v>6</c:v>
                </c:pt>
                <c:pt idx="1251">
                  <c:v>5</c:v>
                </c:pt>
                <c:pt idx="1252">
                  <c:v>5</c:v>
                </c:pt>
                <c:pt idx="1253">
                  <c:v>5</c:v>
                </c:pt>
                <c:pt idx="1254">
                  <c:v>5</c:v>
                </c:pt>
                <c:pt idx="1255">
                  <c:v>5</c:v>
                </c:pt>
                <c:pt idx="1256">
                  <c:v>5</c:v>
                </c:pt>
                <c:pt idx="1257">
                  <c:v>6</c:v>
                </c:pt>
                <c:pt idx="1258">
                  <c:v>6</c:v>
                </c:pt>
                <c:pt idx="1259">
                  <c:v>6</c:v>
                </c:pt>
                <c:pt idx="1260">
                  <c:v>5</c:v>
                </c:pt>
                <c:pt idx="1261">
                  <c:v>4</c:v>
                </c:pt>
                <c:pt idx="1262">
                  <c:v>5</c:v>
                </c:pt>
                <c:pt idx="1263">
                  <c:v>4</c:v>
                </c:pt>
                <c:pt idx="1264">
                  <c:v>6</c:v>
                </c:pt>
                <c:pt idx="1265">
                  <c:v>6</c:v>
                </c:pt>
                <c:pt idx="1266">
                  <c:v>6</c:v>
                </c:pt>
                <c:pt idx="1267">
                  <c:v>6</c:v>
                </c:pt>
                <c:pt idx="1268">
                  <c:v>6</c:v>
                </c:pt>
                <c:pt idx="1269">
                  <c:v>8</c:v>
                </c:pt>
                <c:pt idx="1270">
                  <c:v>6</c:v>
                </c:pt>
                <c:pt idx="1271">
                  <c:v>6</c:v>
                </c:pt>
                <c:pt idx="1272">
                  <c:v>5</c:v>
                </c:pt>
                <c:pt idx="1273">
                  <c:v>5</c:v>
                </c:pt>
                <c:pt idx="1274">
                  <c:v>6</c:v>
                </c:pt>
                <c:pt idx="1275">
                  <c:v>6</c:v>
                </c:pt>
                <c:pt idx="1276">
                  <c:v>4</c:v>
                </c:pt>
                <c:pt idx="1277">
                  <c:v>6</c:v>
                </c:pt>
                <c:pt idx="1278">
                  <c:v>6</c:v>
                </c:pt>
                <c:pt idx="1279">
                  <c:v>7</c:v>
                </c:pt>
                <c:pt idx="1280">
                  <c:v>6</c:v>
                </c:pt>
                <c:pt idx="1281">
                  <c:v>6</c:v>
                </c:pt>
                <c:pt idx="1282">
                  <c:v>6</c:v>
                </c:pt>
                <c:pt idx="1283">
                  <c:v>6</c:v>
                </c:pt>
                <c:pt idx="1284">
                  <c:v>5</c:v>
                </c:pt>
                <c:pt idx="1285">
                  <c:v>5</c:v>
                </c:pt>
                <c:pt idx="1286">
                  <c:v>6</c:v>
                </c:pt>
                <c:pt idx="1287">
                  <c:v>5</c:v>
                </c:pt>
                <c:pt idx="1288">
                  <c:v>5</c:v>
                </c:pt>
                <c:pt idx="1289">
                  <c:v>5</c:v>
                </c:pt>
                <c:pt idx="1290">
                  <c:v>5</c:v>
                </c:pt>
                <c:pt idx="1291">
                  <c:v>6</c:v>
                </c:pt>
                <c:pt idx="1292">
                  <c:v>6</c:v>
                </c:pt>
                <c:pt idx="1293">
                  <c:v>4</c:v>
                </c:pt>
                <c:pt idx="1294">
                  <c:v>6</c:v>
                </c:pt>
                <c:pt idx="1295">
                  <c:v>5</c:v>
                </c:pt>
                <c:pt idx="1296">
                  <c:v>5</c:v>
                </c:pt>
                <c:pt idx="1297">
                  <c:v>6</c:v>
                </c:pt>
                <c:pt idx="1298">
                  <c:v>6</c:v>
                </c:pt>
                <c:pt idx="1299">
                  <c:v>3</c:v>
                </c:pt>
                <c:pt idx="1300">
                  <c:v>6</c:v>
                </c:pt>
                <c:pt idx="1301">
                  <c:v>6</c:v>
                </c:pt>
                <c:pt idx="1302">
                  <c:v>6</c:v>
                </c:pt>
                <c:pt idx="1303">
                  <c:v>5</c:v>
                </c:pt>
                <c:pt idx="1304">
                  <c:v>5</c:v>
                </c:pt>
                <c:pt idx="1305">
                  <c:v>5</c:v>
                </c:pt>
                <c:pt idx="1306">
                  <c:v>5</c:v>
                </c:pt>
                <c:pt idx="1307">
                  <c:v>4</c:v>
                </c:pt>
                <c:pt idx="1308">
                  <c:v>5</c:v>
                </c:pt>
                <c:pt idx="1309">
                  <c:v>5</c:v>
                </c:pt>
                <c:pt idx="1310">
                  <c:v>5</c:v>
                </c:pt>
                <c:pt idx="1311">
                  <c:v>6</c:v>
                </c:pt>
                <c:pt idx="1312">
                  <c:v>5</c:v>
                </c:pt>
                <c:pt idx="1313">
                  <c:v>6</c:v>
                </c:pt>
                <c:pt idx="1314">
                  <c:v>6</c:v>
                </c:pt>
                <c:pt idx="1315">
                  <c:v>6</c:v>
                </c:pt>
                <c:pt idx="1316">
                  <c:v>6</c:v>
                </c:pt>
                <c:pt idx="1317">
                  <c:v>6</c:v>
                </c:pt>
                <c:pt idx="1318">
                  <c:v>6</c:v>
                </c:pt>
                <c:pt idx="1319">
                  <c:v>6</c:v>
                </c:pt>
                <c:pt idx="1320">
                  <c:v>5</c:v>
                </c:pt>
                <c:pt idx="1321">
                  <c:v>6</c:v>
                </c:pt>
                <c:pt idx="1322">
                  <c:v>5</c:v>
                </c:pt>
                <c:pt idx="1323">
                  <c:v>7</c:v>
                </c:pt>
                <c:pt idx="1324">
                  <c:v>6</c:v>
                </c:pt>
                <c:pt idx="1325">
                  <c:v>6</c:v>
                </c:pt>
                <c:pt idx="1326">
                  <c:v>6</c:v>
                </c:pt>
                <c:pt idx="1327">
                  <c:v>6</c:v>
                </c:pt>
                <c:pt idx="1328">
                  <c:v>5</c:v>
                </c:pt>
                <c:pt idx="1329">
                  <c:v>6</c:v>
                </c:pt>
                <c:pt idx="1330">
                  <c:v>6</c:v>
                </c:pt>
                <c:pt idx="1331">
                  <c:v>5</c:v>
                </c:pt>
                <c:pt idx="1332">
                  <c:v>6</c:v>
                </c:pt>
                <c:pt idx="1333">
                  <c:v>5</c:v>
                </c:pt>
                <c:pt idx="1334">
                  <c:v>5</c:v>
                </c:pt>
                <c:pt idx="1335">
                  <c:v>6</c:v>
                </c:pt>
                <c:pt idx="1336">
                  <c:v>5</c:v>
                </c:pt>
                <c:pt idx="1337">
                  <c:v>5</c:v>
                </c:pt>
                <c:pt idx="1338">
                  <c:v>5</c:v>
                </c:pt>
                <c:pt idx="1339">
                  <c:v>6</c:v>
                </c:pt>
                <c:pt idx="1340">
                  <c:v>6</c:v>
                </c:pt>
                <c:pt idx="1341">
                  <c:v>6</c:v>
                </c:pt>
                <c:pt idx="1342">
                  <c:v>6</c:v>
                </c:pt>
                <c:pt idx="1343">
                  <c:v>6</c:v>
                </c:pt>
                <c:pt idx="1344">
                  <c:v>5</c:v>
                </c:pt>
                <c:pt idx="1345">
                  <c:v>6</c:v>
                </c:pt>
                <c:pt idx="1346">
                  <c:v>5</c:v>
                </c:pt>
                <c:pt idx="1347">
                  <c:v>5</c:v>
                </c:pt>
                <c:pt idx="1348">
                  <c:v>5</c:v>
                </c:pt>
                <c:pt idx="1349">
                  <c:v>5</c:v>
                </c:pt>
                <c:pt idx="1350">
                  <c:v>5</c:v>
                </c:pt>
                <c:pt idx="1351">
                  <c:v>6</c:v>
                </c:pt>
                <c:pt idx="1352">
                  <c:v>5</c:v>
                </c:pt>
                <c:pt idx="1353">
                  <c:v>5</c:v>
                </c:pt>
                <c:pt idx="1354">
                  <c:v>5</c:v>
                </c:pt>
                <c:pt idx="1355">
                  <c:v>5</c:v>
                </c:pt>
                <c:pt idx="1356">
                  <c:v>5</c:v>
                </c:pt>
                <c:pt idx="1357">
                  <c:v>6</c:v>
                </c:pt>
                <c:pt idx="1358">
                  <c:v>5</c:v>
                </c:pt>
                <c:pt idx="1359">
                  <c:v>6</c:v>
                </c:pt>
                <c:pt idx="1360">
                  <c:v>5</c:v>
                </c:pt>
                <c:pt idx="1361">
                  <c:v>5</c:v>
                </c:pt>
                <c:pt idx="1362">
                  <c:v>6</c:v>
                </c:pt>
                <c:pt idx="1363">
                  <c:v>4</c:v>
                </c:pt>
                <c:pt idx="1364">
                  <c:v>6</c:v>
                </c:pt>
                <c:pt idx="1365">
                  <c:v>5</c:v>
                </c:pt>
                <c:pt idx="1366">
                  <c:v>5</c:v>
                </c:pt>
                <c:pt idx="1367">
                  <c:v>6</c:v>
                </c:pt>
                <c:pt idx="1368">
                  <c:v>6</c:v>
                </c:pt>
                <c:pt idx="1369">
                  <c:v>4</c:v>
                </c:pt>
                <c:pt idx="1370">
                  <c:v>5</c:v>
                </c:pt>
                <c:pt idx="1371">
                  <c:v>6</c:v>
                </c:pt>
                <c:pt idx="1372">
                  <c:v>5</c:v>
                </c:pt>
                <c:pt idx="1373">
                  <c:v>5</c:v>
                </c:pt>
                <c:pt idx="1374">
                  <c:v>3</c:v>
                </c:pt>
                <c:pt idx="1375">
                  <c:v>5</c:v>
                </c:pt>
                <c:pt idx="1376">
                  <c:v>5</c:v>
                </c:pt>
                <c:pt idx="1377">
                  <c:v>6</c:v>
                </c:pt>
                <c:pt idx="1378">
                  <c:v>6</c:v>
                </c:pt>
                <c:pt idx="1379">
                  <c:v>6</c:v>
                </c:pt>
                <c:pt idx="1380">
                  <c:v>6</c:v>
                </c:pt>
                <c:pt idx="1381">
                  <c:v>5</c:v>
                </c:pt>
                <c:pt idx="1382">
                  <c:v>5</c:v>
                </c:pt>
                <c:pt idx="1383">
                  <c:v>5</c:v>
                </c:pt>
                <c:pt idx="1384">
                  <c:v>5</c:v>
                </c:pt>
                <c:pt idx="1385">
                  <c:v>5</c:v>
                </c:pt>
                <c:pt idx="1386">
                  <c:v>5</c:v>
                </c:pt>
                <c:pt idx="1387">
                  <c:v>5</c:v>
                </c:pt>
                <c:pt idx="1388">
                  <c:v>5</c:v>
                </c:pt>
                <c:pt idx="1389">
                  <c:v>5</c:v>
                </c:pt>
                <c:pt idx="1390">
                  <c:v>6</c:v>
                </c:pt>
                <c:pt idx="1391">
                  <c:v>5</c:v>
                </c:pt>
                <c:pt idx="1392">
                  <c:v>5</c:v>
                </c:pt>
                <c:pt idx="1393">
                  <c:v>5</c:v>
                </c:pt>
                <c:pt idx="1394">
                  <c:v>5</c:v>
                </c:pt>
                <c:pt idx="1395">
                  <c:v>6</c:v>
                </c:pt>
                <c:pt idx="1396">
                  <c:v>5</c:v>
                </c:pt>
                <c:pt idx="1397">
                  <c:v>5</c:v>
                </c:pt>
                <c:pt idx="1398">
                  <c:v>7</c:v>
                </c:pt>
                <c:pt idx="1399">
                  <c:v>6</c:v>
                </c:pt>
                <c:pt idx="1400">
                  <c:v>5</c:v>
                </c:pt>
                <c:pt idx="1401">
                  <c:v>5</c:v>
                </c:pt>
                <c:pt idx="1402">
                  <c:v>6</c:v>
                </c:pt>
                <c:pt idx="1403">
                  <c:v>8</c:v>
                </c:pt>
                <c:pt idx="1404">
                  <c:v>6</c:v>
                </c:pt>
                <c:pt idx="1405">
                  <c:v>7</c:v>
                </c:pt>
                <c:pt idx="1406">
                  <c:v>6</c:v>
                </c:pt>
                <c:pt idx="1407">
                  <c:v>6</c:v>
                </c:pt>
                <c:pt idx="1408">
                  <c:v>7</c:v>
                </c:pt>
                <c:pt idx="1409">
                  <c:v>6</c:v>
                </c:pt>
                <c:pt idx="1410">
                  <c:v>6</c:v>
                </c:pt>
                <c:pt idx="1411">
                  <c:v>6</c:v>
                </c:pt>
                <c:pt idx="1412">
                  <c:v>6</c:v>
                </c:pt>
                <c:pt idx="1413">
                  <c:v>5</c:v>
                </c:pt>
                <c:pt idx="1414">
                  <c:v>5</c:v>
                </c:pt>
                <c:pt idx="1415">
                  <c:v>5</c:v>
                </c:pt>
                <c:pt idx="1416">
                  <c:v>5</c:v>
                </c:pt>
                <c:pt idx="1417">
                  <c:v>7</c:v>
                </c:pt>
                <c:pt idx="1418">
                  <c:v>5</c:v>
                </c:pt>
                <c:pt idx="1419">
                  <c:v>5</c:v>
                </c:pt>
                <c:pt idx="1420">
                  <c:v>5</c:v>
                </c:pt>
                <c:pt idx="1421">
                  <c:v>5</c:v>
                </c:pt>
                <c:pt idx="1422">
                  <c:v>6</c:v>
                </c:pt>
                <c:pt idx="1423">
                  <c:v>4</c:v>
                </c:pt>
                <c:pt idx="1424">
                  <c:v>6</c:v>
                </c:pt>
                <c:pt idx="1425">
                  <c:v>6</c:v>
                </c:pt>
                <c:pt idx="1426">
                  <c:v>6</c:v>
                </c:pt>
                <c:pt idx="1427">
                  <c:v>5</c:v>
                </c:pt>
                <c:pt idx="1428">
                  <c:v>5</c:v>
                </c:pt>
                <c:pt idx="1429">
                  <c:v>5</c:v>
                </c:pt>
                <c:pt idx="1430">
                  <c:v>5</c:v>
                </c:pt>
                <c:pt idx="1431">
                  <c:v>6</c:v>
                </c:pt>
                <c:pt idx="1432">
                  <c:v>6</c:v>
                </c:pt>
                <c:pt idx="1433">
                  <c:v>7</c:v>
                </c:pt>
                <c:pt idx="1434">
                  <c:v>6</c:v>
                </c:pt>
                <c:pt idx="1435">
                  <c:v>6</c:v>
                </c:pt>
                <c:pt idx="1436">
                  <c:v>5</c:v>
                </c:pt>
                <c:pt idx="1437">
                  <c:v>5</c:v>
                </c:pt>
                <c:pt idx="1438">
                  <c:v>5</c:v>
                </c:pt>
                <c:pt idx="1439">
                  <c:v>6</c:v>
                </c:pt>
                <c:pt idx="1440">
                  <c:v>7</c:v>
                </c:pt>
                <c:pt idx="1441">
                  <c:v>6</c:v>
                </c:pt>
                <c:pt idx="1442">
                  <c:v>5</c:v>
                </c:pt>
                <c:pt idx="1443">
                  <c:v>5</c:v>
                </c:pt>
                <c:pt idx="1444">
                  <c:v>6</c:v>
                </c:pt>
                <c:pt idx="1445">
                  <c:v>6</c:v>
                </c:pt>
                <c:pt idx="1446">
                  <c:v>5</c:v>
                </c:pt>
                <c:pt idx="1447">
                  <c:v>5</c:v>
                </c:pt>
                <c:pt idx="1448">
                  <c:v>5</c:v>
                </c:pt>
                <c:pt idx="1449">
                  <c:v>8</c:v>
                </c:pt>
                <c:pt idx="1450">
                  <c:v>7</c:v>
                </c:pt>
                <c:pt idx="1451">
                  <c:v>7</c:v>
                </c:pt>
                <c:pt idx="1452">
                  <c:v>7</c:v>
                </c:pt>
                <c:pt idx="1453">
                  <c:v>5</c:v>
                </c:pt>
                <c:pt idx="1454">
                  <c:v>6</c:v>
                </c:pt>
                <c:pt idx="1455">
                  <c:v>6</c:v>
                </c:pt>
                <c:pt idx="1456">
                  <c:v>6</c:v>
                </c:pt>
                <c:pt idx="1457">
                  <c:v>5</c:v>
                </c:pt>
                <c:pt idx="1458">
                  <c:v>5</c:v>
                </c:pt>
                <c:pt idx="1459">
                  <c:v>7</c:v>
                </c:pt>
                <c:pt idx="1460">
                  <c:v>6</c:v>
                </c:pt>
                <c:pt idx="1461">
                  <c:v>4</c:v>
                </c:pt>
                <c:pt idx="1462">
                  <c:v>6</c:v>
                </c:pt>
                <c:pt idx="1463">
                  <c:v>6</c:v>
                </c:pt>
                <c:pt idx="1464">
                  <c:v>5</c:v>
                </c:pt>
                <c:pt idx="1465">
                  <c:v>5</c:v>
                </c:pt>
                <c:pt idx="1466">
                  <c:v>7</c:v>
                </c:pt>
                <c:pt idx="1467">
                  <c:v>4</c:v>
                </c:pt>
                <c:pt idx="1468">
                  <c:v>7</c:v>
                </c:pt>
                <c:pt idx="1469">
                  <c:v>3</c:v>
                </c:pt>
                <c:pt idx="1470">
                  <c:v>5</c:v>
                </c:pt>
                <c:pt idx="1471">
                  <c:v>5</c:v>
                </c:pt>
                <c:pt idx="1472">
                  <c:v>6</c:v>
                </c:pt>
                <c:pt idx="1473">
                  <c:v>5</c:v>
                </c:pt>
                <c:pt idx="1474">
                  <c:v>5</c:v>
                </c:pt>
                <c:pt idx="1475">
                  <c:v>7</c:v>
                </c:pt>
                <c:pt idx="1476">
                  <c:v>5</c:v>
                </c:pt>
                <c:pt idx="1477">
                  <c:v>7</c:v>
                </c:pt>
                <c:pt idx="1478">
                  <c:v>3</c:v>
                </c:pt>
                <c:pt idx="1479">
                  <c:v>5</c:v>
                </c:pt>
                <c:pt idx="1480">
                  <c:v>4</c:v>
                </c:pt>
                <c:pt idx="1481">
                  <c:v>5</c:v>
                </c:pt>
                <c:pt idx="1482">
                  <c:v>4</c:v>
                </c:pt>
                <c:pt idx="1483">
                  <c:v>5</c:v>
                </c:pt>
                <c:pt idx="1484">
                  <c:v>4</c:v>
                </c:pt>
                <c:pt idx="1485">
                  <c:v>5</c:v>
                </c:pt>
                <c:pt idx="1486">
                  <c:v>5</c:v>
                </c:pt>
                <c:pt idx="1487">
                  <c:v>5</c:v>
                </c:pt>
                <c:pt idx="1488">
                  <c:v>5</c:v>
                </c:pt>
                <c:pt idx="1489">
                  <c:v>6</c:v>
                </c:pt>
                <c:pt idx="1490">
                  <c:v>6</c:v>
                </c:pt>
                <c:pt idx="1491">
                  <c:v>5</c:v>
                </c:pt>
                <c:pt idx="1492">
                  <c:v>5</c:v>
                </c:pt>
                <c:pt idx="1493">
                  <c:v>5</c:v>
                </c:pt>
                <c:pt idx="1494">
                  <c:v>7</c:v>
                </c:pt>
                <c:pt idx="1495">
                  <c:v>6</c:v>
                </c:pt>
                <c:pt idx="1496">
                  <c:v>5</c:v>
                </c:pt>
                <c:pt idx="1497">
                  <c:v>6</c:v>
                </c:pt>
                <c:pt idx="1498">
                  <c:v>6</c:v>
                </c:pt>
                <c:pt idx="1499">
                  <c:v>6</c:v>
                </c:pt>
                <c:pt idx="1500">
                  <c:v>5</c:v>
                </c:pt>
                <c:pt idx="1501">
                  <c:v>5</c:v>
                </c:pt>
                <c:pt idx="1502">
                  <c:v>5</c:v>
                </c:pt>
                <c:pt idx="1503">
                  <c:v>6</c:v>
                </c:pt>
                <c:pt idx="1504">
                  <c:v>6</c:v>
                </c:pt>
                <c:pt idx="1505">
                  <c:v>3</c:v>
                </c:pt>
                <c:pt idx="1506">
                  <c:v>6</c:v>
                </c:pt>
                <c:pt idx="1507">
                  <c:v>6</c:v>
                </c:pt>
                <c:pt idx="1508">
                  <c:v>6</c:v>
                </c:pt>
                <c:pt idx="1509">
                  <c:v>5</c:v>
                </c:pt>
                <c:pt idx="1510">
                  <c:v>6</c:v>
                </c:pt>
                <c:pt idx="1511">
                  <c:v>5</c:v>
                </c:pt>
                <c:pt idx="1512">
                  <c:v>6</c:v>
                </c:pt>
                <c:pt idx="1513">
                  <c:v>6</c:v>
                </c:pt>
                <c:pt idx="1514">
                  <c:v>6</c:v>
                </c:pt>
                <c:pt idx="1515">
                  <c:v>6</c:v>
                </c:pt>
                <c:pt idx="1516">
                  <c:v>5</c:v>
                </c:pt>
                <c:pt idx="1517">
                  <c:v>6</c:v>
                </c:pt>
                <c:pt idx="1518">
                  <c:v>5</c:v>
                </c:pt>
                <c:pt idx="1519">
                  <c:v>5</c:v>
                </c:pt>
                <c:pt idx="1520">
                  <c:v>6</c:v>
                </c:pt>
                <c:pt idx="1521">
                  <c:v>4</c:v>
                </c:pt>
                <c:pt idx="1522">
                  <c:v>5</c:v>
                </c:pt>
                <c:pt idx="1523">
                  <c:v>5</c:v>
                </c:pt>
                <c:pt idx="1524">
                  <c:v>6</c:v>
                </c:pt>
                <c:pt idx="1525">
                  <c:v>5</c:v>
                </c:pt>
                <c:pt idx="1526">
                  <c:v>6</c:v>
                </c:pt>
                <c:pt idx="1527">
                  <c:v>6</c:v>
                </c:pt>
                <c:pt idx="1528">
                  <c:v>6</c:v>
                </c:pt>
                <c:pt idx="1529">
                  <c:v>6</c:v>
                </c:pt>
                <c:pt idx="1530">
                  <c:v>6</c:v>
                </c:pt>
                <c:pt idx="1531">
                  <c:v>5</c:v>
                </c:pt>
                <c:pt idx="1532">
                  <c:v>6</c:v>
                </c:pt>
                <c:pt idx="1533">
                  <c:v>5</c:v>
                </c:pt>
                <c:pt idx="1534">
                  <c:v>7</c:v>
                </c:pt>
                <c:pt idx="1535">
                  <c:v>6</c:v>
                </c:pt>
                <c:pt idx="1536">
                  <c:v>6</c:v>
                </c:pt>
                <c:pt idx="1537">
                  <c:v>6</c:v>
                </c:pt>
                <c:pt idx="1538">
                  <c:v>5</c:v>
                </c:pt>
                <c:pt idx="1539">
                  <c:v>5</c:v>
                </c:pt>
                <c:pt idx="1540">
                  <c:v>6</c:v>
                </c:pt>
                <c:pt idx="1541">
                  <c:v>7</c:v>
                </c:pt>
                <c:pt idx="1542">
                  <c:v>6</c:v>
                </c:pt>
                <c:pt idx="1543">
                  <c:v>6</c:v>
                </c:pt>
                <c:pt idx="1544">
                  <c:v>7</c:v>
                </c:pt>
                <c:pt idx="1545">
                  <c:v>6</c:v>
                </c:pt>
                <c:pt idx="1546">
                  <c:v>5</c:v>
                </c:pt>
                <c:pt idx="1547">
                  <c:v>5</c:v>
                </c:pt>
                <c:pt idx="1548">
                  <c:v>5</c:v>
                </c:pt>
                <c:pt idx="1549">
                  <c:v>8</c:v>
                </c:pt>
                <c:pt idx="1550">
                  <c:v>5</c:v>
                </c:pt>
                <c:pt idx="1551">
                  <c:v>5</c:v>
                </c:pt>
                <c:pt idx="1552">
                  <c:v>6</c:v>
                </c:pt>
                <c:pt idx="1553">
                  <c:v>5</c:v>
                </c:pt>
                <c:pt idx="1554">
                  <c:v>6</c:v>
                </c:pt>
                <c:pt idx="1555">
                  <c:v>7</c:v>
                </c:pt>
                <c:pt idx="1556">
                  <c:v>5</c:v>
                </c:pt>
                <c:pt idx="1557">
                  <c:v>6</c:v>
                </c:pt>
                <c:pt idx="1558">
                  <c:v>5</c:v>
                </c:pt>
                <c:pt idx="1559">
                  <c:v>5</c:v>
                </c:pt>
                <c:pt idx="1560">
                  <c:v>5</c:v>
                </c:pt>
                <c:pt idx="1561">
                  <c:v>5</c:v>
                </c:pt>
                <c:pt idx="1562">
                  <c:v>5</c:v>
                </c:pt>
                <c:pt idx="1563">
                  <c:v>5</c:v>
                </c:pt>
                <c:pt idx="1564">
                  <c:v>5</c:v>
                </c:pt>
                <c:pt idx="1565">
                  <c:v>6</c:v>
                </c:pt>
                <c:pt idx="1566">
                  <c:v>6</c:v>
                </c:pt>
                <c:pt idx="1567">
                  <c:v>5</c:v>
                </c:pt>
                <c:pt idx="1568">
                  <c:v>5</c:v>
                </c:pt>
                <c:pt idx="1569">
                  <c:v>6</c:v>
                </c:pt>
                <c:pt idx="1570">
                  <c:v>6</c:v>
                </c:pt>
                <c:pt idx="1571">
                  <c:v>6</c:v>
                </c:pt>
                <c:pt idx="1572">
                  <c:v>5</c:v>
                </c:pt>
                <c:pt idx="1573">
                  <c:v>6</c:v>
                </c:pt>
                <c:pt idx="1574">
                  <c:v>6</c:v>
                </c:pt>
                <c:pt idx="1575">
                  <c:v>6</c:v>
                </c:pt>
                <c:pt idx="1576">
                  <c:v>6</c:v>
                </c:pt>
                <c:pt idx="1577">
                  <c:v>6</c:v>
                </c:pt>
                <c:pt idx="1578">
                  <c:v>6</c:v>
                </c:pt>
                <c:pt idx="1579">
                  <c:v>5</c:v>
                </c:pt>
                <c:pt idx="1580">
                  <c:v>6</c:v>
                </c:pt>
                <c:pt idx="1581">
                  <c:v>5</c:v>
                </c:pt>
                <c:pt idx="1582">
                  <c:v>5</c:v>
                </c:pt>
                <c:pt idx="1583">
                  <c:v>5</c:v>
                </c:pt>
                <c:pt idx="1584">
                  <c:v>7</c:v>
                </c:pt>
                <c:pt idx="1585">
                  <c:v>6</c:v>
                </c:pt>
                <c:pt idx="1586">
                  <c:v>6</c:v>
                </c:pt>
                <c:pt idx="1587">
                  <c:v>6</c:v>
                </c:pt>
                <c:pt idx="1588">
                  <c:v>6</c:v>
                </c:pt>
                <c:pt idx="1589">
                  <c:v>5</c:v>
                </c:pt>
                <c:pt idx="1590">
                  <c:v>6</c:v>
                </c:pt>
                <c:pt idx="1591">
                  <c:v>6</c:v>
                </c:pt>
                <c:pt idx="1592">
                  <c:v>6</c:v>
                </c:pt>
                <c:pt idx="1593">
                  <c:v>6</c:v>
                </c:pt>
                <c:pt idx="1594">
                  <c:v>5</c:v>
                </c:pt>
                <c:pt idx="1595">
                  <c:v>6</c:v>
                </c:pt>
                <c:pt idx="1596">
                  <c:v>6</c:v>
                </c:pt>
                <c:pt idx="1597">
                  <c:v>5</c:v>
                </c:pt>
                <c:pt idx="1598">
                  <c:v>6</c:v>
                </c:pt>
              </c:numCache>
            </c:numRef>
          </c:yVal>
          <c:smooth val="0"/>
          <c:extLst>
            <c:ext xmlns:c16="http://schemas.microsoft.com/office/drawing/2014/chart" uri="{C3380CC4-5D6E-409C-BE32-E72D297353CC}">
              <c16:uniqueId val="{00000000-5996-4F49-AE73-1545EA6C552C}"/>
            </c:ext>
          </c:extLst>
        </c:ser>
        <c:dLbls>
          <c:showLegendKey val="0"/>
          <c:showVal val="0"/>
          <c:showCatName val="0"/>
          <c:showSerName val="0"/>
          <c:showPercent val="0"/>
          <c:showBubbleSize val="0"/>
        </c:dLbls>
        <c:axId val="1221437743"/>
        <c:axId val="1221436783"/>
      </c:scatterChart>
      <c:valAx>
        <c:axId val="12214377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436783"/>
        <c:crosses val="autoZero"/>
        <c:crossBetween val="midCat"/>
      </c:valAx>
      <c:valAx>
        <c:axId val="122143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437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[winequality.xlsx]Sheet2!PivotTable1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solidFill>
              <a:schemeClr val="accent1"/>
            </a:solidFill>
            <a:ln>
              <a:noFill/>
            </a:ln>
            <a:effectLst/>
          </c:spPr>
          <c:invertIfNegative val="0"/>
          <c:cat>
            <c:strRef>
              <c:f>Sheet2!$B$4:$B$7</c:f>
              <c:strCache>
                <c:ptCount val="3"/>
                <c:pt idx="0">
                  <c:v>High</c:v>
                </c:pt>
                <c:pt idx="1">
                  <c:v>Low</c:v>
                </c:pt>
                <c:pt idx="2">
                  <c:v>Medium</c:v>
                </c:pt>
              </c:strCache>
            </c:strRef>
          </c:cat>
          <c:val>
            <c:numRef>
              <c:f>Sheet2!$C$4:$C$7</c:f>
              <c:numCache>
                <c:formatCode>0.00</c:formatCode>
                <c:ptCount val="3"/>
                <c:pt idx="0">
                  <c:v>11.518049155145922</c:v>
                </c:pt>
                <c:pt idx="1">
                  <c:v>10.215873015873015</c:v>
                </c:pt>
                <c:pt idx="2">
                  <c:v>10.252716704574146</c:v>
                </c:pt>
              </c:numCache>
            </c:numRef>
          </c:val>
          <c:extLst>
            <c:ext xmlns:c16="http://schemas.microsoft.com/office/drawing/2014/chart" uri="{C3380CC4-5D6E-409C-BE32-E72D297353CC}">
              <c16:uniqueId val="{00000000-4062-438F-AC49-21F89C5ADE72}"/>
            </c:ext>
          </c:extLst>
        </c:ser>
        <c:dLbls>
          <c:showLegendKey val="0"/>
          <c:showVal val="0"/>
          <c:showCatName val="0"/>
          <c:showSerName val="0"/>
          <c:showPercent val="0"/>
          <c:showBubbleSize val="0"/>
        </c:dLbls>
        <c:gapWidth val="219"/>
        <c:overlap val="-27"/>
        <c:axId val="1204236127"/>
        <c:axId val="1204237087"/>
      </c:barChart>
      <c:catAx>
        <c:axId val="120423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37087"/>
        <c:crosses val="autoZero"/>
        <c:auto val="1"/>
        <c:lblAlgn val="ctr"/>
        <c:lblOffset val="100"/>
        <c:noMultiLvlLbl val="0"/>
      </c:catAx>
      <c:valAx>
        <c:axId val="12042370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3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[winequality.xlsx]Sheet2!PivotTable3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800">
                <a:latin typeface="Berlin Sans FB Demi" panose="020E0802020502020306" pitchFamily="34" charset="0"/>
              </a:rPr>
              <a:t>Quality</a:t>
            </a:r>
            <a:r>
              <a:rPr lang="en-IN" sz="1800" baseline="0">
                <a:latin typeface="Berlin Sans FB Demi" panose="020E0802020502020306" pitchFamily="34" charset="0"/>
              </a:rPr>
              <a:t> Distribution</a:t>
            </a:r>
            <a:endParaRPr lang="en-IN" sz="1800">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02060"/>
          </a:solidFill>
          <a:ln w="19050">
            <a:solidFill>
              <a:schemeClr val="lt1"/>
            </a:solidFill>
          </a:ln>
          <a:effectLst/>
        </c:spPr>
      </c:pivotFmt>
    </c:pivotFmts>
    <c:plotArea>
      <c:layout>
        <c:manualLayout>
          <c:layoutTarget val="inner"/>
          <c:xMode val="edge"/>
          <c:yMode val="edge"/>
          <c:x val="3.2570755720286518E-2"/>
          <c:y val="0.15639263590814023"/>
          <c:w val="0.66561070746448714"/>
          <c:h val="0.79460494327126785"/>
        </c:manualLayout>
      </c:layout>
      <c:pieChart>
        <c:varyColors val="1"/>
        <c:ser>
          <c:idx val="0"/>
          <c:order val="0"/>
          <c:tx>
            <c:strRef>
              <c:f>Sheet2!$C$16</c:f>
              <c:strCache>
                <c:ptCount val="1"/>
                <c:pt idx="0">
                  <c:v>Total</c:v>
                </c:pt>
              </c:strCache>
            </c:strRef>
          </c:tx>
          <c:explosion val="1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3F-4575-A79E-84E05B8E9C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3F-4575-A79E-84E05B8E9C30}"/>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803F-4575-A79E-84E05B8E9C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Sheet2!$B$17:$B$20</c:f>
              <c:strCache>
                <c:ptCount val="3"/>
                <c:pt idx="0">
                  <c:v>High</c:v>
                </c:pt>
                <c:pt idx="1">
                  <c:v>Low</c:v>
                </c:pt>
                <c:pt idx="2">
                  <c:v>Medium</c:v>
                </c:pt>
              </c:strCache>
            </c:strRef>
          </c:cat>
          <c:val>
            <c:numRef>
              <c:f>Sheet2!$C$17:$C$20</c:f>
              <c:numCache>
                <c:formatCode>General</c:formatCode>
                <c:ptCount val="3"/>
                <c:pt idx="0">
                  <c:v>217</c:v>
                </c:pt>
                <c:pt idx="1">
                  <c:v>63</c:v>
                </c:pt>
                <c:pt idx="2">
                  <c:v>1319</c:v>
                </c:pt>
              </c:numCache>
            </c:numRef>
          </c:val>
          <c:extLst>
            <c:ext xmlns:c16="http://schemas.microsoft.com/office/drawing/2014/chart" uri="{C3380CC4-5D6E-409C-BE32-E72D297353CC}">
              <c16:uniqueId val="{00000006-803F-4575-A79E-84E05B8E9C3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947484731904352"/>
          <c:y val="0.16731720561023922"/>
          <c:w val="0.29706194827336085"/>
          <c:h val="0.5589387375522043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Berlin Sans FB Demi" panose="020E0802020502020306"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800" b="0" i="0" u="none" strike="noStrike" baseline="0">
                <a:latin typeface="Berlin Sans FB Demi" panose="020E0802020502020306" pitchFamily="34" charset="0"/>
              </a:rPr>
              <a:t>Alcohol Content vs </a:t>
            </a:r>
            <a:r>
              <a:rPr lang="en-IN" sz="1600" b="0" i="0" u="none" strike="noStrike" baseline="0">
                <a:latin typeface="Berlin Sans FB Demi" panose="020E0802020502020306" pitchFamily="34" charset="0"/>
              </a:rPr>
              <a:t>Wine</a:t>
            </a:r>
            <a:r>
              <a:rPr lang="en-IN" sz="1800" b="0" i="0" u="none" strike="noStrike" baseline="0">
                <a:latin typeface="Berlin Sans FB Demi" panose="020E0802020502020306" pitchFamily="34" charset="0"/>
              </a:rPr>
              <a:t> Quality</a:t>
            </a:r>
            <a:endParaRPr lang="en-IN" sz="1800">
              <a:latin typeface="Berlin Sans FB Demi" panose="020E0802020502020306" pitchFamily="34" charset="0"/>
            </a:endParaRPr>
          </a:p>
        </c:rich>
      </c:tx>
      <c:layout>
        <c:manualLayout>
          <c:xMode val="edge"/>
          <c:yMode val="edge"/>
          <c:x val="0.15719069463807128"/>
          <c:y val="8.725784617536246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manualLayout>
          <c:layoutTarget val="inner"/>
          <c:xMode val="edge"/>
          <c:yMode val="edge"/>
          <c:x val="6.9010253718285217E-2"/>
          <c:y val="0.22906122448979591"/>
          <c:w val="0.88130099737532808"/>
          <c:h val="0.67190058385558948"/>
        </c:manualLayout>
      </c:layout>
      <c:scatterChart>
        <c:scatterStyle val="lineMarker"/>
        <c:varyColors val="0"/>
        <c:ser>
          <c:idx val="0"/>
          <c:order val="0"/>
          <c:spPr>
            <a:ln w="19050" cap="rnd">
              <a:noFill/>
              <a:round/>
            </a:ln>
            <a:effectLst/>
          </c:spPr>
          <c:marker>
            <c:symbol val="circle"/>
            <c:size val="5"/>
            <c:spPr>
              <a:solidFill>
                <a:schemeClr val="accent4"/>
              </a:solidFill>
              <a:ln w="9525">
                <a:solidFill>
                  <a:schemeClr val="accent4"/>
                </a:solidFill>
              </a:ln>
              <a:effectLst/>
            </c:spPr>
          </c:marker>
          <c:xVal>
            <c:numRef>
              <c:f>'winequality-red(in) (1)'!$C$2:$C$1600</c:f>
              <c:numCache>
                <c:formatCode>0.00</c:formatCode>
                <c:ptCount val="1599"/>
                <c:pt idx="0">
                  <c:v>0.7</c:v>
                </c:pt>
                <c:pt idx="1">
                  <c:v>0.88</c:v>
                </c:pt>
                <c:pt idx="2">
                  <c:v>0.76</c:v>
                </c:pt>
                <c:pt idx="3">
                  <c:v>0.28000000000000003</c:v>
                </c:pt>
                <c:pt idx="4">
                  <c:v>0.7</c:v>
                </c:pt>
                <c:pt idx="5">
                  <c:v>0.66</c:v>
                </c:pt>
                <c:pt idx="6">
                  <c:v>0.6</c:v>
                </c:pt>
                <c:pt idx="7">
                  <c:v>0.65</c:v>
                </c:pt>
                <c:pt idx="8">
                  <c:v>0.57999999999999996</c:v>
                </c:pt>
                <c:pt idx="9">
                  <c:v>0.5</c:v>
                </c:pt>
                <c:pt idx="10">
                  <c:v>0.57999999999999996</c:v>
                </c:pt>
                <c:pt idx="11">
                  <c:v>0.5</c:v>
                </c:pt>
                <c:pt idx="12">
                  <c:v>0.61499999999999999</c:v>
                </c:pt>
                <c:pt idx="13">
                  <c:v>0.61</c:v>
                </c:pt>
                <c:pt idx="14">
                  <c:v>0.62</c:v>
                </c:pt>
                <c:pt idx="15">
                  <c:v>0.62</c:v>
                </c:pt>
                <c:pt idx="16">
                  <c:v>0.28000000000000003</c:v>
                </c:pt>
                <c:pt idx="17">
                  <c:v>0.56000000000000005</c:v>
                </c:pt>
                <c:pt idx="18">
                  <c:v>0.59</c:v>
                </c:pt>
                <c:pt idx="19">
                  <c:v>0.32</c:v>
                </c:pt>
                <c:pt idx="20">
                  <c:v>0.22</c:v>
                </c:pt>
                <c:pt idx="21">
                  <c:v>0.39</c:v>
                </c:pt>
                <c:pt idx="22">
                  <c:v>0.43</c:v>
                </c:pt>
                <c:pt idx="23">
                  <c:v>0.49</c:v>
                </c:pt>
                <c:pt idx="24">
                  <c:v>0.4</c:v>
                </c:pt>
                <c:pt idx="25">
                  <c:v>0.39</c:v>
                </c:pt>
                <c:pt idx="26">
                  <c:v>0.41</c:v>
                </c:pt>
                <c:pt idx="27">
                  <c:v>0.43</c:v>
                </c:pt>
                <c:pt idx="28">
                  <c:v>0.71</c:v>
                </c:pt>
                <c:pt idx="29">
                  <c:v>0.64500000000000002</c:v>
                </c:pt>
                <c:pt idx="30">
                  <c:v>0.67500000000000004</c:v>
                </c:pt>
                <c:pt idx="31">
                  <c:v>0.68500000000000005</c:v>
                </c:pt>
                <c:pt idx="32">
                  <c:v>0.65500000000000003</c:v>
                </c:pt>
                <c:pt idx="33">
                  <c:v>0.60499999999999998</c:v>
                </c:pt>
                <c:pt idx="34">
                  <c:v>0.32</c:v>
                </c:pt>
                <c:pt idx="35">
                  <c:v>0.64500000000000002</c:v>
                </c:pt>
                <c:pt idx="36">
                  <c:v>0.6</c:v>
                </c:pt>
                <c:pt idx="37">
                  <c:v>0.38</c:v>
                </c:pt>
                <c:pt idx="38">
                  <c:v>1.1299999999999999</c:v>
                </c:pt>
                <c:pt idx="39">
                  <c:v>0.45</c:v>
                </c:pt>
                <c:pt idx="40">
                  <c:v>0.45</c:v>
                </c:pt>
                <c:pt idx="41">
                  <c:v>0.61</c:v>
                </c:pt>
                <c:pt idx="42">
                  <c:v>0.49</c:v>
                </c:pt>
                <c:pt idx="43">
                  <c:v>0.66</c:v>
                </c:pt>
                <c:pt idx="44">
                  <c:v>0.67</c:v>
                </c:pt>
                <c:pt idx="45">
                  <c:v>0.52</c:v>
                </c:pt>
                <c:pt idx="46">
                  <c:v>0.93500000000000005</c:v>
                </c:pt>
                <c:pt idx="47">
                  <c:v>0.28999999999999998</c:v>
                </c:pt>
                <c:pt idx="48">
                  <c:v>0.4</c:v>
                </c:pt>
                <c:pt idx="49">
                  <c:v>0.31</c:v>
                </c:pt>
                <c:pt idx="50">
                  <c:v>0.66</c:v>
                </c:pt>
                <c:pt idx="51">
                  <c:v>0.52</c:v>
                </c:pt>
                <c:pt idx="52">
                  <c:v>0.5</c:v>
                </c:pt>
                <c:pt idx="53">
                  <c:v>0.38</c:v>
                </c:pt>
                <c:pt idx="54">
                  <c:v>0.51</c:v>
                </c:pt>
                <c:pt idx="55">
                  <c:v>0.62</c:v>
                </c:pt>
                <c:pt idx="56">
                  <c:v>0.42</c:v>
                </c:pt>
                <c:pt idx="57">
                  <c:v>0.63</c:v>
                </c:pt>
                <c:pt idx="58">
                  <c:v>0.59</c:v>
                </c:pt>
                <c:pt idx="59">
                  <c:v>0.39</c:v>
                </c:pt>
                <c:pt idx="60">
                  <c:v>0.4</c:v>
                </c:pt>
                <c:pt idx="61">
                  <c:v>0.69</c:v>
                </c:pt>
                <c:pt idx="62">
                  <c:v>0.52</c:v>
                </c:pt>
                <c:pt idx="63">
                  <c:v>0.73499999999999999</c:v>
                </c:pt>
                <c:pt idx="64">
                  <c:v>0.72499999999999998</c:v>
                </c:pt>
                <c:pt idx="65">
                  <c:v>0.72499999999999998</c:v>
                </c:pt>
                <c:pt idx="66">
                  <c:v>0.52</c:v>
                </c:pt>
                <c:pt idx="67">
                  <c:v>0.70499999999999996</c:v>
                </c:pt>
                <c:pt idx="68">
                  <c:v>0.32</c:v>
                </c:pt>
                <c:pt idx="69">
                  <c:v>0.70499999999999996</c:v>
                </c:pt>
                <c:pt idx="70">
                  <c:v>0.63</c:v>
                </c:pt>
                <c:pt idx="71">
                  <c:v>0.67</c:v>
                </c:pt>
                <c:pt idx="72">
                  <c:v>0.69</c:v>
                </c:pt>
                <c:pt idx="73">
                  <c:v>0.67500000000000004</c:v>
                </c:pt>
                <c:pt idx="74">
                  <c:v>0.32</c:v>
                </c:pt>
                <c:pt idx="75">
                  <c:v>0.41</c:v>
                </c:pt>
                <c:pt idx="76">
                  <c:v>0.41</c:v>
                </c:pt>
                <c:pt idx="77">
                  <c:v>0.78500000000000003</c:v>
                </c:pt>
                <c:pt idx="78">
                  <c:v>0.75</c:v>
                </c:pt>
                <c:pt idx="79">
                  <c:v>0.625</c:v>
                </c:pt>
                <c:pt idx="80">
                  <c:v>0.45</c:v>
                </c:pt>
                <c:pt idx="81">
                  <c:v>0.43</c:v>
                </c:pt>
                <c:pt idx="82">
                  <c:v>0.5</c:v>
                </c:pt>
                <c:pt idx="83">
                  <c:v>0.67</c:v>
                </c:pt>
                <c:pt idx="84">
                  <c:v>0.3</c:v>
                </c:pt>
                <c:pt idx="85">
                  <c:v>0.55000000000000004</c:v>
                </c:pt>
                <c:pt idx="86">
                  <c:v>0.49</c:v>
                </c:pt>
                <c:pt idx="87">
                  <c:v>0.49</c:v>
                </c:pt>
                <c:pt idx="88">
                  <c:v>0.39</c:v>
                </c:pt>
                <c:pt idx="89">
                  <c:v>0.62</c:v>
                </c:pt>
                <c:pt idx="90">
                  <c:v>0.52</c:v>
                </c:pt>
                <c:pt idx="91">
                  <c:v>0.49</c:v>
                </c:pt>
                <c:pt idx="92">
                  <c:v>0.49</c:v>
                </c:pt>
                <c:pt idx="93">
                  <c:v>0.49</c:v>
                </c:pt>
                <c:pt idx="94">
                  <c:v>1.02</c:v>
                </c:pt>
                <c:pt idx="95">
                  <c:v>0.6</c:v>
                </c:pt>
                <c:pt idx="96">
                  <c:v>0.77500000000000002</c:v>
                </c:pt>
                <c:pt idx="97">
                  <c:v>0.5</c:v>
                </c:pt>
                <c:pt idx="98">
                  <c:v>0.9</c:v>
                </c:pt>
                <c:pt idx="99">
                  <c:v>0.54500000000000004</c:v>
                </c:pt>
                <c:pt idx="100">
                  <c:v>0.61</c:v>
                </c:pt>
                <c:pt idx="101">
                  <c:v>0.5</c:v>
                </c:pt>
                <c:pt idx="102">
                  <c:v>0.54500000000000004</c:v>
                </c:pt>
                <c:pt idx="103">
                  <c:v>0.57499999999999996</c:v>
                </c:pt>
                <c:pt idx="104">
                  <c:v>0.49</c:v>
                </c:pt>
                <c:pt idx="105">
                  <c:v>0.57499999999999996</c:v>
                </c:pt>
                <c:pt idx="106">
                  <c:v>0.41</c:v>
                </c:pt>
                <c:pt idx="107">
                  <c:v>0.63</c:v>
                </c:pt>
                <c:pt idx="108">
                  <c:v>0.33</c:v>
                </c:pt>
                <c:pt idx="109">
                  <c:v>0.78500000000000003</c:v>
                </c:pt>
                <c:pt idx="110">
                  <c:v>0.56000000000000005</c:v>
                </c:pt>
                <c:pt idx="111">
                  <c:v>0.62</c:v>
                </c:pt>
                <c:pt idx="112">
                  <c:v>0.6</c:v>
                </c:pt>
                <c:pt idx="113">
                  <c:v>0.31</c:v>
                </c:pt>
                <c:pt idx="114">
                  <c:v>0.56000000000000005</c:v>
                </c:pt>
                <c:pt idx="115">
                  <c:v>0.4</c:v>
                </c:pt>
                <c:pt idx="116">
                  <c:v>0.54</c:v>
                </c:pt>
                <c:pt idx="117">
                  <c:v>0.56000000000000005</c:v>
                </c:pt>
                <c:pt idx="118">
                  <c:v>0.55000000000000004</c:v>
                </c:pt>
                <c:pt idx="119">
                  <c:v>0.69</c:v>
                </c:pt>
                <c:pt idx="120">
                  <c:v>1.07</c:v>
                </c:pt>
                <c:pt idx="121">
                  <c:v>0.55000000000000004</c:v>
                </c:pt>
                <c:pt idx="122">
                  <c:v>0.69499999999999995</c:v>
                </c:pt>
                <c:pt idx="123">
                  <c:v>0.71</c:v>
                </c:pt>
                <c:pt idx="124">
                  <c:v>0.5</c:v>
                </c:pt>
                <c:pt idx="125">
                  <c:v>0.62</c:v>
                </c:pt>
                <c:pt idx="126">
                  <c:v>1.33</c:v>
                </c:pt>
                <c:pt idx="127">
                  <c:v>1.33</c:v>
                </c:pt>
                <c:pt idx="128">
                  <c:v>0.59</c:v>
                </c:pt>
                <c:pt idx="129">
                  <c:v>0.38</c:v>
                </c:pt>
                <c:pt idx="130">
                  <c:v>0.745</c:v>
                </c:pt>
                <c:pt idx="131">
                  <c:v>0.5</c:v>
                </c:pt>
                <c:pt idx="132">
                  <c:v>0.5</c:v>
                </c:pt>
                <c:pt idx="133">
                  <c:v>0.5</c:v>
                </c:pt>
                <c:pt idx="134">
                  <c:v>1.04</c:v>
                </c:pt>
                <c:pt idx="135">
                  <c:v>0.745</c:v>
                </c:pt>
                <c:pt idx="136">
                  <c:v>0.71499999999999997</c:v>
                </c:pt>
                <c:pt idx="137">
                  <c:v>0.41499999999999998</c:v>
                </c:pt>
                <c:pt idx="138">
                  <c:v>0.56000000000000005</c:v>
                </c:pt>
                <c:pt idx="139">
                  <c:v>0.56000000000000005</c:v>
                </c:pt>
                <c:pt idx="140">
                  <c:v>0.745</c:v>
                </c:pt>
                <c:pt idx="141">
                  <c:v>0.71499999999999997</c:v>
                </c:pt>
                <c:pt idx="142">
                  <c:v>0.34</c:v>
                </c:pt>
                <c:pt idx="143">
                  <c:v>0.39</c:v>
                </c:pt>
                <c:pt idx="144">
                  <c:v>0.34</c:v>
                </c:pt>
                <c:pt idx="145">
                  <c:v>0.67</c:v>
                </c:pt>
                <c:pt idx="146">
                  <c:v>0.68</c:v>
                </c:pt>
                <c:pt idx="147">
                  <c:v>0.49</c:v>
                </c:pt>
                <c:pt idx="148">
                  <c:v>0.49</c:v>
                </c:pt>
                <c:pt idx="149">
                  <c:v>0.4</c:v>
                </c:pt>
                <c:pt idx="150">
                  <c:v>0.33</c:v>
                </c:pt>
                <c:pt idx="151">
                  <c:v>0.52</c:v>
                </c:pt>
                <c:pt idx="152">
                  <c:v>0.6</c:v>
                </c:pt>
                <c:pt idx="153">
                  <c:v>0.6</c:v>
                </c:pt>
                <c:pt idx="154">
                  <c:v>0.43</c:v>
                </c:pt>
                <c:pt idx="155">
                  <c:v>0.43</c:v>
                </c:pt>
                <c:pt idx="156">
                  <c:v>0.43</c:v>
                </c:pt>
                <c:pt idx="157">
                  <c:v>0.43</c:v>
                </c:pt>
                <c:pt idx="158">
                  <c:v>0.68</c:v>
                </c:pt>
                <c:pt idx="159">
                  <c:v>0.6</c:v>
                </c:pt>
                <c:pt idx="160">
                  <c:v>0.95</c:v>
                </c:pt>
                <c:pt idx="161">
                  <c:v>0.68</c:v>
                </c:pt>
                <c:pt idx="162">
                  <c:v>0.53</c:v>
                </c:pt>
                <c:pt idx="163">
                  <c:v>0.6</c:v>
                </c:pt>
                <c:pt idx="164">
                  <c:v>0.59</c:v>
                </c:pt>
                <c:pt idx="165">
                  <c:v>0.63</c:v>
                </c:pt>
                <c:pt idx="166">
                  <c:v>0.64</c:v>
                </c:pt>
                <c:pt idx="167">
                  <c:v>0.55000000000000004</c:v>
                </c:pt>
                <c:pt idx="168">
                  <c:v>0.63</c:v>
                </c:pt>
                <c:pt idx="169">
                  <c:v>0.70499999999999996</c:v>
                </c:pt>
                <c:pt idx="170">
                  <c:v>0.88500000000000001</c:v>
                </c:pt>
                <c:pt idx="171">
                  <c:v>0.42</c:v>
                </c:pt>
                <c:pt idx="172">
                  <c:v>0.42</c:v>
                </c:pt>
                <c:pt idx="173">
                  <c:v>0.62</c:v>
                </c:pt>
                <c:pt idx="174">
                  <c:v>0.38</c:v>
                </c:pt>
                <c:pt idx="175">
                  <c:v>0.5</c:v>
                </c:pt>
                <c:pt idx="176">
                  <c:v>0.38</c:v>
                </c:pt>
                <c:pt idx="177">
                  <c:v>0.52</c:v>
                </c:pt>
                <c:pt idx="178">
                  <c:v>0.80500000000000005</c:v>
                </c:pt>
                <c:pt idx="179">
                  <c:v>0.61</c:v>
                </c:pt>
                <c:pt idx="180">
                  <c:v>0.61</c:v>
                </c:pt>
                <c:pt idx="181">
                  <c:v>0.61</c:v>
                </c:pt>
                <c:pt idx="182">
                  <c:v>0.73</c:v>
                </c:pt>
                <c:pt idx="183">
                  <c:v>0.61</c:v>
                </c:pt>
                <c:pt idx="184">
                  <c:v>0.62</c:v>
                </c:pt>
                <c:pt idx="185">
                  <c:v>0.31</c:v>
                </c:pt>
                <c:pt idx="186">
                  <c:v>0.39</c:v>
                </c:pt>
                <c:pt idx="187">
                  <c:v>0.70499999999999996</c:v>
                </c:pt>
                <c:pt idx="188">
                  <c:v>0.5</c:v>
                </c:pt>
                <c:pt idx="189">
                  <c:v>0.49</c:v>
                </c:pt>
                <c:pt idx="190">
                  <c:v>0.5</c:v>
                </c:pt>
                <c:pt idx="191">
                  <c:v>0.37</c:v>
                </c:pt>
                <c:pt idx="192">
                  <c:v>0.63</c:v>
                </c:pt>
                <c:pt idx="193">
                  <c:v>0.55000000000000004</c:v>
                </c:pt>
                <c:pt idx="194">
                  <c:v>0.55000000000000004</c:v>
                </c:pt>
                <c:pt idx="195">
                  <c:v>0.59</c:v>
                </c:pt>
                <c:pt idx="196">
                  <c:v>0.57999999999999996</c:v>
                </c:pt>
                <c:pt idx="197">
                  <c:v>0.3</c:v>
                </c:pt>
                <c:pt idx="198">
                  <c:v>0.83499999999999996</c:v>
                </c:pt>
                <c:pt idx="199">
                  <c:v>1.0900000000000001</c:v>
                </c:pt>
                <c:pt idx="200">
                  <c:v>0.32</c:v>
                </c:pt>
                <c:pt idx="201">
                  <c:v>0.37</c:v>
                </c:pt>
                <c:pt idx="202">
                  <c:v>0.5</c:v>
                </c:pt>
                <c:pt idx="203">
                  <c:v>0.42</c:v>
                </c:pt>
                <c:pt idx="204">
                  <c:v>0.43</c:v>
                </c:pt>
                <c:pt idx="205">
                  <c:v>0.3</c:v>
                </c:pt>
                <c:pt idx="206">
                  <c:v>0.3</c:v>
                </c:pt>
                <c:pt idx="207">
                  <c:v>0.56999999999999995</c:v>
                </c:pt>
                <c:pt idx="208">
                  <c:v>0.44</c:v>
                </c:pt>
                <c:pt idx="209">
                  <c:v>0.3</c:v>
                </c:pt>
                <c:pt idx="210">
                  <c:v>0.53</c:v>
                </c:pt>
                <c:pt idx="211">
                  <c:v>0.72499999999999998</c:v>
                </c:pt>
                <c:pt idx="212">
                  <c:v>0.44</c:v>
                </c:pt>
                <c:pt idx="213">
                  <c:v>0.56999999999999995</c:v>
                </c:pt>
                <c:pt idx="214">
                  <c:v>0.73499999999999999</c:v>
                </c:pt>
                <c:pt idx="215">
                  <c:v>0.49</c:v>
                </c:pt>
                <c:pt idx="216">
                  <c:v>0.625</c:v>
                </c:pt>
                <c:pt idx="217">
                  <c:v>0.72499999999999998</c:v>
                </c:pt>
                <c:pt idx="218">
                  <c:v>0.49</c:v>
                </c:pt>
                <c:pt idx="219">
                  <c:v>0.53</c:v>
                </c:pt>
                <c:pt idx="220">
                  <c:v>0.34</c:v>
                </c:pt>
                <c:pt idx="221">
                  <c:v>0.53</c:v>
                </c:pt>
                <c:pt idx="222">
                  <c:v>0.61</c:v>
                </c:pt>
                <c:pt idx="223">
                  <c:v>0.64500000000000002</c:v>
                </c:pt>
                <c:pt idx="224">
                  <c:v>0.63500000000000001</c:v>
                </c:pt>
                <c:pt idx="225">
                  <c:v>0.43</c:v>
                </c:pt>
                <c:pt idx="226">
                  <c:v>0.59</c:v>
                </c:pt>
                <c:pt idx="227">
                  <c:v>0.82</c:v>
                </c:pt>
                <c:pt idx="228">
                  <c:v>0.43</c:v>
                </c:pt>
                <c:pt idx="229">
                  <c:v>0.52</c:v>
                </c:pt>
                <c:pt idx="230">
                  <c:v>0.48</c:v>
                </c:pt>
                <c:pt idx="231">
                  <c:v>0.38</c:v>
                </c:pt>
                <c:pt idx="232">
                  <c:v>0.37</c:v>
                </c:pt>
                <c:pt idx="233">
                  <c:v>0.52</c:v>
                </c:pt>
                <c:pt idx="234">
                  <c:v>1</c:v>
                </c:pt>
                <c:pt idx="235">
                  <c:v>0.63</c:v>
                </c:pt>
                <c:pt idx="236">
                  <c:v>0.63</c:v>
                </c:pt>
                <c:pt idx="237">
                  <c:v>0.64500000000000002</c:v>
                </c:pt>
                <c:pt idx="238">
                  <c:v>0.63</c:v>
                </c:pt>
                <c:pt idx="239">
                  <c:v>1</c:v>
                </c:pt>
                <c:pt idx="240">
                  <c:v>0.63500000000000001</c:v>
                </c:pt>
                <c:pt idx="241">
                  <c:v>0.38</c:v>
                </c:pt>
                <c:pt idx="242">
                  <c:v>0.57999999999999996</c:v>
                </c:pt>
                <c:pt idx="243">
                  <c:v>0.21</c:v>
                </c:pt>
                <c:pt idx="244">
                  <c:v>0.21</c:v>
                </c:pt>
                <c:pt idx="245">
                  <c:v>0.66</c:v>
                </c:pt>
                <c:pt idx="246">
                  <c:v>0.68</c:v>
                </c:pt>
                <c:pt idx="247">
                  <c:v>0.6</c:v>
                </c:pt>
                <c:pt idx="248">
                  <c:v>0.53</c:v>
                </c:pt>
                <c:pt idx="249">
                  <c:v>0.66</c:v>
                </c:pt>
                <c:pt idx="250">
                  <c:v>0.32</c:v>
                </c:pt>
                <c:pt idx="251">
                  <c:v>0.6</c:v>
                </c:pt>
                <c:pt idx="252">
                  <c:v>0.35</c:v>
                </c:pt>
                <c:pt idx="253">
                  <c:v>0.77500000000000002</c:v>
                </c:pt>
                <c:pt idx="254">
                  <c:v>0.6</c:v>
                </c:pt>
                <c:pt idx="255">
                  <c:v>0.56999999999999995</c:v>
                </c:pt>
                <c:pt idx="256">
                  <c:v>0.34</c:v>
                </c:pt>
                <c:pt idx="257">
                  <c:v>0.69499999999999995</c:v>
                </c:pt>
                <c:pt idx="258">
                  <c:v>0.41</c:v>
                </c:pt>
                <c:pt idx="259">
                  <c:v>0.31</c:v>
                </c:pt>
                <c:pt idx="260">
                  <c:v>0.33</c:v>
                </c:pt>
                <c:pt idx="261">
                  <c:v>0.97499999999999998</c:v>
                </c:pt>
                <c:pt idx="262">
                  <c:v>0.52</c:v>
                </c:pt>
                <c:pt idx="263">
                  <c:v>0.37</c:v>
                </c:pt>
                <c:pt idx="264">
                  <c:v>0.56000000000000005</c:v>
                </c:pt>
                <c:pt idx="265">
                  <c:v>0.26</c:v>
                </c:pt>
                <c:pt idx="266">
                  <c:v>0.87</c:v>
                </c:pt>
                <c:pt idx="267">
                  <c:v>0.35</c:v>
                </c:pt>
                <c:pt idx="268">
                  <c:v>0.54</c:v>
                </c:pt>
                <c:pt idx="269">
                  <c:v>0.18</c:v>
                </c:pt>
                <c:pt idx="270">
                  <c:v>0.54500000000000004</c:v>
                </c:pt>
                <c:pt idx="271">
                  <c:v>0.18</c:v>
                </c:pt>
                <c:pt idx="272">
                  <c:v>0.37</c:v>
                </c:pt>
                <c:pt idx="273">
                  <c:v>0.71499999999999997</c:v>
                </c:pt>
                <c:pt idx="274">
                  <c:v>0.65</c:v>
                </c:pt>
                <c:pt idx="275">
                  <c:v>0.54500000000000004</c:v>
                </c:pt>
                <c:pt idx="276">
                  <c:v>0.54</c:v>
                </c:pt>
                <c:pt idx="277">
                  <c:v>0.18</c:v>
                </c:pt>
                <c:pt idx="278">
                  <c:v>0.32</c:v>
                </c:pt>
                <c:pt idx="279">
                  <c:v>0.4</c:v>
                </c:pt>
                <c:pt idx="280">
                  <c:v>0.26</c:v>
                </c:pt>
                <c:pt idx="281">
                  <c:v>0.27</c:v>
                </c:pt>
                <c:pt idx="282">
                  <c:v>0.52</c:v>
                </c:pt>
                <c:pt idx="283">
                  <c:v>0.4</c:v>
                </c:pt>
                <c:pt idx="284">
                  <c:v>0.59</c:v>
                </c:pt>
                <c:pt idx="285">
                  <c:v>0.59</c:v>
                </c:pt>
                <c:pt idx="286">
                  <c:v>0.45</c:v>
                </c:pt>
                <c:pt idx="287">
                  <c:v>0.4</c:v>
                </c:pt>
                <c:pt idx="288">
                  <c:v>0.52</c:v>
                </c:pt>
                <c:pt idx="289">
                  <c:v>0.42</c:v>
                </c:pt>
                <c:pt idx="290">
                  <c:v>0.52</c:v>
                </c:pt>
                <c:pt idx="291">
                  <c:v>0.2</c:v>
                </c:pt>
                <c:pt idx="292">
                  <c:v>0.55000000000000004</c:v>
                </c:pt>
                <c:pt idx="293">
                  <c:v>0.36</c:v>
                </c:pt>
                <c:pt idx="294">
                  <c:v>0.34</c:v>
                </c:pt>
                <c:pt idx="295">
                  <c:v>0.5</c:v>
                </c:pt>
                <c:pt idx="296">
                  <c:v>0.83</c:v>
                </c:pt>
                <c:pt idx="297">
                  <c:v>0.63</c:v>
                </c:pt>
                <c:pt idx="298">
                  <c:v>0.65</c:v>
                </c:pt>
                <c:pt idx="299">
                  <c:v>0.67</c:v>
                </c:pt>
                <c:pt idx="300">
                  <c:v>0.53</c:v>
                </c:pt>
                <c:pt idx="301">
                  <c:v>0.18</c:v>
                </c:pt>
                <c:pt idx="302">
                  <c:v>0.70499999999999996</c:v>
                </c:pt>
                <c:pt idx="303">
                  <c:v>0.67</c:v>
                </c:pt>
                <c:pt idx="304">
                  <c:v>0.65</c:v>
                </c:pt>
                <c:pt idx="305">
                  <c:v>0.53</c:v>
                </c:pt>
                <c:pt idx="306">
                  <c:v>0.62</c:v>
                </c:pt>
                <c:pt idx="307">
                  <c:v>0.41</c:v>
                </c:pt>
                <c:pt idx="308">
                  <c:v>0.43</c:v>
                </c:pt>
                <c:pt idx="309">
                  <c:v>0.28999999999999998</c:v>
                </c:pt>
                <c:pt idx="310">
                  <c:v>0.53</c:v>
                </c:pt>
                <c:pt idx="311">
                  <c:v>0.53</c:v>
                </c:pt>
                <c:pt idx="312">
                  <c:v>0.46</c:v>
                </c:pt>
                <c:pt idx="313">
                  <c:v>0.47</c:v>
                </c:pt>
                <c:pt idx="314">
                  <c:v>0.36</c:v>
                </c:pt>
                <c:pt idx="315">
                  <c:v>0.35</c:v>
                </c:pt>
                <c:pt idx="316">
                  <c:v>0.56000000000000005</c:v>
                </c:pt>
                <c:pt idx="317">
                  <c:v>0.77</c:v>
                </c:pt>
                <c:pt idx="318">
                  <c:v>0.66</c:v>
                </c:pt>
                <c:pt idx="319">
                  <c:v>0.77</c:v>
                </c:pt>
                <c:pt idx="320">
                  <c:v>0.66</c:v>
                </c:pt>
                <c:pt idx="321">
                  <c:v>0.61</c:v>
                </c:pt>
                <c:pt idx="322">
                  <c:v>0.62</c:v>
                </c:pt>
                <c:pt idx="323">
                  <c:v>0.59</c:v>
                </c:pt>
                <c:pt idx="324">
                  <c:v>0.49</c:v>
                </c:pt>
                <c:pt idx="325">
                  <c:v>0.49</c:v>
                </c:pt>
                <c:pt idx="326">
                  <c:v>0.53</c:v>
                </c:pt>
                <c:pt idx="327">
                  <c:v>0.44</c:v>
                </c:pt>
                <c:pt idx="328">
                  <c:v>0.27</c:v>
                </c:pt>
                <c:pt idx="329">
                  <c:v>0.46</c:v>
                </c:pt>
                <c:pt idx="330">
                  <c:v>0.36</c:v>
                </c:pt>
                <c:pt idx="331">
                  <c:v>0.36</c:v>
                </c:pt>
                <c:pt idx="332">
                  <c:v>0.57999999999999996</c:v>
                </c:pt>
                <c:pt idx="333">
                  <c:v>0.56000000000000005</c:v>
                </c:pt>
                <c:pt idx="334">
                  <c:v>0.65</c:v>
                </c:pt>
                <c:pt idx="335">
                  <c:v>0.69499999999999995</c:v>
                </c:pt>
                <c:pt idx="336">
                  <c:v>0.43</c:v>
                </c:pt>
                <c:pt idx="337">
                  <c:v>0.43</c:v>
                </c:pt>
                <c:pt idx="338">
                  <c:v>0.49</c:v>
                </c:pt>
                <c:pt idx="339">
                  <c:v>0.28000000000000003</c:v>
                </c:pt>
                <c:pt idx="340">
                  <c:v>0.34</c:v>
                </c:pt>
                <c:pt idx="341">
                  <c:v>0.42</c:v>
                </c:pt>
                <c:pt idx="342">
                  <c:v>0.39</c:v>
                </c:pt>
                <c:pt idx="343">
                  <c:v>0.39</c:v>
                </c:pt>
                <c:pt idx="344">
                  <c:v>0.56999999999999995</c:v>
                </c:pt>
                <c:pt idx="345">
                  <c:v>0.68500000000000005</c:v>
                </c:pt>
                <c:pt idx="346">
                  <c:v>0.81499999999999995</c:v>
                </c:pt>
                <c:pt idx="347">
                  <c:v>0.49</c:v>
                </c:pt>
                <c:pt idx="348">
                  <c:v>0.56000000000000005</c:v>
                </c:pt>
                <c:pt idx="349">
                  <c:v>0.78500000000000003</c:v>
                </c:pt>
                <c:pt idx="350">
                  <c:v>0.67</c:v>
                </c:pt>
                <c:pt idx="351">
                  <c:v>0.79500000000000004</c:v>
                </c:pt>
                <c:pt idx="352">
                  <c:v>0.66500000000000004</c:v>
                </c:pt>
                <c:pt idx="353">
                  <c:v>0.53</c:v>
                </c:pt>
                <c:pt idx="354">
                  <c:v>0.21</c:v>
                </c:pt>
                <c:pt idx="355">
                  <c:v>0.75</c:v>
                </c:pt>
                <c:pt idx="356">
                  <c:v>0.41</c:v>
                </c:pt>
                <c:pt idx="357">
                  <c:v>0.42</c:v>
                </c:pt>
                <c:pt idx="358">
                  <c:v>0.43</c:v>
                </c:pt>
                <c:pt idx="359">
                  <c:v>0.38</c:v>
                </c:pt>
                <c:pt idx="360">
                  <c:v>0.7</c:v>
                </c:pt>
                <c:pt idx="361">
                  <c:v>0.45</c:v>
                </c:pt>
                <c:pt idx="362">
                  <c:v>0.57999999999999996</c:v>
                </c:pt>
                <c:pt idx="363">
                  <c:v>0.46</c:v>
                </c:pt>
                <c:pt idx="364">
                  <c:v>0.61499999999999999</c:v>
                </c:pt>
                <c:pt idx="365">
                  <c:v>0.42</c:v>
                </c:pt>
                <c:pt idx="366">
                  <c:v>0.61499999999999999</c:v>
                </c:pt>
                <c:pt idx="367">
                  <c:v>0.57499999999999996</c:v>
                </c:pt>
                <c:pt idx="368">
                  <c:v>0.34</c:v>
                </c:pt>
                <c:pt idx="369">
                  <c:v>0.27</c:v>
                </c:pt>
                <c:pt idx="370">
                  <c:v>0.76500000000000001</c:v>
                </c:pt>
                <c:pt idx="371">
                  <c:v>0.24</c:v>
                </c:pt>
                <c:pt idx="372">
                  <c:v>0.28000000000000003</c:v>
                </c:pt>
                <c:pt idx="373">
                  <c:v>0.55000000000000004</c:v>
                </c:pt>
                <c:pt idx="374">
                  <c:v>0.41</c:v>
                </c:pt>
                <c:pt idx="375">
                  <c:v>0.54</c:v>
                </c:pt>
                <c:pt idx="376">
                  <c:v>0.45</c:v>
                </c:pt>
                <c:pt idx="377">
                  <c:v>0.27</c:v>
                </c:pt>
                <c:pt idx="378">
                  <c:v>0.625</c:v>
                </c:pt>
                <c:pt idx="379">
                  <c:v>0.42</c:v>
                </c:pt>
                <c:pt idx="380">
                  <c:v>0.26</c:v>
                </c:pt>
                <c:pt idx="381">
                  <c:v>0.41499999999999998</c:v>
                </c:pt>
                <c:pt idx="382">
                  <c:v>0.26</c:v>
                </c:pt>
                <c:pt idx="383">
                  <c:v>0.26</c:v>
                </c:pt>
                <c:pt idx="384">
                  <c:v>0.51</c:v>
                </c:pt>
                <c:pt idx="385">
                  <c:v>0.63</c:v>
                </c:pt>
                <c:pt idx="386">
                  <c:v>0.54</c:v>
                </c:pt>
                <c:pt idx="387">
                  <c:v>0.66</c:v>
                </c:pt>
                <c:pt idx="388">
                  <c:v>0.46</c:v>
                </c:pt>
                <c:pt idx="389">
                  <c:v>0.38</c:v>
                </c:pt>
                <c:pt idx="390">
                  <c:v>0.85</c:v>
                </c:pt>
                <c:pt idx="391">
                  <c:v>0.41499999999999998</c:v>
                </c:pt>
                <c:pt idx="392">
                  <c:v>0.37</c:v>
                </c:pt>
                <c:pt idx="393">
                  <c:v>0.66500000000000004</c:v>
                </c:pt>
                <c:pt idx="394">
                  <c:v>0.6</c:v>
                </c:pt>
                <c:pt idx="395">
                  <c:v>0.37</c:v>
                </c:pt>
                <c:pt idx="396">
                  <c:v>0.73499999999999999</c:v>
                </c:pt>
                <c:pt idx="397">
                  <c:v>0.59</c:v>
                </c:pt>
                <c:pt idx="398">
                  <c:v>0.59</c:v>
                </c:pt>
                <c:pt idx="399">
                  <c:v>0.76500000000000001</c:v>
                </c:pt>
                <c:pt idx="400">
                  <c:v>0.73499999999999999</c:v>
                </c:pt>
                <c:pt idx="401">
                  <c:v>0.26</c:v>
                </c:pt>
                <c:pt idx="402">
                  <c:v>0.48</c:v>
                </c:pt>
                <c:pt idx="403">
                  <c:v>0.6</c:v>
                </c:pt>
                <c:pt idx="404">
                  <c:v>0.69</c:v>
                </c:pt>
                <c:pt idx="405">
                  <c:v>0.31</c:v>
                </c:pt>
                <c:pt idx="406">
                  <c:v>0.44</c:v>
                </c:pt>
                <c:pt idx="407">
                  <c:v>0.39</c:v>
                </c:pt>
                <c:pt idx="408">
                  <c:v>0.34</c:v>
                </c:pt>
                <c:pt idx="409">
                  <c:v>0.46</c:v>
                </c:pt>
                <c:pt idx="410">
                  <c:v>0.43</c:v>
                </c:pt>
                <c:pt idx="411">
                  <c:v>0.45</c:v>
                </c:pt>
                <c:pt idx="412">
                  <c:v>0.73499999999999999</c:v>
                </c:pt>
                <c:pt idx="413">
                  <c:v>0.4</c:v>
                </c:pt>
                <c:pt idx="414">
                  <c:v>0.52</c:v>
                </c:pt>
                <c:pt idx="415">
                  <c:v>0.72499999999999998</c:v>
                </c:pt>
                <c:pt idx="416">
                  <c:v>0.48</c:v>
                </c:pt>
                <c:pt idx="417">
                  <c:v>0.57999999999999996</c:v>
                </c:pt>
                <c:pt idx="418">
                  <c:v>0.38</c:v>
                </c:pt>
                <c:pt idx="419">
                  <c:v>0.77</c:v>
                </c:pt>
                <c:pt idx="420">
                  <c:v>0.56000000000000005</c:v>
                </c:pt>
                <c:pt idx="421">
                  <c:v>0.84</c:v>
                </c:pt>
                <c:pt idx="422">
                  <c:v>0.96</c:v>
                </c:pt>
                <c:pt idx="423">
                  <c:v>0.24</c:v>
                </c:pt>
                <c:pt idx="424">
                  <c:v>0.96</c:v>
                </c:pt>
                <c:pt idx="425">
                  <c:v>0.84</c:v>
                </c:pt>
                <c:pt idx="426">
                  <c:v>0.67</c:v>
                </c:pt>
                <c:pt idx="427">
                  <c:v>0.78</c:v>
                </c:pt>
                <c:pt idx="428">
                  <c:v>0.52</c:v>
                </c:pt>
                <c:pt idx="429">
                  <c:v>0.84</c:v>
                </c:pt>
                <c:pt idx="430">
                  <c:v>0.24</c:v>
                </c:pt>
                <c:pt idx="431">
                  <c:v>0.55000000000000004</c:v>
                </c:pt>
                <c:pt idx="432">
                  <c:v>0.37</c:v>
                </c:pt>
                <c:pt idx="433">
                  <c:v>0.39</c:v>
                </c:pt>
                <c:pt idx="434">
                  <c:v>0.41</c:v>
                </c:pt>
                <c:pt idx="435">
                  <c:v>0.39</c:v>
                </c:pt>
                <c:pt idx="436">
                  <c:v>0.67</c:v>
                </c:pt>
                <c:pt idx="437">
                  <c:v>0.45</c:v>
                </c:pt>
                <c:pt idx="438">
                  <c:v>0.41</c:v>
                </c:pt>
                <c:pt idx="439">
                  <c:v>0.62</c:v>
                </c:pt>
                <c:pt idx="440">
                  <c:v>0.31</c:v>
                </c:pt>
                <c:pt idx="441">
                  <c:v>0.4</c:v>
                </c:pt>
                <c:pt idx="442">
                  <c:v>0.68500000000000005</c:v>
                </c:pt>
                <c:pt idx="443">
                  <c:v>0.44</c:v>
                </c:pt>
                <c:pt idx="444">
                  <c:v>0.56999999999999995</c:v>
                </c:pt>
                <c:pt idx="445">
                  <c:v>0.73499999999999999</c:v>
                </c:pt>
                <c:pt idx="446">
                  <c:v>0.38</c:v>
                </c:pt>
                <c:pt idx="447">
                  <c:v>0.48</c:v>
                </c:pt>
                <c:pt idx="448">
                  <c:v>0.53</c:v>
                </c:pt>
                <c:pt idx="449">
                  <c:v>0.39</c:v>
                </c:pt>
                <c:pt idx="450">
                  <c:v>0.39</c:v>
                </c:pt>
                <c:pt idx="451">
                  <c:v>0.37</c:v>
                </c:pt>
                <c:pt idx="452">
                  <c:v>0.56000000000000005</c:v>
                </c:pt>
                <c:pt idx="453">
                  <c:v>0.33</c:v>
                </c:pt>
                <c:pt idx="454">
                  <c:v>0.23</c:v>
                </c:pt>
                <c:pt idx="455">
                  <c:v>0.62</c:v>
                </c:pt>
                <c:pt idx="456">
                  <c:v>0.59</c:v>
                </c:pt>
                <c:pt idx="457">
                  <c:v>0.63</c:v>
                </c:pt>
                <c:pt idx="458">
                  <c:v>0.33</c:v>
                </c:pt>
                <c:pt idx="459">
                  <c:v>0.57999999999999996</c:v>
                </c:pt>
                <c:pt idx="460">
                  <c:v>0.43</c:v>
                </c:pt>
                <c:pt idx="461">
                  <c:v>0.61499999999999999</c:v>
                </c:pt>
                <c:pt idx="462">
                  <c:v>0.26</c:v>
                </c:pt>
                <c:pt idx="463">
                  <c:v>0.66</c:v>
                </c:pt>
                <c:pt idx="464">
                  <c:v>0.315</c:v>
                </c:pt>
                <c:pt idx="465">
                  <c:v>0.28999999999999998</c:v>
                </c:pt>
                <c:pt idx="466">
                  <c:v>0.5</c:v>
                </c:pt>
                <c:pt idx="467">
                  <c:v>0.46</c:v>
                </c:pt>
                <c:pt idx="468">
                  <c:v>0.36</c:v>
                </c:pt>
                <c:pt idx="469">
                  <c:v>0.82</c:v>
                </c:pt>
                <c:pt idx="470">
                  <c:v>0.32</c:v>
                </c:pt>
                <c:pt idx="471">
                  <c:v>0.54</c:v>
                </c:pt>
                <c:pt idx="472">
                  <c:v>0.37</c:v>
                </c:pt>
                <c:pt idx="473">
                  <c:v>0.35</c:v>
                </c:pt>
                <c:pt idx="474">
                  <c:v>0.28000000000000003</c:v>
                </c:pt>
                <c:pt idx="475">
                  <c:v>0.68</c:v>
                </c:pt>
                <c:pt idx="476">
                  <c:v>0.27</c:v>
                </c:pt>
                <c:pt idx="477">
                  <c:v>0.24</c:v>
                </c:pt>
                <c:pt idx="478">
                  <c:v>0.68</c:v>
                </c:pt>
                <c:pt idx="479">
                  <c:v>0.68500000000000005</c:v>
                </c:pt>
                <c:pt idx="480">
                  <c:v>0.28000000000000003</c:v>
                </c:pt>
                <c:pt idx="481">
                  <c:v>0.3</c:v>
                </c:pt>
                <c:pt idx="482">
                  <c:v>0.36</c:v>
                </c:pt>
                <c:pt idx="483">
                  <c:v>0.36</c:v>
                </c:pt>
                <c:pt idx="484">
                  <c:v>0.44</c:v>
                </c:pt>
                <c:pt idx="485">
                  <c:v>0.67</c:v>
                </c:pt>
                <c:pt idx="486">
                  <c:v>0.67</c:v>
                </c:pt>
                <c:pt idx="487">
                  <c:v>0.64500000000000002</c:v>
                </c:pt>
                <c:pt idx="488">
                  <c:v>0.32</c:v>
                </c:pt>
                <c:pt idx="489">
                  <c:v>0.39</c:v>
                </c:pt>
                <c:pt idx="490">
                  <c:v>0.77500000000000002</c:v>
                </c:pt>
                <c:pt idx="491">
                  <c:v>0.41</c:v>
                </c:pt>
                <c:pt idx="492">
                  <c:v>0.4</c:v>
                </c:pt>
                <c:pt idx="493">
                  <c:v>0.69</c:v>
                </c:pt>
                <c:pt idx="494">
                  <c:v>0.39</c:v>
                </c:pt>
                <c:pt idx="495">
                  <c:v>0.35</c:v>
                </c:pt>
                <c:pt idx="496">
                  <c:v>0.52</c:v>
                </c:pt>
                <c:pt idx="497">
                  <c:v>0.34</c:v>
                </c:pt>
                <c:pt idx="498">
                  <c:v>0.35</c:v>
                </c:pt>
                <c:pt idx="499">
                  <c:v>0.69</c:v>
                </c:pt>
                <c:pt idx="500">
                  <c:v>0.52</c:v>
                </c:pt>
                <c:pt idx="501">
                  <c:v>0.44</c:v>
                </c:pt>
                <c:pt idx="502">
                  <c:v>0.44</c:v>
                </c:pt>
                <c:pt idx="503">
                  <c:v>0.26</c:v>
                </c:pt>
                <c:pt idx="504">
                  <c:v>0.24</c:v>
                </c:pt>
                <c:pt idx="505">
                  <c:v>0.49</c:v>
                </c:pt>
                <c:pt idx="506">
                  <c:v>0.24</c:v>
                </c:pt>
                <c:pt idx="507">
                  <c:v>0.67</c:v>
                </c:pt>
                <c:pt idx="508">
                  <c:v>0.59</c:v>
                </c:pt>
                <c:pt idx="509">
                  <c:v>0.28999999999999998</c:v>
                </c:pt>
                <c:pt idx="510">
                  <c:v>0.42</c:v>
                </c:pt>
                <c:pt idx="511">
                  <c:v>0.59</c:v>
                </c:pt>
                <c:pt idx="512">
                  <c:v>0.4</c:v>
                </c:pt>
                <c:pt idx="513">
                  <c:v>0.51</c:v>
                </c:pt>
                <c:pt idx="514">
                  <c:v>0.51</c:v>
                </c:pt>
                <c:pt idx="515">
                  <c:v>0.65500000000000003</c:v>
                </c:pt>
                <c:pt idx="516">
                  <c:v>0.6</c:v>
                </c:pt>
                <c:pt idx="517">
                  <c:v>0.61</c:v>
                </c:pt>
                <c:pt idx="518">
                  <c:v>0.21</c:v>
                </c:pt>
                <c:pt idx="519">
                  <c:v>0.36499999999999999</c:v>
                </c:pt>
                <c:pt idx="520">
                  <c:v>0.25</c:v>
                </c:pt>
                <c:pt idx="521">
                  <c:v>0.41</c:v>
                </c:pt>
                <c:pt idx="522">
                  <c:v>0.39</c:v>
                </c:pt>
                <c:pt idx="523">
                  <c:v>0.4</c:v>
                </c:pt>
                <c:pt idx="524">
                  <c:v>0.43</c:v>
                </c:pt>
                <c:pt idx="525">
                  <c:v>0.64</c:v>
                </c:pt>
                <c:pt idx="526">
                  <c:v>0.36499999999999999</c:v>
                </c:pt>
                <c:pt idx="527">
                  <c:v>0.38</c:v>
                </c:pt>
                <c:pt idx="528">
                  <c:v>0.42</c:v>
                </c:pt>
                <c:pt idx="529">
                  <c:v>0.63</c:v>
                </c:pt>
                <c:pt idx="530">
                  <c:v>0.22</c:v>
                </c:pt>
                <c:pt idx="531">
                  <c:v>0.38</c:v>
                </c:pt>
                <c:pt idx="532">
                  <c:v>0.38</c:v>
                </c:pt>
                <c:pt idx="533">
                  <c:v>0.27</c:v>
                </c:pt>
                <c:pt idx="534">
                  <c:v>0.48</c:v>
                </c:pt>
                <c:pt idx="535">
                  <c:v>0.22</c:v>
                </c:pt>
                <c:pt idx="536">
                  <c:v>0.63</c:v>
                </c:pt>
                <c:pt idx="537">
                  <c:v>0.82499999999999996</c:v>
                </c:pt>
                <c:pt idx="538">
                  <c:v>0.35</c:v>
                </c:pt>
                <c:pt idx="539">
                  <c:v>0.5</c:v>
                </c:pt>
                <c:pt idx="540">
                  <c:v>0.59</c:v>
                </c:pt>
                <c:pt idx="541">
                  <c:v>0.46</c:v>
                </c:pt>
                <c:pt idx="542">
                  <c:v>0.71499999999999997</c:v>
                </c:pt>
                <c:pt idx="543">
                  <c:v>0.66</c:v>
                </c:pt>
                <c:pt idx="544">
                  <c:v>0.31</c:v>
                </c:pt>
                <c:pt idx="545">
                  <c:v>0.47</c:v>
                </c:pt>
                <c:pt idx="546">
                  <c:v>0.55000000000000004</c:v>
                </c:pt>
                <c:pt idx="547">
                  <c:v>0.31</c:v>
                </c:pt>
                <c:pt idx="548">
                  <c:v>0.35</c:v>
                </c:pt>
                <c:pt idx="549">
                  <c:v>0.53</c:v>
                </c:pt>
                <c:pt idx="550">
                  <c:v>0.51</c:v>
                </c:pt>
                <c:pt idx="551">
                  <c:v>0.43</c:v>
                </c:pt>
                <c:pt idx="552">
                  <c:v>0.46</c:v>
                </c:pt>
                <c:pt idx="553">
                  <c:v>1.04</c:v>
                </c:pt>
                <c:pt idx="554">
                  <c:v>0.64500000000000002</c:v>
                </c:pt>
                <c:pt idx="555">
                  <c:v>0.64500000000000002</c:v>
                </c:pt>
                <c:pt idx="556">
                  <c:v>0.53</c:v>
                </c:pt>
                <c:pt idx="557">
                  <c:v>0.64500000000000002</c:v>
                </c:pt>
                <c:pt idx="558">
                  <c:v>0.53</c:v>
                </c:pt>
                <c:pt idx="559">
                  <c:v>0.47</c:v>
                </c:pt>
                <c:pt idx="560">
                  <c:v>0.6</c:v>
                </c:pt>
                <c:pt idx="561">
                  <c:v>0.44</c:v>
                </c:pt>
                <c:pt idx="562">
                  <c:v>0.54</c:v>
                </c:pt>
                <c:pt idx="563">
                  <c:v>0.28999999999999998</c:v>
                </c:pt>
                <c:pt idx="564">
                  <c:v>0.47</c:v>
                </c:pt>
                <c:pt idx="565">
                  <c:v>0.6</c:v>
                </c:pt>
                <c:pt idx="566">
                  <c:v>0.7</c:v>
                </c:pt>
                <c:pt idx="567">
                  <c:v>0.7</c:v>
                </c:pt>
                <c:pt idx="568">
                  <c:v>0.5</c:v>
                </c:pt>
                <c:pt idx="569">
                  <c:v>0.36</c:v>
                </c:pt>
                <c:pt idx="570">
                  <c:v>0.35</c:v>
                </c:pt>
                <c:pt idx="571">
                  <c:v>0.36</c:v>
                </c:pt>
                <c:pt idx="572">
                  <c:v>0.24</c:v>
                </c:pt>
                <c:pt idx="573">
                  <c:v>0.59</c:v>
                </c:pt>
                <c:pt idx="574">
                  <c:v>0.34</c:v>
                </c:pt>
                <c:pt idx="575">
                  <c:v>0.27</c:v>
                </c:pt>
                <c:pt idx="576">
                  <c:v>0.5</c:v>
                </c:pt>
                <c:pt idx="577">
                  <c:v>0.44</c:v>
                </c:pt>
                <c:pt idx="578">
                  <c:v>0.47</c:v>
                </c:pt>
                <c:pt idx="579">
                  <c:v>0.31</c:v>
                </c:pt>
                <c:pt idx="580">
                  <c:v>0.5</c:v>
                </c:pt>
                <c:pt idx="581">
                  <c:v>0.5</c:v>
                </c:pt>
                <c:pt idx="582">
                  <c:v>0.49</c:v>
                </c:pt>
                <c:pt idx="583">
                  <c:v>0.28000000000000003</c:v>
                </c:pt>
                <c:pt idx="584">
                  <c:v>0.33</c:v>
                </c:pt>
                <c:pt idx="585">
                  <c:v>0.51</c:v>
                </c:pt>
                <c:pt idx="586">
                  <c:v>0.31</c:v>
                </c:pt>
                <c:pt idx="587">
                  <c:v>0.73</c:v>
                </c:pt>
                <c:pt idx="588">
                  <c:v>0.42</c:v>
                </c:pt>
                <c:pt idx="589">
                  <c:v>0.28999999999999998</c:v>
                </c:pt>
                <c:pt idx="590">
                  <c:v>0.45</c:v>
                </c:pt>
                <c:pt idx="591">
                  <c:v>0.39</c:v>
                </c:pt>
                <c:pt idx="592">
                  <c:v>0.45</c:v>
                </c:pt>
                <c:pt idx="593">
                  <c:v>0.49</c:v>
                </c:pt>
                <c:pt idx="594">
                  <c:v>0.72</c:v>
                </c:pt>
                <c:pt idx="595">
                  <c:v>0.59499999999999997</c:v>
                </c:pt>
                <c:pt idx="596">
                  <c:v>0.4</c:v>
                </c:pt>
                <c:pt idx="597">
                  <c:v>0.57999999999999996</c:v>
                </c:pt>
                <c:pt idx="598">
                  <c:v>0.58499999999999996</c:v>
                </c:pt>
                <c:pt idx="599">
                  <c:v>0.59</c:v>
                </c:pt>
                <c:pt idx="600">
                  <c:v>0.91500000000000004</c:v>
                </c:pt>
                <c:pt idx="601">
                  <c:v>0.46</c:v>
                </c:pt>
                <c:pt idx="602">
                  <c:v>0.83499999999999996</c:v>
                </c:pt>
                <c:pt idx="603">
                  <c:v>0.46</c:v>
                </c:pt>
                <c:pt idx="604">
                  <c:v>0.57999999999999996</c:v>
                </c:pt>
                <c:pt idx="605">
                  <c:v>0.6</c:v>
                </c:pt>
                <c:pt idx="606">
                  <c:v>0.41</c:v>
                </c:pt>
                <c:pt idx="607">
                  <c:v>0.48</c:v>
                </c:pt>
                <c:pt idx="608">
                  <c:v>0.65</c:v>
                </c:pt>
                <c:pt idx="609">
                  <c:v>0.36</c:v>
                </c:pt>
                <c:pt idx="610">
                  <c:v>0.24</c:v>
                </c:pt>
                <c:pt idx="611">
                  <c:v>0.38</c:v>
                </c:pt>
                <c:pt idx="612">
                  <c:v>0.64</c:v>
                </c:pt>
                <c:pt idx="613">
                  <c:v>0.39</c:v>
                </c:pt>
                <c:pt idx="614">
                  <c:v>0.755</c:v>
                </c:pt>
                <c:pt idx="615">
                  <c:v>0.6</c:v>
                </c:pt>
                <c:pt idx="616">
                  <c:v>0.6</c:v>
                </c:pt>
                <c:pt idx="617">
                  <c:v>0.31</c:v>
                </c:pt>
                <c:pt idx="618">
                  <c:v>0.46</c:v>
                </c:pt>
                <c:pt idx="619">
                  <c:v>0.37</c:v>
                </c:pt>
                <c:pt idx="620">
                  <c:v>0.54</c:v>
                </c:pt>
                <c:pt idx="621">
                  <c:v>0.56000000000000005</c:v>
                </c:pt>
                <c:pt idx="622">
                  <c:v>0.57999999999999996</c:v>
                </c:pt>
                <c:pt idx="623">
                  <c:v>0.51</c:v>
                </c:pt>
                <c:pt idx="624">
                  <c:v>0.69</c:v>
                </c:pt>
                <c:pt idx="625">
                  <c:v>0.69</c:v>
                </c:pt>
                <c:pt idx="626">
                  <c:v>0.6</c:v>
                </c:pt>
                <c:pt idx="627">
                  <c:v>0.6</c:v>
                </c:pt>
                <c:pt idx="628">
                  <c:v>0.54</c:v>
                </c:pt>
                <c:pt idx="629">
                  <c:v>0.68500000000000005</c:v>
                </c:pt>
                <c:pt idx="630">
                  <c:v>0.54</c:v>
                </c:pt>
                <c:pt idx="631">
                  <c:v>0.28000000000000003</c:v>
                </c:pt>
                <c:pt idx="632">
                  <c:v>0.41</c:v>
                </c:pt>
                <c:pt idx="633">
                  <c:v>0.93500000000000005</c:v>
                </c:pt>
                <c:pt idx="634">
                  <c:v>0.35</c:v>
                </c:pt>
                <c:pt idx="635">
                  <c:v>0.84</c:v>
                </c:pt>
                <c:pt idx="636">
                  <c:v>0.88</c:v>
                </c:pt>
                <c:pt idx="637">
                  <c:v>0.88500000000000001</c:v>
                </c:pt>
                <c:pt idx="638">
                  <c:v>0.91500000000000004</c:v>
                </c:pt>
                <c:pt idx="639">
                  <c:v>0.28999999999999998</c:v>
                </c:pt>
                <c:pt idx="640">
                  <c:v>0.54</c:v>
                </c:pt>
                <c:pt idx="641">
                  <c:v>0.59</c:v>
                </c:pt>
                <c:pt idx="642">
                  <c:v>0.54</c:v>
                </c:pt>
                <c:pt idx="643">
                  <c:v>0.59</c:v>
                </c:pt>
                <c:pt idx="644">
                  <c:v>0.54</c:v>
                </c:pt>
                <c:pt idx="645">
                  <c:v>0.64</c:v>
                </c:pt>
                <c:pt idx="646">
                  <c:v>0.67</c:v>
                </c:pt>
                <c:pt idx="647">
                  <c:v>0.84499999999999997</c:v>
                </c:pt>
                <c:pt idx="648">
                  <c:v>0.48</c:v>
                </c:pt>
                <c:pt idx="649">
                  <c:v>0.42</c:v>
                </c:pt>
                <c:pt idx="650">
                  <c:v>0.43</c:v>
                </c:pt>
                <c:pt idx="651">
                  <c:v>0.88</c:v>
                </c:pt>
                <c:pt idx="652">
                  <c:v>0.36</c:v>
                </c:pt>
                <c:pt idx="653">
                  <c:v>0.33</c:v>
                </c:pt>
                <c:pt idx="654">
                  <c:v>0.47</c:v>
                </c:pt>
                <c:pt idx="655">
                  <c:v>0.55000000000000004</c:v>
                </c:pt>
                <c:pt idx="656">
                  <c:v>0.43</c:v>
                </c:pt>
                <c:pt idx="657">
                  <c:v>0.5</c:v>
                </c:pt>
                <c:pt idx="658">
                  <c:v>0.52</c:v>
                </c:pt>
                <c:pt idx="659">
                  <c:v>0.84</c:v>
                </c:pt>
                <c:pt idx="660">
                  <c:v>0.52</c:v>
                </c:pt>
                <c:pt idx="661">
                  <c:v>0.42</c:v>
                </c:pt>
                <c:pt idx="662">
                  <c:v>0.56999999999999995</c:v>
                </c:pt>
                <c:pt idx="663">
                  <c:v>0.28000000000000003</c:v>
                </c:pt>
                <c:pt idx="664">
                  <c:v>0.4</c:v>
                </c:pt>
                <c:pt idx="665">
                  <c:v>0.59</c:v>
                </c:pt>
                <c:pt idx="666">
                  <c:v>0.49</c:v>
                </c:pt>
                <c:pt idx="667">
                  <c:v>0.34</c:v>
                </c:pt>
                <c:pt idx="668">
                  <c:v>0.73</c:v>
                </c:pt>
                <c:pt idx="669">
                  <c:v>0.34</c:v>
                </c:pt>
                <c:pt idx="670">
                  <c:v>0.4</c:v>
                </c:pt>
                <c:pt idx="671">
                  <c:v>0.73</c:v>
                </c:pt>
                <c:pt idx="672">
                  <c:v>1.24</c:v>
                </c:pt>
                <c:pt idx="673">
                  <c:v>0.73</c:v>
                </c:pt>
                <c:pt idx="674">
                  <c:v>0.4</c:v>
                </c:pt>
                <c:pt idx="675">
                  <c:v>0.41</c:v>
                </c:pt>
                <c:pt idx="676">
                  <c:v>0.4</c:v>
                </c:pt>
                <c:pt idx="677">
                  <c:v>0.8</c:v>
                </c:pt>
                <c:pt idx="678">
                  <c:v>0.78</c:v>
                </c:pt>
                <c:pt idx="679">
                  <c:v>0.26</c:v>
                </c:pt>
                <c:pt idx="680">
                  <c:v>0.43</c:v>
                </c:pt>
                <c:pt idx="681">
                  <c:v>0.45</c:v>
                </c:pt>
                <c:pt idx="682">
                  <c:v>0.46</c:v>
                </c:pt>
                <c:pt idx="683">
                  <c:v>0.78</c:v>
                </c:pt>
                <c:pt idx="684">
                  <c:v>0.98</c:v>
                </c:pt>
                <c:pt idx="685">
                  <c:v>0.78</c:v>
                </c:pt>
                <c:pt idx="686">
                  <c:v>0.65</c:v>
                </c:pt>
                <c:pt idx="687">
                  <c:v>0.64</c:v>
                </c:pt>
                <c:pt idx="688">
                  <c:v>0.66</c:v>
                </c:pt>
                <c:pt idx="689">
                  <c:v>0.38</c:v>
                </c:pt>
                <c:pt idx="690">
                  <c:v>1.1850000000000001</c:v>
                </c:pt>
                <c:pt idx="691">
                  <c:v>0.92</c:v>
                </c:pt>
                <c:pt idx="692">
                  <c:v>0.49</c:v>
                </c:pt>
                <c:pt idx="693">
                  <c:v>0.48</c:v>
                </c:pt>
                <c:pt idx="694">
                  <c:v>0.47</c:v>
                </c:pt>
                <c:pt idx="695">
                  <c:v>0.47</c:v>
                </c:pt>
                <c:pt idx="696">
                  <c:v>0.65</c:v>
                </c:pt>
                <c:pt idx="697">
                  <c:v>0.65</c:v>
                </c:pt>
                <c:pt idx="698">
                  <c:v>0.61499999999999999</c:v>
                </c:pt>
                <c:pt idx="699">
                  <c:v>0.38</c:v>
                </c:pt>
                <c:pt idx="700">
                  <c:v>1.02</c:v>
                </c:pt>
                <c:pt idx="701">
                  <c:v>0.65</c:v>
                </c:pt>
                <c:pt idx="702">
                  <c:v>0.64</c:v>
                </c:pt>
                <c:pt idx="703">
                  <c:v>0.38</c:v>
                </c:pt>
                <c:pt idx="704">
                  <c:v>0.76500000000000001</c:v>
                </c:pt>
                <c:pt idx="705">
                  <c:v>1.0349999999999999</c:v>
                </c:pt>
                <c:pt idx="706">
                  <c:v>0.78</c:v>
                </c:pt>
                <c:pt idx="707">
                  <c:v>0.49</c:v>
                </c:pt>
                <c:pt idx="708">
                  <c:v>0.54500000000000004</c:v>
                </c:pt>
                <c:pt idx="709">
                  <c:v>0.31</c:v>
                </c:pt>
                <c:pt idx="710">
                  <c:v>1.0249999999999999</c:v>
                </c:pt>
                <c:pt idx="711">
                  <c:v>0.56499999999999995</c:v>
                </c:pt>
                <c:pt idx="712">
                  <c:v>0.69</c:v>
                </c:pt>
                <c:pt idx="713">
                  <c:v>0.43</c:v>
                </c:pt>
                <c:pt idx="714">
                  <c:v>0.74</c:v>
                </c:pt>
                <c:pt idx="715">
                  <c:v>0.49</c:v>
                </c:pt>
                <c:pt idx="716">
                  <c:v>0.43</c:v>
                </c:pt>
                <c:pt idx="717">
                  <c:v>0.46</c:v>
                </c:pt>
                <c:pt idx="718">
                  <c:v>0.56000000000000005</c:v>
                </c:pt>
                <c:pt idx="719">
                  <c:v>0.66</c:v>
                </c:pt>
                <c:pt idx="720">
                  <c:v>0.56000000000000005</c:v>
                </c:pt>
                <c:pt idx="721">
                  <c:v>0.48</c:v>
                </c:pt>
                <c:pt idx="722">
                  <c:v>0.42</c:v>
                </c:pt>
                <c:pt idx="723">
                  <c:v>0.31</c:v>
                </c:pt>
                <c:pt idx="724">
                  <c:v>1.115</c:v>
                </c:pt>
                <c:pt idx="725">
                  <c:v>0.66</c:v>
                </c:pt>
                <c:pt idx="726">
                  <c:v>0.72</c:v>
                </c:pt>
                <c:pt idx="727">
                  <c:v>0.56999999999999995</c:v>
                </c:pt>
                <c:pt idx="728">
                  <c:v>0.56999999999999995</c:v>
                </c:pt>
                <c:pt idx="729">
                  <c:v>0.86499999999999999</c:v>
                </c:pt>
                <c:pt idx="730">
                  <c:v>0.55000000000000004</c:v>
                </c:pt>
                <c:pt idx="731">
                  <c:v>0.875</c:v>
                </c:pt>
                <c:pt idx="732">
                  <c:v>0.83499999999999996</c:v>
                </c:pt>
                <c:pt idx="733">
                  <c:v>0.45</c:v>
                </c:pt>
                <c:pt idx="734">
                  <c:v>0.56000000000000005</c:v>
                </c:pt>
                <c:pt idx="735">
                  <c:v>0.96499999999999997</c:v>
                </c:pt>
                <c:pt idx="736">
                  <c:v>0.96499999999999997</c:v>
                </c:pt>
                <c:pt idx="737">
                  <c:v>0.59</c:v>
                </c:pt>
                <c:pt idx="738">
                  <c:v>0.46</c:v>
                </c:pt>
                <c:pt idx="739">
                  <c:v>0.69</c:v>
                </c:pt>
                <c:pt idx="740">
                  <c:v>0.76</c:v>
                </c:pt>
                <c:pt idx="741">
                  <c:v>0.53</c:v>
                </c:pt>
                <c:pt idx="742">
                  <c:v>0.61499999999999999</c:v>
                </c:pt>
                <c:pt idx="743">
                  <c:v>0.41</c:v>
                </c:pt>
                <c:pt idx="744">
                  <c:v>0.39</c:v>
                </c:pt>
                <c:pt idx="745">
                  <c:v>0.51</c:v>
                </c:pt>
                <c:pt idx="746">
                  <c:v>0.34</c:v>
                </c:pt>
                <c:pt idx="747">
                  <c:v>0.33</c:v>
                </c:pt>
                <c:pt idx="748">
                  <c:v>0.5</c:v>
                </c:pt>
                <c:pt idx="749">
                  <c:v>0.51</c:v>
                </c:pt>
                <c:pt idx="750">
                  <c:v>0.65</c:v>
                </c:pt>
                <c:pt idx="751">
                  <c:v>0.65</c:v>
                </c:pt>
                <c:pt idx="752">
                  <c:v>0.54</c:v>
                </c:pt>
                <c:pt idx="753">
                  <c:v>0.65</c:v>
                </c:pt>
                <c:pt idx="754">
                  <c:v>0.48</c:v>
                </c:pt>
                <c:pt idx="755">
                  <c:v>0.91</c:v>
                </c:pt>
                <c:pt idx="756">
                  <c:v>0.98</c:v>
                </c:pt>
                <c:pt idx="757">
                  <c:v>0.87</c:v>
                </c:pt>
                <c:pt idx="758">
                  <c:v>0.87</c:v>
                </c:pt>
                <c:pt idx="759">
                  <c:v>0.42</c:v>
                </c:pt>
                <c:pt idx="760">
                  <c:v>0.57999999999999996</c:v>
                </c:pt>
                <c:pt idx="761">
                  <c:v>0.65500000000000003</c:v>
                </c:pt>
                <c:pt idx="762">
                  <c:v>0.7</c:v>
                </c:pt>
                <c:pt idx="763">
                  <c:v>0.65500000000000003</c:v>
                </c:pt>
                <c:pt idx="764">
                  <c:v>0.68</c:v>
                </c:pt>
                <c:pt idx="765">
                  <c:v>0.67</c:v>
                </c:pt>
                <c:pt idx="766">
                  <c:v>0.59</c:v>
                </c:pt>
                <c:pt idx="767">
                  <c:v>0.6</c:v>
                </c:pt>
                <c:pt idx="768">
                  <c:v>0.59</c:v>
                </c:pt>
                <c:pt idx="769">
                  <c:v>0.72</c:v>
                </c:pt>
                <c:pt idx="770">
                  <c:v>0.59</c:v>
                </c:pt>
                <c:pt idx="771">
                  <c:v>0.68500000000000005</c:v>
                </c:pt>
                <c:pt idx="772">
                  <c:v>0.56999999999999995</c:v>
                </c:pt>
                <c:pt idx="773">
                  <c:v>0.4</c:v>
                </c:pt>
                <c:pt idx="774">
                  <c:v>0.4</c:v>
                </c:pt>
                <c:pt idx="775">
                  <c:v>1</c:v>
                </c:pt>
                <c:pt idx="776">
                  <c:v>0.76500000000000001</c:v>
                </c:pt>
                <c:pt idx="777">
                  <c:v>0.63500000000000001</c:v>
                </c:pt>
                <c:pt idx="778">
                  <c:v>0.43</c:v>
                </c:pt>
                <c:pt idx="779">
                  <c:v>0.52</c:v>
                </c:pt>
                <c:pt idx="780">
                  <c:v>0.56999999999999995</c:v>
                </c:pt>
                <c:pt idx="781">
                  <c:v>0.46</c:v>
                </c:pt>
                <c:pt idx="782">
                  <c:v>0.82</c:v>
                </c:pt>
                <c:pt idx="783">
                  <c:v>0.46</c:v>
                </c:pt>
                <c:pt idx="784">
                  <c:v>0.59</c:v>
                </c:pt>
                <c:pt idx="785">
                  <c:v>0.35</c:v>
                </c:pt>
                <c:pt idx="786">
                  <c:v>0.35</c:v>
                </c:pt>
                <c:pt idx="787">
                  <c:v>0.56000000000000005</c:v>
                </c:pt>
                <c:pt idx="788">
                  <c:v>0.56000000000000005</c:v>
                </c:pt>
                <c:pt idx="789">
                  <c:v>0.63</c:v>
                </c:pt>
                <c:pt idx="790">
                  <c:v>0.37</c:v>
                </c:pt>
                <c:pt idx="791">
                  <c:v>0.64</c:v>
                </c:pt>
                <c:pt idx="792">
                  <c:v>0.61</c:v>
                </c:pt>
                <c:pt idx="793">
                  <c:v>0.6</c:v>
                </c:pt>
                <c:pt idx="794">
                  <c:v>0.27</c:v>
                </c:pt>
                <c:pt idx="795">
                  <c:v>0.89</c:v>
                </c:pt>
                <c:pt idx="796">
                  <c:v>0.46</c:v>
                </c:pt>
                <c:pt idx="797">
                  <c:v>0.37</c:v>
                </c:pt>
                <c:pt idx="798">
                  <c:v>0.5</c:v>
                </c:pt>
                <c:pt idx="799">
                  <c:v>0.5</c:v>
                </c:pt>
                <c:pt idx="800">
                  <c:v>0.61</c:v>
                </c:pt>
                <c:pt idx="801">
                  <c:v>0.55000000000000004</c:v>
                </c:pt>
                <c:pt idx="802">
                  <c:v>0.58499999999999996</c:v>
                </c:pt>
                <c:pt idx="803">
                  <c:v>0.56000000000000005</c:v>
                </c:pt>
                <c:pt idx="804">
                  <c:v>0.52</c:v>
                </c:pt>
                <c:pt idx="805">
                  <c:v>0.28000000000000003</c:v>
                </c:pt>
                <c:pt idx="806">
                  <c:v>0.25</c:v>
                </c:pt>
                <c:pt idx="807">
                  <c:v>0.28000000000000003</c:v>
                </c:pt>
                <c:pt idx="808">
                  <c:v>0.53</c:v>
                </c:pt>
                <c:pt idx="809">
                  <c:v>0.48</c:v>
                </c:pt>
                <c:pt idx="810">
                  <c:v>0.49</c:v>
                </c:pt>
                <c:pt idx="811">
                  <c:v>0.5</c:v>
                </c:pt>
                <c:pt idx="812">
                  <c:v>0.45</c:v>
                </c:pt>
                <c:pt idx="813">
                  <c:v>0.39</c:v>
                </c:pt>
                <c:pt idx="814">
                  <c:v>0.41</c:v>
                </c:pt>
                <c:pt idx="815">
                  <c:v>0.45</c:v>
                </c:pt>
                <c:pt idx="816">
                  <c:v>0.51</c:v>
                </c:pt>
                <c:pt idx="817">
                  <c:v>0.28999999999999998</c:v>
                </c:pt>
                <c:pt idx="818">
                  <c:v>0.71499999999999997</c:v>
                </c:pt>
                <c:pt idx="819">
                  <c:v>0.66</c:v>
                </c:pt>
                <c:pt idx="820">
                  <c:v>0.68500000000000005</c:v>
                </c:pt>
                <c:pt idx="821">
                  <c:v>0.42</c:v>
                </c:pt>
                <c:pt idx="822">
                  <c:v>0.54</c:v>
                </c:pt>
                <c:pt idx="823">
                  <c:v>0.54</c:v>
                </c:pt>
                <c:pt idx="824">
                  <c:v>0.48</c:v>
                </c:pt>
                <c:pt idx="825">
                  <c:v>0.46</c:v>
                </c:pt>
                <c:pt idx="826">
                  <c:v>0.27</c:v>
                </c:pt>
                <c:pt idx="827">
                  <c:v>0.46</c:v>
                </c:pt>
                <c:pt idx="828">
                  <c:v>0.56999999999999995</c:v>
                </c:pt>
                <c:pt idx="829">
                  <c:v>0.61</c:v>
                </c:pt>
                <c:pt idx="830">
                  <c:v>0.68500000000000005</c:v>
                </c:pt>
                <c:pt idx="831">
                  <c:v>0.61</c:v>
                </c:pt>
                <c:pt idx="832">
                  <c:v>0.44</c:v>
                </c:pt>
                <c:pt idx="833">
                  <c:v>0.47</c:v>
                </c:pt>
                <c:pt idx="834">
                  <c:v>0.68500000000000005</c:v>
                </c:pt>
                <c:pt idx="835">
                  <c:v>0.66500000000000004</c:v>
                </c:pt>
                <c:pt idx="836">
                  <c:v>0.28000000000000003</c:v>
                </c:pt>
                <c:pt idx="837">
                  <c:v>0.28000000000000003</c:v>
                </c:pt>
                <c:pt idx="838">
                  <c:v>0.31</c:v>
                </c:pt>
                <c:pt idx="839">
                  <c:v>0.5</c:v>
                </c:pt>
                <c:pt idx="840">
                  <c:v>0.42</c:v>
                </c:pt>
                <c:pt idx="841">
                  <c:v>0.66</c:v>
                </c:pt>
                <c:pt idx="842">
                  <c:v>0.5</c:v>
                </c:pt>
                <c:pt idx="843">
                  <c:v>0.68500000000000005</c:v>
                </c:pt>
                <c:pt idx="844">
                  <c:v>0.25</c:v>
                </c:pt>
                <c:pt idx="845">
                  <c:v>0.64</c:v>
                </c:pt>
                <c:pt idx="846">
                  <c:v>0.64</c:v>
                </c:pt>
                <c:pt idx="847">
                  <c:v>0.68</c:v>
                </c:pt>
                <c:pt idx="848">
                  <c:v>0.64</c:v>
                </c:pt>
                <c:pt idx="849">
                  <c:v>0.63</c:v>
                </c:pt>
                <c:pt idx="850">
                  <c:v>0.43</c:v>
                </c:pt>
                <c:pt idx="851">
                  <c:v>0.43</c:v>
                </c:pt>
                <c:pt idx="852">
                  <c:v>0.42</c:v>
                </c:pt>
                <c:pt idx="853">
                  <c:v>0.36</c:v>
                </c:pt>
                <c:pt idx="854">
                  <c:v>0.36</c:v>
                </c:pt>
                <c:pt idx="855">
                  <c:v>0.73499999999999999</c:v>
                </c:pt>
                <c:pt idx="856">
                  <c:v>0.36</c:v>
                </c:pt>
                <c:pt idx="857">
                  <c:v>0.26</c:v>
                </c:pt>
                <c:pt idx="858">
                  <c:v>0.28000000000000003</c:v>
                </c:pt>
                <c:pt idx="859">
                  <c:v>0.56000000000000005</c:v>
                </c:pt>
                <c:pt idx="860">
                  <c:v>0.62</c:v>
                </c:pt>
                <c:pt idx="861">
                  <c:v>1.01</c:v>
                </c:pt>
                <c:pt idx="862">
                  <c:v>0.42</c:v>
                </c:pt>
                <c:pt idx="863">
                  <c:v>0.62</c:v>
                </c:pt>
                <c:pt idx="864">
                  <c:v>0.62</c:v>
                </c:pt>
                <c:pt idx="865">
                  <c:v>0.63500000000000001</c:v>
                </c:pt>
                <c:pt idx="866">
                  <c:v>0.49</c:v>
                </c:pt>
                <c:pt idx="867">
                  <c:v>0.51</c:v>
                </c:pt>
                <c:pt idx="868">
                  <c:v>0.56000000000000005</c:v>
                </c:pt>
                <c:pt idx="869">
                  <c:v>0.63</c:v>
                </c:pt>
                <c:pt idx="870">
                  <c:v>0.71499999999999997</c:v>
                </c:pt>
                <c:pt idx="871">
                  <c:v>0.56000000000000005</c:v>
                </c:pt>
                <c:pt idx="872">
                  <c:v>0.35</c:v>
                </c:pt>
                <c:pt idx="873">
                  <c:v>0.21</c:v>
                </c:pt>
                <c:pt idx="874">
                  <c:v>0.38</c:v>
                </c:pt>
                <c:pt idx="875">
                  <c:v>0.31</c:v>
                </c:pt>
                <c:pt idx="876">
                  <c:v>0.47</c:v>
                </c:pt>
                <c:pt idx="877">
                  <c:v>0.71499999999999997</c:v>
                </c:pt>
                <c:pt idx="878">
                  <c:v>0.61</c:v>
                </c:pt>
                <c:pt idx="879">
                  <c:v>0.6</c:v>
                </c:pt>
                <c:pt idx="880">
                  <c:v>0.56000000000000005</c:v>
                </c:pt>
                <c:pt idx="881">
                  <c:v>0.71499999999999997</c:v>
                </c:pt>
                <c:pt idx="882">
                  <c:v>0.31</c:v>
                </c:pt>
                <c:pt idx="883">
                  <c:v>0.6</c:v>
                </c:pt>
                <c:pt idx="884">
                  <c:v>0.61</c:v>
                </c:pt>
                <c:pt idx="885">
                  <c:v>0.75</c:v>
                </c:pt>
                <c:pt idx="886">
                  <c:v>0.8</c:v>
                </c:pt>
                <c:pt idx="887">
                  <c:v>0.52</c:v>
                </c:pt>
                <c:pt idx="888">
                  <c:v>0.56999999999999995</c:v>
                </c:pt>
                <c:pt idx="889">
                  <c:v>0.9</c:v>
                </c:pt>
                <c:pt idx="890">
                  <c:v>0.34</c:v>
                </c:pt>
                <c:pt idx="891">
                  <c:v>0.66</c:v>
                </c:pt>
                <c:pt idx="892">
                  <c:v>0.45</c:v>
                </c:pt>
                <c:pt idx="893">
                  <c:v>0.66</c:v>
                </c:pt>
                <c:pt idx="894">
                  <c:v>0.63</c:v>
                </c:pt>
                <c:pt idx="895">
                  <c:v>0.59</c:v>
                </c:pt>
                <c:pt idx="896">
                  <c:v>0.31</c:v>
                </c:pt>
                <c:pt idx="897">
                  <c:v>0.59</c:v>
                </c:pt>
                <c:pt idx="898">
                  <c:v>0.31</c:v>
                </c:pt>
                <c:pt idx="899">
                  <c:v>1.02</c:v>
                </c:pt>
                <c:pt idx="900">
                  <c:v>0.31</c:v>
                </c:pt>
                <c:pt idx="901">
                  <c:v>0.63500000000000001</c:v>
                </c:pt>
                <c:pt idx="902">
                  <c:v>0.63500000000000001</c:v>
                </c:pt>
                <c:pt idx="903">
                  <c:v>0.59</c:v>
                </c:pt>
                <c:pt idx="904">
                  <c:v>0.59</c:v>
                </c:pt>
                <c:pt idx="905">
                  <c:v>0.57999999999999996</c:v>
                </c:pt>
                <c:pt idx="906">
                  <c:v>0.54</c:v>
                </c:pt>
                <c:pt idx="907">
                  <c:v>0.56000000000000005</c:v>
                </c:pt>
                <c:pt idx="908">
                  <c:v>0.52</c:v>
                </c:pt>
                <c:pt idx="909">
                  <c:v>0.30499999999999999</c:v>
                </c:pt>
                <c:pt idx="910">
                  <c:v>0.38</c:v>
                </c:pt>
                <c:pt idx="911">
                  <c:v>0.28000000000000003</c:v>
                </c:pt>
                <c:pt idx="912">
                  <c:v>0.46</c:v>
                </c:pt>
                <c:pt idx="913">
                  <c:v>0.39500000000000002</c:v>
                </c:pt>
                <c:pt idx="914">
                  <c:v>0.30499999999999999</c:v>
                </c:pt>
                <c:pt idx="915">
                  <c:v>0.315</c:v>
                </c:pt>
                <c:pt idx="916">
                  <c:v>0.71499999999999997</c:v>
                </c:pt>
                <c:pt idx="917">
                  <c:v>0.41</c:v>
                </c:pt>
                <c:pt idx="918">
                  <c:v>0.36</c:v>
                </c:pt>
                <c:pt idx="919">
                  <c:v>0.62</c:v>
                </c:pt>
                <c:pt idx="920">
                  <c:v>0.41</c:v>
                </c:pt>
                <c:pt idx="921">
                  <c:v>0.36</c:v>
                </c:pt>
                <c:pt idx="922">
                  <c:v>0.62</c:v>
                </c:pt>
                <c:pt idx="923">
                  <c:v>0.41</c:v>
                </c:pt>
                <c:pt idx="924">
                  <c:v>0.47</c:v>
                </c:pt>
                <c:pt idx="925">
                  <c:v>0.22</c:v>
                </c:pt>
                <c:pt idx="926">
                  <c:v>0.24</c:v>
                </c:pt>
                <c:pt idx="927">
                  <c:v>0.67</c:v>
                </c:pt>
                <c:pt idx="928">
                  <c:v>0.47</c:v>
                </c:pt>
                <c:pt idx="929">
                  <c:v>0.33</c:v>
                </c:pt>
                <c:pt idx="930">
                  <c:v>0.61</c:v>
                </c:pt>
                <c:pt idx="931">
                  <c:v>0.61</c:v>
                </c:pt>
                <c:pt idx="932">
                  <c:v>0.4</c:v>
                </c:pt>
                <c:pt idx="933">
                  <c:v>0.61</c:v>
                </c:pt>
                <c:pt idx="934">
                  <c:v>0.61</c:v>
                </c:pt>
                <c:pt idx="935">
                  <c:v>0.3</c:v>
                </c:pt>
                <c:pt idx="936">
                  <c:v>0.3</c:v>
                </c:pt>
                <c:pt idx="937">
                  <c:v>0.63</c:v>
                </c:pt>
                <c:pt idx="938">
                  <c:v>0.38</c:v>
                </c:pt>
                <c:pt idx="939">
                  <c:v>0.46</c:v>
                </c:pt>
                <c:pt idx="940">
                  <c:v>0.33</c:v>
                </c:pt>
                <c:pt idx="941">
                  <c:v>0.27</c:v>
                </c:pt>
                <c:pt idx="942">
                  <c:v>0.43</c:v>
                </c:pt>
                <c:pt idx="943">
                  <c:v>0.5</c:v>
                </c:pt>
                <c:pt idx="944">
                  <c:v>0.3</c:v>
                </c:pt>
                <c:pt idx="945">
                  <c:v>0.44</c:v>
                </c:pt>
                <c:pt idx="946">
                  <c:v>0.44</c:v>
                </c:pt>
                <c:pt idx="947">
                  <c:v>0.28000000000000003</c:v>
                </c:pt>
                <c:pt idx="948">
                  <c:v>0.12</c:v>
                </c:pt>
                <c:pt idx="949">
                  <c:v>0.12</c:v>
                </c:pt>
                <c:pt idx="950">
                  <c:v>0.12</c:v>
                </c:pt>
                <c:pt idx="951">
                  <c:v>0.28000000000000003</c:v>
                </c:pt>
                <c:pt idx="952">
                  <c:v>0.31</c:v>
                </c:pt>
                <c:pt idx="953">
                  <c:v>0.34</c:v>
                </c:pt>
                <c:pt idx="954">
                  <c:v>0.43</c:v>
                </c:pt>
                <c:pt idx="955">
                  <c:v>0.21</c:v>
                </c:pt>
                <c:pt idx="956">
                  <c:v>0.36</c:v>
                </c:pt>
                <c:pt idx="957">
                  <c:v>0.37</c:v>
                </c:pt>
                <c:pt idx="958">
                  <c:v>0.56999999999999995</c:v>
                </c:pt>
                <c:pt idx="959">
                  <c:v>0.59</c:v>
                </c:pt>
                <c:pt idx="960">
                  <c:v>0.47</c:v>
                </c:pt>
                <c:pt idx="961">
                  <c:v>0.56000000000000005</c:v>
                </c:pt>
                <c:pt idx="962">
                  <c:v>0.56999999999999995</c:v>
                </c:pt>
                <c:pt idx="963">
                  <c:v>0.27</c:v>
                </c:pt>
                <c:pt idx="964">
                  <c:v>0.47</c:v>
                </c:pt>
                <c:pt idx="965">
                  <c:v>0.34</c:v>
                </c:pt>
                <c:pt idx="966">
                  <c:v>0.38</c:v>
                </c:pt>
                <c:pt idx="967">
                  <c:v>0.66</c:v>
                </c:pt>
                <c:pt idx="968">
                  <c:v>0.4</c:v>
                </c:pt>
                <c:pt idx="969">
                  <c:v>0.56000000000000005</c:v>
                </c:pt>
                <c:pt idx="970">
                  <c:v>0.26</c:v>
                </c:pt>
                <c:pt idx="971">
                  <c:v>0.26</c:v>
                </c:pt>
                <c:pt idx="972">
                  <c:v>0.38</c:v>
                </c:pt>
                <c:pt idx="973">
                  <c:v>0.34</c:v>
                </c:pt>
                <c:pt idx="974">
                  <c:v>0.33</c:v>
                </c:pt>
                <c:pt idx="975">
                  <c:v>0.41</c:v>
                </c:pt>
                <c:pt idx="976">
                  <c:v>0.41</c:v>
                </c:pt>
                <c:pt idx="977">
                  <c:v>0.59</c:v>
                </c:pt>
                <c:pt idx="978">
                  <c:v>0.4</c:v>
                </c:pt>
                <c:pt idx="979">
                  <c:v>0.45</c:v>
                </c:pt>
                <c:pt idx="980">
                  <c:v>0.5</c:v>
                </c:pt>
                <c:pt idx="981">
                  <c:v>0.86</c:v>
                </c:pt>
                <c:pt idx="982">
                  <c:v>0.52</c:v>
                </c:pt>
                <c:pt idx="983">
                  <c:v>0.5</c:v>
                </c:pt>
                <c:pt idx="984">
                  <c:v>0.45</c:v>
                </c:pt>
                <c:pt idx="985">
                  <c:v>0.57999999999999996</c:v>
                </c:pt>
                <c:pt idx="986">
                  <c:v>0.34</c:v>
                </c:pt>
                <c:pt idx="987">
                  <c:v>0.36</c:v>
                </c:pt>
                <c:pt idx="988">
                  <c:v>0.39</c:v>
                </c:pt>
                <c:pt idx="989">
                  <c:v>0.29499999999999998</c:v>
                </c:pt>
                <c:pt idx="990">
                  <c:v>0.39</c:v>
                </c:pt>
                <c:pt idx="991">
                  <c:v>0.34</c:v>
                </c:pt>
                <c:pt idx="992">
                  <c:v>0.4</c:v>
                </c:pt>
                <c:pt idx="993">
                  <c:v>0.34</c:v>
                </c:pt>
                <c:pt idx="994">
                  <c:v>0.35</c:v>
                </c:pt>
                <c:pt idx="995">
                  <c:v>0.6</c:v>
                </c:pt>
                <c:pt idx="996">
                  <c:v>0.66</c:v>
                </c:pt>
                <c:pt idx="997">
                  <c:v>0.66</c:v>
                </c:pt>
                <c:pt idx="998">
                  <c:v>0.84</c:v>
                </c:pt>
                <c:pt idx="999">
                  <c:v>0.69</c:v>
                </c:pt>
                <c:pt idx="1000">
                  <c:v>0.43</c:v>
                </c:pt>
                <c:pt idx="1001">
                  <c:v>0.35</c:v>
                </c:pt>
                <c:pt idx="1002">
                  <c:v>0.28999999999999998</c:v>
                </c:pt>
                <c:pt idx="1003">
                  <c:v>0.36</c:v>
                </c:pt>
                <c:pt idx="1004">
                  <c:v>0.43</c:v>
                </c:pt>
                <c:pt idx="1005">
                  <c:v>0.36</c:v>
                </c:pt>
                <c:pt idx="1006">
                  <c:v>0.28999999999999998</c:v>
                </c:pt>
                <c:pt idx="1007">
                  <c:v>0.3</c:v>
                </c:pt>
                <c:pt idx="1008">
                  <c:v>0.35</c:v>
                </c:pt>
                <c:pt idx="1009">
                  <c:v>0.5</c:v>
                </c:pt>
                <c:pt idx="1010">
                  <c:v>0.28000000000000003</c:v>
                </c:pt>
                <c:pt idx="1011">
                  <c:v>0.32</c:v>
                </c:pt>
                <c:pt idx="1012">
                  <c:v>1.0049999999999999</c:v>
                </c:pt>
                <c:pt idx="1013">
                  <c:v>0.71</c:v>
                </c:pt>
                <c:pt idx="1014">
                  <c:v>0.57999999999999996</c:v>
                </c:pt>
                <c:pt idx="1015">
                  <c:v>0.39</c:v>
                </c:pt>
                <c:pt idx="1016">
                  <c:v>0.38</c:v>
                </c:pt>
                <c:pt idx="1017">
                  <c:v>0.18</c:v>
                </c:pt>
                <c:pt idx="1018">
                  <c:v>0.18</c:v>
                </c:pt>
                <c:pt idx="1019">
                  <c:v>0.5</c:v>
                </c:pt>
                <c:pt idx="1020">
                  <c:v>0.36</c:v>
                </c:pt>
                <c:pt idx="1021">
                  <c:v>0.36</c:v>
                </c:pt>
                <c:pt idx="1022">
                  <c:v>0.51</c:v>
                </c:pt>
                <c:pt idx="1023">
                  <c:v>0.32</c:v>
                </c:pt>
                <c:pt idx="1024">
                  <c:v>0.57999999999999996</c:v>
                </c:pt>
                <c:pt idx="1025">
                  <c:v>0.83</c:v>
                </c:pt>
                <c:pt idx="1026">
                  <c:v>0.31</c:v>
                </c:pt>
                <c:pt idx="1027">
                  <c:v>0.79500000000000004</c:v>
                </c:pt>
                <c:pt idx="1028">
                  <c:v>0.34</c:v>
                </c:pt>
                <c:pt idx="1029">
                  <c:v>0.57999999999999996</c:v>
                </c:pt>
                <c:pt idx="1030">
                  <c:v>0.59</c:v>
                </c:pt>
                <c:pt idx="1031">
                  <c:v>0.55000000000000004</c:v>
                </c:pt>
                <c:pt idx="1032">
                  <c:v>0.82</c:v>
                </c:pt>
                <c:pt idx="1033">
                  <c:v>0.56999999999999995</c:v>
                </c:pt>
                <c:pt idx="1034">
                  <c:v>0.745</c:v>
                </c:pt>
                <c:pt idx="1035">
                  <c:v>0.37</c:v>
                </c:pt>
                <c:pt idx="1036">
                  <c:v>0.31</c:v>
                </c:pt>
                <c:pt idx="1037">
                  <c:v>0.91</c:v>
                </c:pt>
                <c:pt idx="1038">
                  <c:v>0.41</c:v>
                </c:pt>
                <c:pt idx="1039">
                  <c:v>0.5</c:v>
                </c:pt>
                <c:pt idx="1040">
                  <c:v>0.96499999999999997</c:v>
                </c:pt>
                <c:pt idx="1041">
                  <c:v>0.49</c:v>
                </c:pt>
                <c:pt idx="1042">
                  <c:v>0.5</c:v>
                </c:pt>
                <c:pt idx="1043">
                  <c:v>0.39</c:v>
                </c:pt>
                <c:pt idx="1044">
                  <c:v>0.39</c:v>
                </c:pt>
                <c:pt idx="1045">
                  <c:v>0.44</c:v>
                </c:pt>
                <c:pt idx="1046">
                  <c:v>0.78</c:v>
                </c:pt>
                <c:pt idx="1047">
                  <c:v>0.43</c:v>
                </c:pt>
                <c:pt idx="1048">
                  <c:v>0.49</c:v>
                </c:pt>
                <c:pt idx="1049">
                  <c:v>0.5</c:v>
                </c:pt>
                <c:pt idx="1050">
                  <c:v>0.43</c:v>
                </c:pt>
                <c:pt idx="1051">
                  <c:v>0.46</c:v>
                </c:pt>
                <c:pt idx="1052">
                  <c:v>0.60499999999999998</c:v>
                </c:pt>
                <c:pt idx="1053">
                  <c:v>0.33</c:v>
                </c:pt>
                <c:pt idx="1054">
                  <c:v>0.64</c:v>
                </c:pt>
                <c:pt idx="1055">
                  <c:v>0.64</c:v>
                </c:pt>
                <c:pt idx="1056">
                  <c:v>0.48</c:v>
                </c:pt>
                <c:pt idx="1057">
                  <c:v>0.42</c:v>
                </c:pt>
                <c:pt idx="1058">
                  <c:v>0.53</c:v>
                </c:pt>
                <c:pt idx="1059">
                  <c:v>0.48</c:v>
                </c:pt>
                <c:pt idx="1060">
                  <c:v>0.23</c:v>
                </c:pt>
                <c:pt idx="1061">
                  <c:v>0.4</c:v>
                </c:pt>
                <c:pt idx="1062">
                  <c:v>0.38</c:v>
                </c:pt>
                <c:pt idx="1063">
                  <c:v>0.28999999999999998</c:v>
                </c:pt>
                <c:pt idx="1064">
                  <c:v>0.74</c:v>
                </c:pt>
                <c:pt idx="1065">
                  <c:v>0.61</c:v>
                </c:pt>
                <c:pt idx="1066">
                  <c:v>0.52</c:v>
                </c:pt>
                <c:pt idx="1067">
                  <c:v>0.31</c:v>
                </c:pt>
                <c:pt idx="1068">
                  <c:v>0.31</c:v>
                </c:pt>
                <c:pt idx="1069">
                  <c:v>0.62</c:v>
                </c:pt>
                <c:pt idx="1070">
                  <c:v>0.33</c:v>
                </c:pt>
                <c:pt idx="1071">
                  <c:v>0.77</c:v>
                </c:pt>
                <c:pt idx="1072">
                  <c:v>0.35</c:v>
                </c:pt>
                <c:pt idx="1073">
                  <c:v>0.62</c:v>
                </c:pt>
                <c:pt idx="1074">
                  <c:v>0.77</c:v>
                </c:pt>
                <c:pt idx="1075">
                  <c:v>0.25</c:v>
                </c:pt>
                <c:pt idx="1076">
                  <c:v>0.32</c:v>
                </c:pt>
                <c:pt idx="1077">
                  <c:v>0.37</c:v>
                </c:pt>
                <c:pt idx="1078">
                  <c:v>0.37</c:v>
                </c:pt>
                <c:pt idx="1079">
                  <c:v>0.3</c:v>
                </c:pt>
                <c:pt idx="1080">
                  <c:v>0.27</c:v>
                </c:pt>
                <c:pt idx="1081">
                  <c:v>0.3</c:v>
                </c:pt>
                <c:pt idx="1082">
                  <c:v>0.38</c:v>
                </c:pt>
                <c:pt idx="1083">
                  <c:v>0.42</c:v>
                </c:pt>
                <c:pt idx="1084">
                  <c:v>0.38</c:v>
                </c:pt>
                <c:pt idx="1085">
                  <c:v>0.48</c:v>
                </c:pt>
                <c:pt idx="1086">
                  <c:v>0.34</c:v>
                </c:pt>
                <c:pt idx="1087">
                  <c:v>0.19</c:v>
                </c:pt>
                <c:pt idx="1088">
                  <c:v>0.41</c:v>
                </c:pt>
                <c:pt idx="1089">
                  <c:v>0.41</c:v>
                </c:pt>
                <c:pt idx="1090">
                  <c:v>0.26</c:v>
                </c:pt>
                <c:pt idx="1091">
                  <c:v>0.34</c:v>
                </c:pt>
                <c:pt idx="1092">
                  <c:v>0.54</c:v>
                </c:pt>
                <c:pt idx="1093">
                  <c:v>0.31</c:v>
                </c:pt>
                <c:pt idx="1094">
                  <c:v>0.72499999999999998</c:v>
                </c:pt>
                <c:pt idx="1095">
                  <c:v>0.4</c:v>
                </c:pt>
                <c:pt idx="1096">
                  <c:v>0.72499999999999998</c:v>
                </c:pt>
                <c:pt idx="1097">
                  <c:v>0.52</c:v>
                </c:pt>
                <c:pt idx="1098">
                  <c:v>0.31</c:v>
                </c:pt>
                <c:pt idx="1099">
                  <c:v>0.52</c:v>
                </c:pt>
                <c:pt idx="1100">
                  <c:v>0.34</c:v>
                </c:pt>
                <c:pt idx="1101">
                  <c:v>0.49</c:v>
                </c:pt>
                <c:pt idx="1102">
                  <c:v>0.48</c:v>
                </c:pt>
                <c:pt idx="1103">
                  <c:v>0.49</c:v>
                </c:pt>
                <c:pt idx="1104">
                  <c:v>0.48</c:v>
                </c:pt>
                <c:pt idx="1105">
                  <c:v>0.56999999999999995</c:v>
                </c:pt>
                <c:pt idx="1106">
                  <c:v>0.23</c:v>
                </c:pt>
                <c:pt idx="1107">
                  <c:v>0.3</c:v>
                </c:pt>
                <c:pt idx="1108">
                  <c:v>0.78</c:v>
                </c:pt>
                <c:pt idx="1109">
                  <c:v>0.47</c:v>
                </c:pt>
                <c:pt idx="1110">
                  <c:v>0.53</c:v>
                </c:pt>
                <c:pt idx="1111">
                  <c:v>0.42</c:v>
                </c:pt>
                <c:pt idx="1112">
                  <c:v>0.33</c:v>
                </c:pt>
                <c:pt idx="1113">
                  <c:v>0.24</c:v>
                </c:pt>
                <c:pt idx="1114">
                  <c:v>0.4</c:v>
                </c:pt>
                <c:pt idx="1115">
                  <c:v>0.69</c:v>
                </c:pt>
                <c:pt idx="1116">
                  <c:v>0.69</c:v>
                </c:pt>
                <c:pt idx="1117">
                  <c:v>0.69</c:v>
                </c:pt>
                <c:pt idx="1118">
                  <c:v>0.39</c:v>
                </c:pt>
                <c:pt idx="1119">
                  <c:v>0.66</c:v>
                </c:pt>
                <c:pt idx="1120">
                  <c:v>0.54</c:v>
                </c:pt>
                <c:pt idx="1121">
                  <c:v>0.5</c:v>
                </c:pt>
                <c:pt idx="1122">
                  <c:v>0.47</c:v>
                </c:pt>
                <c:pt idx="1123">
                  <c:v>0.4</c:v>
                </c:pt>
                <c:pt idx="1124">
                  <c:v>0.57999999999999996</c:v>
                </c:pt>
                <c:pt idx="1125">
                  <c:v>0.24</c:v>
                </c:pt>
                <c:pt idx="1126">
                  <c:v>0.28999999999999998</c:v>
                </c:pt>
                <c:pt idx="1127">
                  <c:v>0.76</c:v>
                </c:pt>
                <c:pt idx="1128">
                  <c:v>0.43</c:v>
                </c:pt>
                <c:pt idx="1129">
                  <c:v>0.43</c:v>
                </c:pt>
                <c:pt idx="1130">
                  <c:v>0.6</c:v>
                </c:pt>
                <c:pt idx="1131">
                  <c:v>0.19</c:v>
                </c:pt>
                <c:pt idx="1132">
                  <c:v>0.36</c:v>
                </c:pt>
                <c:pt idx="1133">
                  <c:v>0.48</c:v>
                </c:pt>
                <c:pt idx="1134">
                  <c:v>0.28000000000000003</c:v>
                </c:pt>
                <c:pt idx="1135">
                  <c:v>0.25</c:v>
                </c:pt>
                <c:pt idx="1136">
                  <c:v>0.52</c:v>
                </c:pt>
                <c:pt idx="1137">
                  <c:v>0.52</c:v>
                </c:pt>
                <c:pt idx="1138">
                  <c:v>0.41</c:v>
                </c:pt>
                <c:pt idx="1139">
                  <c:v>0.51</c:v>
                </c:pt>
                <c:pt idx="1140">
                  <c:v>0.4</c:v>
                </c:pt>
                <c:pt idx="1141">
                  <c:v>0.38</c:v>
                </c:pt>
                <c:pt idx="1142">
                  <c:v>0.45</c:v>
                </c:pt>
                <c:pt idx="1143">
                  <c:v>0.22</c:v>
                </c:pt>
                <c:pt idx="1144">
                  <c:v>0.32</c:v>
                </c:pt>
                <c:pt idx="1145">
                  <c:v>0.2</c:v>
                </c:pt>
                <c:pt idx="1146">
                  <c:v>0.5</c:v>
                </c:pt>
                <c:pt idx="1147">
                  <c:v>0.41</c:v>
                </c:pt>
                <c:pt idx="1148">
                  <c:v>0.39</c:v>
                </c:pt>
                <c:pt idx="1149">
                  <c:v>0.35</c:v>
                </c:pt>
                <c:pt idx="1150">
                  <c:v>0.33</c:v>
                </c:pt>
                <c:pt idx="1151">
                  <c:v>0.57999999999999996</c:v>
                </c:pt>
                <c:pt idx="1152">
                  <c:v>0.6</c:v>
                </c:pt>
                <c:pt idx="1153">
                  <c:v>0.42</c:v>
                </c:pt>
                <c:pt idx="1154">
                  <c:v>0.57999999999999996</c:v>
                </c:pt>
                <c:pt idx="1155">
                  <c:v>0.6</c:v>
                </c:pt>
                <c:pt idx="1156">
                  <c:v>0.18</c:v>
                </c:pt>
                <c:pt idx="1157">
                  <c:v>0.51</c:v>
                </c:pt>
                <c:pt idx="1158">
                  <c:v>0.41</c:v>
                </c:pt>
                <c:pt idx="1159">
                  <c:v>0.41</c:v>
                </c:pt>
                <c:pt idx="1160">
                  <c:v>0.36</c:v>
                </c:pt>
                <c:pt idx="1161">
                  <c:v>0.45</c:v>
                </c:pt>
                <c:pt idx="1162">
                  <c:v>0.32</c:v>
                </c:pt>
                <c:pt idx="1163">
                  <c:v>0.78500000000000003</c:v>
                </c:pt>
                <c:pt idx="1164">
                  <c:v>0.78500000000000003</c:v>
                </c:pt>
                <c:pt idx="1165">
                  <c:v>0.44</c:v>
                </c:pt>
                <c:pt idx="1166">
                  <c:v>0.54</c:v>
                </c:pt>
                <c:pt idx="1167">
                  <c:v>0.33</c:v>
                </c:pt>
                <c:pt idx="1168">
                  <c:v>0.34</c:v>
                </c:pt>
                <c:pt idx="1169">
                  <c:v>0.5</c:v>
                </c:pt>
                <c:pt idx="1170">
                  <c:v>0.36</c:v>
                </c:pt>
                <c:pt idx="1171">
                  <c:v>0.59</c:v>
                </c:pt>
                <c:pt idx="1172">
                  <c:v>0.42</c:v>
                </c:pt>
                <c:pt idx="1173">
                  <c:v>0.36</c:v>
                </c:pt>
                <c:pt idx="1174">
                  <c:v>0.36</c:v>
                </c:pt>
                <c:pt idx="1175">
                  <c:v>0.61</c:v>
                </c:pt>
                <c:pt idx="1176">
                  <c:v>0.88</c:v>
                </c:pt>
                <c:pt idx="1177">
                  <c:v>0.66</c:v>
                </c:pt>
                <c:pt idx="1178">
                  <c:v>0.91500000000000004</c:v>
                </c:pt>
                <c:pt idx="1179">
                  <c:v>0.35</c:v>
                </c:pt>
                <c:pt idx="1180">
                  <c:v>0.35</c:v>
                </c:pt>
                <c:pt idx="1181">
                  <c:v>0.39</c:v>
                </c:pt>
                <c:pt idx="1182">
                  <c:v>0.4</c:v>
                </c:pt>
                <c:pt idx="1183">
                  <c:v>0.66</c:v>
                </c:pt>
                <c:pt idx="1184">
                  <c:v>0.64</c:v>
                </c:pt>
                <c:pt idx="1185">
                  <c:v>0.43</c:v>
                </c:pt>
                <c:pt idx="1186">
                  <c:v>0.8</c:v>
                </c:pt>
                <c:pt idx="1187">
                  <c:v>0.43</c:v>
                </c:pt>
                <c:pt idx="1188">
                  <c:v>0.64</c:v>
                </c:pt>
                <c:pt idx="1189">
                  <c:v>0.95499999999999996</c:v>
                </c:pt>
                <c:pt idx="1190">
                  <c:v>0.4</c:v>
                </c:pt>
                <c:pt idx="1191">
                  <c:v>0.88500000000000001</c:v>
                </c:pt>
                <c:pt idx="1192">
                  <c:v>0.25</c:v>
                </c:pt>
                <c:pt idx="1193">
                  <c:v>0.88500000000000001</c:v>
                </c:pt>
                <c:pt idx="1194">
                  <c:v>0.745</c:v>
                </c:pt>
                <c:pt idx="1195">
                  <c:v>0.43</c:v>
                </c:pt>
                <c:pt idx="1196">
                  <c:v>0.57999999999999996</c:v>
                </c:pt>
                <c:pt idx="1197">
                  <c:v>0.56999999999999995</c:v>
                </c:pt>
                <c:pt idx="1198">
                  <c:v>0.26</c:v>
                </c:pt>
                <c:pt idx="1199">
                  <c:v>0.57999999999999996</c:v>
                </c:pt>
                <c:pt idx="1200">
                  <c:v>0.56999999999999995</c:v>
                </c:pt>
                <c:pt idx="1201">
                  <c:v>0.34</c:v>
                </c:pt>
                <c:pt idx="1202">
                  <c:v>0.42</c:v>
                </c:pt>
                <c:pt idx="1203">
                  <c:v>0.74</c:v>
                </c:pt>
                <c:pt idx="1204">
                  <c:v>0.36</c:v>
                </c:pt>
                <c:pt idx="1205">
                  <c:v>0.36</c:v>
                </c:pt>
                <c:pt idx="1206">
                  <c:v>0.36</c:v>
                </c:pt>
                <c:pt idx="1207">
                  <c:v>0.72</c:v>
                </c:pt>
                <c:pt idx="1208">
                  <c:v>0.36</c:v>
                </c:pt>
                <c:pt idx="1209">
                  <c:v>0.39</c:v>
                </c:pt>
                <c:pt idx="1210">
                  <c:v>0.65</c:v>
                </c:pt>
                <c:pt idx="1211">
                  <c:v>0.44</c:v>
                </c:pt>
                <c:pt idx="1212">
                  <c:v>0.65</c:v>
                </c:pt>
                <c:pt idx="1213">
                  <c:v>0.38</c:v>
                </c:pt>
                <c:pt idx="1214">
                  <c:v>0.33</c:v>
                </c:pt>
                <c:pt idx="1215">
                  <c:v>0.27</c:v>
                </c:pt>
                <c:pt idx="1216">
                  <c:v>0.56999999999999995</c:v>
                </c:pt>
                <c:pt idx="1217">
                  <c:v>0.34</c:v>
                </c:pt>
                <c:pt idx="1218">
                  <c:v>0.4</c:v>
                </c:pt>
                <c:pt idx="1219">
                  <c:v>0.39</c:v>
                </c:pt>
                <c:pt idx="1220">
                  <c:v>0.32</c:v>
                </c:pt>
                <c:pt idx="1221">
                  <c:v>0.32</c:v>
                </c:pt>
                <c:pt idx="1222">
                  <c:v>0.53</c:v>
                </c:pt>
                <c:pt idx="1223">
                  <c:v>0.36</c:v>
                </c:pt>
                <c:pt idx="1224">
                  <c:v>0.39</c:v>
                </c:pt>
                <c:pt idx="1225">
                  <c:v>0.46</c:v>
                </c:pt>
                <c:pt idx="1226">
                  <c:v>0.57999999999999996</c:v>
                </c:pt>
                <c:pt idx="1227">
                  <c:v>0.57999999999999996</c:v>
                </c:pt>
                <c:pt idx="1228">
                  <c:v>0.42</c:v>
                </c:pt>
                <c:pt idx="1229">
                  <c:v>0.43</c:v>
                </c:pt>
                <c:pt idx="1230">
                  <c:v>0.18</c:v>
                </c:pt>
                <c:pt idx="1231">
                  <c:v>0.81499999999999995</c:v>
                </c:pt>
                <c:pt idx="1232">
                  <c:v>0.43</c:v>
                </c:pt>
                <c:pt idx="1233">
                  <c:v>0.23</c:v>
                </c:pt>
                <c:pt idx="1234">
                  <c:v>0.75</c:v>
                </c:pt>
                <c:pt idx="1235">
                  <c:v>0.33</c:v>
                </c:pt>
                <c:pt idx="1236">
                  <c:v>0.55000000000000004</c:v>
                </c:pt>
                <c:pt idx="1237">
                  <c:v>0.75</c:v>
                </c:pt>
                <c:pt idx="1238">
                  <c:v>0.73</c:v>
                </c:pt>
                <c:pt idx="1239">
                  <c:v>0.67</c:v>
                </c:pt>
                <c:pt idx="1240">
                  <c:v>0.61</c:v>
                </c:pt>
                <c:pt idx="1241">
                  <c:v>0.37</c:v>
                </c:pt>
                <c:pt idx="1242">
                  <c:v>0.4</c:v>
                </c:pt>
                <c:pt idx="1243">
                  <c:v>0.56000000000000005</c:v>
                </c:pt>
                <c:pt idx="1244">
                  <c:v>0.28999999999999998</c:v>
                </c:pt>
                <c:pt idx="1245">
                  <c:v>0.55000000000000004</c:v>
                </c:pt>
                <c:pt idx="1246">
                  <c:v>0.74</c:v>
                </c:pt>
                <c:pt idx="1247">
                  <c:v>0.55000000000000004</c:v>
                </c:pt>
                <c:pt idx="1248">
                  <c:v>0.41</c:v>
                </c:pt>
                <c:pt idx="1249">
                  <c:v>0.6</c:v>
                </c:pt>
                <c:pt idx="1250">
                  <c:v>0.6</c:v>
                </c:pt>
                <c:pt idx="1251">
                  <c:v>0.57999999999999996</c:v>
                </c:pt>
                <c:pt idx="1252">
                  <c:v>0.72</c:v>
                </c:pt>
                <c:pt idx="1253">
                  <c:v>0.66</c:v>
                </c:pt>
                <c:pt idx="1254">
                  <c:v>0.7</c:v>
                </c:pt>
                <c:pt idx="1255">
                  <c:v>0.64</c:v>
                </c:pt>
                <c:pt idx="1256">
                  <c:v>0.59</c:v>
                </c:pt>
                <c:pt idx="1257">
                  <c:v>0.57999999999999996</c:v>
                </c:pt>
                <c:pt idx="1258">
                  <c:v>0.64</c:v>
                </c:pt>
                <c:pt idx="1259">
                  <c:v>0.64</c:v>
                </c:pt>
                <c:pt idx="1260">
                  <c:v>0.63500000000000001</c:v>
                </c:pt>
                <c:pt idx="1261">
                  <c:v>1.02</c:v>
                </c:pt>
                <c:pt idx="1262">
                  <c:v>0.45</c:v>
                </c:pt>
                <c:pt idx="1263">
                  <c:v>0.78</c:v>
                </c:pt>
                <c:pt idx="1264">
                  <c:v>0.37</c:v>
                </c:pt>
                <c:pt idx="1265">
                  <c:v>0.56999999999999995</c:v>
                </c:pt>
                <c:pt idx="1266">
                  <c:v>0.56999999999999995</c:v>
                </c:pt>
                <c:pt idx="1267">
                  <c:v>0.43</c:v>
                </c:pt>
                <c:pt idx="1268">
                  <c:v>0.41</c:v>
                </c:pt>
                <c:pt idx="1269">
                  <c:v>0.49</c:v>
                </c:pt>
                <c:pt idx="1270">
                  <c:v>0.38</c:v>
                </c:pt>
                <c:pt idx="1271">
                  <c:v>0.44</c:v>
                </c:pt>
                <c:pt idx="1272">
                  <c:v>0.46</c:v>
                </c:pt>
                <c:pt idx="1273">
                  <c:v>0.57999999999999996</c:v>
                </c:pt>
                <c:pt idx="1274">
                  <c:v>0.57999999999999996</c:v>
                </c:pt>
                <c:pt idx="1275">
                  <c:v>0.71499999999999997</c:v>
                </c:pt>
                <c:pt idx="1276">
                  <c:v>0.4</c:v>
                </c:pt>
                <c:pt idx="1277">
                  <c:v>0.69</c:v>
                </c:pt>
                <c:pt idx="1278">
                  <c:v>0.71499999999999997</c:v>
                </c:pt>
                <c:pt idx="1279">
                  <c:v>0.3</c:v>
                </c:pt>
                <c:pt idx="1280">
                  <c:v>0.46</c:v>
                </c:pt>
                <c:pt idx="1281">
                  <c:v>0.46</c:v>
                </c:pt>
                <c:pt idx="1282">
                  <c:v>0.76500000000000001</c:v>
                </c:pt>
                <c:pt idx="1283">
                  <c:v>0.63</c:v>
                </c:pt>
                <c:pt idx="1284">
                  <c:v>0.42</c:v>
                </c:pt>
                <c:pt idx="1285">
                  <c:v>0.37</c:v>
                </c:pt>
                <c:pt idx="1286">
                  <c:v>0.16</c:v>
                </c:pt>
                <c:pt idx="1287">
                  <c:v>0.6</c:v>
                </c:pt>
                <c:pt idx="1288">
                  <c:v>0.6</c:v>
                </c:pt>
                <c:pt idx="1289">
                  <c:v>0.6</c:v>
                </c:pt>
                <c:pt idx="1290">
                  <c:v>0.74</c:v>
                </c:pt>
                <c:pt idx="1291">
                  <c:v>0.63500000000000001</c:v>
                </c:pt>
                <c:pt idx="1292">
                  <c:v>0.39500000000000002</c:v>
                </c:pt>
                <c:pt idx="1293">
                  <c:v>0.755</c:v>
                </c:pt>
                <c:pt idx="1294">
                  <c:v>0.63500000000000001</c:v>
                </c:pt>
                <c:pt idx="1295">
                  <c:v>0.63</c:v>
                </c:pt>
                <c:pt idx="1296">
                  <c:v>0.63</c:v>
                </c:pt>
                <c:pt idx="1297">
                  <c:v>0.53</c:v>
                </c:pt>
                <c:pt idx="1298">
                  <c:v>0.6</c:v>
                </c:pt>
                <c:pt idx="1299">
                  <c:v>1.58</c:v>
                </c:pt>
                <c:pt idx="1300">
                  <c:v>0.64500000000000002</c:v>
                </c:pt>
                <c:pt idx="1301">
                  <c:v>0.86</c:v>
                </c:pt>
                <c:pt idx="1302">
                  <c:v>0.37</c:v>
                </c:pt>
                <c:pt idx="1303">
                  <c:v>0.28000000000000003</c:v>
                </c:pt>
                <c:pt idx="1304">
                  <c:v>0.79</c:v>
                </c:pt>
                <c:pt idx="1305">
                  <c:v>0.61</c:v>
                </c:pt>
                <c:pt idx="1306">
                  <c:v>0.69</c:v>
                </c:pt>
                <c:pt idx="1307">
                  <c:v>0.68</c:v>
                </c:pt>
                <c:pt idx="1308">
                  <c:v>0.69</c:v>
                </c:pt>
                <c:pt idx="1309">
                  <c:v>0.62</c:v>
                </c:pt>
                <c:pt idx="1310">
                  <c:v>0.61</c:v>
                </c:pt>
                <c:pt idx="1311">
                  <c:v>0.51</c:v>
                </c:pt>
                <c:pt idx="1312">
                  <c:v>1.18</c:v>
                </c:pt>
                <c:pt idx="1313">
                  <c:v>0.36</c:v>
                </c:pt>
                <c:pt idx="1314">
                  <c:v>0.36</c:v>
                </c:pt>
                <c:pt idx="1315">
                  <c:v>0.63</c:v>
                </c:pt>
                <c:pt idx="1316">
                  <c:v>0.74</c:v>
                </c:pt>
                <c:pt idx="1317">
                  <c:v>0.44</c:v>
                </c:pt>
                <c:pt idx="1318">
                  <c:v>0.63</c:v>
                </c:pt>
                <c:pt idx="1319">
                  <c:v>0.76</c:v>
                </c:pt>
                <c:pt idx="1320">
                  <c:v>0.66</c:v>
                </c:pt>
                <c:pt idx="1321">
                  <c:v>0.74</c:v>
                </c:pt>
                <c:pt idx="1322">
                  <c:v>0.34</c:v>
                </c:pt>
                <c:pt idx="1323">
                  <c:v>0.36</c:v>
                </c:pt>
                <c:pt idx="1324">
                  <c:v>0.46</c:v>
                </c:pt>
                <c:pt idx="1325">
                  <c:v>0.46</c:v>
                </c:pt>
                <c:pt idx="1326">
                  <c:v>0.46</c:v>
                </c:pt>
                <c:pt idx="1327">
                  <c:v>0.46</c:v>
                </c:pt>
                <c:pt idx="1328">
                  <c:v>0.52</c:v>
                </c:pt>
                <c:pt idx="1329">
                  <c:v>0.6</c:v>
                </c:pt>
                <c:pt idx="1330">
                  <c:v>0.6</c:v>
                </c:pt>
                <c:pt idx="1331">
                  <c:v>0.87</c:v>
                </c:pt>
                <c:pt idx="1332">
                  <c:v>0.39</c:v>
                </c:pt>
                <c:pt idx="1333">
                  <c:v>0.77500000000000002</c:v>
                </c:pt>
                <c:pt idx="1334">
                  <c:v>0.83499999999999996</c:v>
                </c:pt>
                <c:pt idx="1335">
                  <c:v>0.57999999999999996</c:v>
                </c:pt>
                <c:pt idx="1336">
                  <c:v>0.5</c:v>
                </c:pt>
                <c:pt idx="1337">
                  <c:v>0.5</c:v>
                </c:pt>
                <c:pt idx="1338">
                  <c:v>0.5</c:v>
                </c:pt>
                <c:pt idx="1339">
                  <c:v>0.51</c:v>
                </c:pt>
                <c:pt idx="1340">
                  <c:v>0.51</c:v>
                </c:pt>
                <c:pt idx="1341">
                  <c:v>0.51</c:v>
                </c:pt>
                <c:pt idx="1342">
                  <c:v>0.54</c:v>
                </c:pt>
                <c:pt idx="1343">
                  <c:v>0.51</c:v>
                </c:pt>
                <c:pt idx="1344">
                  <c:v>0.42</c:v>
                </c:pt>
                <c:pt idx="1345">
                  <c:v>0.44</c:v>
                </c:pt>
                <c:pt idx="1346">
                  <c:v>0.59</c:v>
                </c:pt>
                <c:pt idx="1347">
                  <c:v>0.65500000000000003</c:v>
                </c:pt>
                <c:pt idx="1348">
                  <c:v>0.65500000000000003</c:v>
                </c:pt>
                <c:pt idx="1349">
                  <c:v>0.56999999999999995</c:v>
                </c:pt>
                <c:pt idx="1350">
                  <c:v>0.6</c:v>
                </c:pt>
                <c:pt idx="1351">
                  <c:v>0.62</c:v>
                </c:pt>
                <c:pt idx="1352">
                  <c:v>0.64500000000000002</c:v>
                </c:pt>
                <c:pt idx="1353">
                  <c:v>0.64500000000000002</c:v>
                </c:pt>
                <c:pt idx="1354">
                  <c:v>0.57999999999999996</c:v>
                </c:pt>
                <c:pt idx="1355">
                  <c:v>0.32</c:v>
                </c:pt>
                <c:pt idx="1356">
                  <c:v>0.34</c:v>
                </c:pt>
                <c:pt idx="1357">
                  <c:v>0.43</c:v>
                </c:pt>
                <c:pt idx="1358">
                  <c:v>0.64</c:v>
                </c:pt>
                <c:pt idx="1359">
                  <c:v>0.47499999999999998</c:v>
                </c:pt>
                <c:pt idx="1360">
                  <c:v>0.54</c:v>
                </c:pt>
                <c:pt idx="1361">
                  <c:v>0.85</c:v>
                </c:pt>
                <c:pt idx="1362">
                  <c:v>0.47499999999999998</c:v>
                </c:pt>
                <c:pt idx="1363">
                  <c:v>0.83</c:v>
                </c:pt>
                <c:pt idx="1364">
                  <c:v>0.60499999999999998</c:v>
                </c:pt>
                <c:pt idx="1365">
                  <c:v>0.5</c:v>
                </c:pt>
                <c:pt idx="1366">
                  <c:v>0.74</c:v>
                </c:pt>
                <c:pt idx="1367">
                  <c:v>0.54</c:v>
                </c:pt>
                <c:pt idx="1368">
                  <c:v>0.77</c:v>
                </c:pt>
                <c:pt idx="1369">
                  <c:v>0.61</c:v>
                </c:pt>
                <c:pt idx="1370">
                  <c:v>0.78</c:v>
                </c:pt>
                <c:pt idx="1371">
                  <c:v>0.57999999999999996</c:v>
                </c:pt>
                <c:pt idx="1372">
                  <c:v>0.78</c:v>
                </c:pt>
                <c:pt idx="1373">
                  <c:v>0.75</c:v>
                </c:pt>
                <c:pt idx="1374">
                  <c:v>0.81499999999999995</c:v>
                </c:pt>
                <c:pt idx="1375">
                  <c:v>0.56000000000000005</c:v>
                </c:pt>
                <c:pt idx="1376">
                  <c:v>0.88500000000000001</c:v>
                </c:pt>
                <c:pt idx="1377">
                  <c:v>0.49</c:v>
                </c:pt>
                <c:pt idx="1378">
                  <c:v>0.45</c:v>
                </c:pt>
                <c:pt idx="1379">
                  <c:v>0.56999999999999995</c:v>
                </c:pt>
                <c:pt idx="1380">
                  <c:v>0.56999999999999995</c:v>
                </c:pt>
                <c:pt idx="1381">
                  <c:v>0.83</c:v>
                </c:pt>
                <c:pt idx="1382">
                  <c:v>0.6</c:v>
                </c:pt>
                <c:pt idx="1383">
                  <c:v>0.6</c:v>
                </c:pt>
                <c:pt idx="1384">
                  <c:v>0.755</c:v>
                </c:pt>
                <c:pt idx="1385">
                  <c:v>0.81</c:v>
                </c:pt>
                <c:pt idx="1386">
                  <c:v>0.64</c:v>
                </c:pt>
                <c:pt idx="1387">
                  <c:v>0.64</c:v>
                </c:pt>
                <c:pt idx="1388">
                  <c:v>0.64</c:v>
                </c:pt>
                <c:pt idx="1389">
                  <c:v>0.48</c:v>
                </c:pt>
                <c:pt idx="1390">
                  <c:v>0.49</c:v>
                </c:pt>
                <c:pt idx="1391">
                  <c:v>0.64</c:v>
                </c:pt>
                <c:pt idx="1392">
                  <c:v>0.62</c:v>
                </c:pt>
                <c:pt idx="1393">
                  <c:v>0.52</c:v>
                </c:pt>
                <c:pt idx="1394">
                  <c:v>0.56999999999999995</c:v>
                </c:pt>
                <c:pt idx="1395">
                  <c:v>0.68500000000000005</c:v>
                </c:pt>
                <c:pt idx="1396">
                  <c:v>0.67500000000000004</c:v>
                </c:pt>
                <c:pt idx="1397">
                  <c:v>0.59</c:v>
                </c:pt>
                <c:pt idx="1398">
                  <c:v>0.6</c:v>
                </c:pt>
                <c:pt idx="1399">
                  <c:v>0.67</c:v>
                </c:pt>
                <c:pt idx="1400">
                  <c:v>0.69</c:v>
                </c:pt>
                <c:pt idx="1401">
                  <c:v>0.69</c:v>
                </c:pt>
                <c:pt idx="1402">
                  <c:v>0.3</c:v>
                </c:pt>
                <c:pt idx="1403">
                  <c:v>0.33</c:v>
                </c:pt>
                <c:pt idx="1404">
                  <c:v>0.5</c:v>
                </c:pt>
                <c:pt idx="1405">
                  <c:v>0.28000000000000003</c:v>
                </c:pt>
                <c:pt idx="1406">
                  <c:v>0.24</c:v>
                </c:pt>
                <c:pt idx="1407">
                  <c:v>0.51</c:v>
                </c:pt>
                <c:pt idx="1408">
                  <c:v>0.28999999999999998</c:v>
                </c:pt>
                <c:pt idx="1409">
                  <c:v>0.51</c:v>
                </c:pt>
                <c:pt idx="1410">
                  <c:v>0.96</c:v>
                </c:pt>
                <c:pt idx="1411">
                  <c:v>0.47</c:v>
                </c:pt>
                <c:pt idx="1412">
                  <c:v>0.24</c:v>
                </c:pt>
                <c:pt idx="1413">
                  <c:v>0.56999999999999995</c:v>
                </c:pt>
                <c:pt idx="1414">
                  <c:v>0.32</c:v>
                </c:pt>
                <c:pt idx="1415">
                  <c:v>0.57999999999999996</c:v>
                </c:pt>
                <c:pt idx="1416">
                  <c:v>0.32</c:v>
                </c:pt>
                <c:pt idx="1417">
                  <c:v>0.34</c:v>
                </c:pt>
                <c:pt idx="1418">
                  <c:v>0.53</c:v>
                </c:pt>
                <c:pt idx="1419">
                  <c:v>0.64</c:v>
                </c:pt>
                <c:pt idx="1420">
                  <c:v>0.53</c:v>
                </c:pt>
                <c:pt idx="1421">
                  <c:v>0.4</c:v>
                </c:pt>
                <c:pt idx="1422">
                  <c:v>0.54</c:v>
                </c:pt>
                <c:pt idx="1423">
                  <c:v>0.53</c:v>
                </c:pt>
                <c:pt idx="1424">
                  <c:v>0.26</c:v>
                </c:pt>
                <c:pt idx="1425">
                  <c:v>0.26</c:v>
                </c:pt>
                <c:pt idx="1426">
                  <c:v>0.23</c:v>
                </c:pt>
                <c:pt idx="1427">
                  <c:v>0.41</c:v>
                </c:pt>
                <c:pt idx="1428">
                  <c:v>0.64</c:v>
                </c:pt>
                <c:pt idx="1429">
                  <c:v>0.18</c:v>
                </c:pt>
                <c:pt idx="1430">
                  <c:v>0.41</c:v>
                </c:pt>
                <c:pt idx="1431">
                  <c:v>0.43</c:v>
                </c:pt>
                <c:pt idx="1432">
                  <c:v>0.44</c:v>
                </c:pt>
                <c:pt idx="1433">
                  <c:v>0.4</c:v>
                </c:pt>
                <c:pt idx="1434">
                  <c:v>0.54</c:v>
                </c:pt>
                <c:pt idx="1435">
                  <c:v>0.54</c:v>
                </c:pt>
                <c:pt idx="1436">
                  <c:v>0.38</c:v>
                </c:pt>
                <c:pt idx="1437">
                  <c:v>0.91500000000000004</c:v>
                </c:pt>
                <c:pt idx="1438">
                  <c:v>0.59</c:v>
                </c:pt>
                <c:pt idx="1439">
                  <c:v>0.67</c:v>
                </c:pt>
                <c:pt idx="1440">
                  <c:v>0.37</c:v>
                </c:pt>
                <c:pt idx="1441">
                  <c:v>0.78500000000000003</c:v>
                </c:pt>
                <c:pt idx="1442">
                  <c:v>0.63</c:v>
                </c:pt>
                <c:pt idx="1443">
                  <c:v>0.57999999999999996</c:v>
                </c:pt>
                <c:pt idx="1444">
                  <c:v>0.67</c:v>
                </c:pt>
                <c:pt idx="1445">
                  <c:v>0.78500000000000003</c:v>
                </c:pt>
                <c:pt idx="1446">
                  <c:v>0.63</c:v>
                </c:pt>
                <c:pt idx="1447">
                  <c:v>0.67</c:v>
                </c:pt>
                <c:pt idx="1448">
                  <c:v>0.57999999999999996</c:v>
                </c:pt>
                <c:pt idx="1449">
                  <c:v>0.38</c:v>
                </c:pt>
                <c:pt idx="1450">
                  <c:v>0.37</c:v>
                </c:pt>
                <c:pt idx="1451">
                  <c:v>0.32</c:v>
                </c:pt>
                <c:pt idx="1452">
                  <c:v>0.57999999999999996</c:v>
                </c:pt>
                <c:pt idx="1453">
                  <c:v>0.49</c:v>
                </c:pt>
                <c:pt idx="1454">
                  <c:v>0.45</c:v>
                </c:pt>
                <c:pt idx="1455">
                  <c:v>0.9</c:v>
                </c:pt>
                <c:pt idx="1456">
                  <c:v>0.54</c:v>
                </c:pt>
                <c:pt idx="1457">
                  <c:v>0.49</c:v>
                </c:pt>
                <c:pt idx="1458">
                  <c:v>0.28999999999999998</c:v>
                </c:pt>
                <c:pt idx="1459">
                  <c:v>0.2</c:v>
                </c:pt>
                <c:pt idx="1460">
                  <c:v>0.42</c:v>
                </c:pt>
                <c:pt idx="1461">
                  <c:v>0.78500000000000003</c:v>
                </c:pt>
                <c:pt idx="1462">
                  <c:v>0.64</c:v>
                </c:pt>
                <c:pt idx="1463">
                  <c:v>0.63</c:v>
                </c:pt>
                <c:pt idx="1464">
                  <c:v>0.59</c:v>
                </c:pt>
                <c:pt idx="1465">
                  <c:v>0.59</c:v>
                </c:pt>
                <c:pt idx="1466">
                  <c:v>0.48</c:v>
                </c:pt>
                <c:pt idx="1467">
                  <c:v>1.04</c:v>
                </c:pt>
                <c:pt idx="1468">
                  <c:v>0.48</c:v>
                </c:pt>
                <c:pt idx="1469">
                  <c:v>0.98</c:v>
                </c:pt>
                <c:pt idx="1470">
                  <c:v>0.69</c:v>
                </c:pt>
                <c:pt idx="1471">
                  <c:v>0.7</c:v>
                </c:pt>
                <c:pt idx="1472">
                  <c:v>0.35</c:v>
                </c:pt>
                <c:pt idx="1473">
                  <c:v>0.6</c:v>
                </c:pt>
                <c:pt idx="1474">
                  <c:v>0.5</c:v>
                </c:pt>
                <c:pt idx="1475">
                  <c:v>0.47</c:v>
                </c:pt>
                <c:pt idx="1476">
                  <c:v>0.5</c:v>
                </c:pt>
                <c:pt idx="1477">
                  <c:v>0.47</c:v>
                </c:pt>
                <c:pt idx="1478">
                  <c:v>0.875</c:v>
                </c:pt>
                <c:pt idx="1479">
                  <c:v>0.28000000000000003</c:v>
                </c:pt>
                <c:pt idx="1480">
                  <c:v>0.62</c:v>
                </c:pt>
                <c:pt idx="1481">
                  <c:v>0.28000000000000003</c:v>
                </c:pt>
                <c:pt idx="1482">
                  <c:v>0.57999999999999996</c:v>
                </c:pt>
                <c:pt idx="1483">
                  <c:v>0.33</c:v>
                </c:pt>
                <c:pt idx="1484">
                  <c:v>0.91</c:v>
                </c:pt>
                <c:pt idx="1485">
                  <c:v>0.65500000000000003</c:v>
                </c:pt>
                <c:pt idx="1486">
                  <c:v>0.68</c:v>
                </c:pt>
                <c:pt idx="1487">
                  <c:v>0.64</c:v>
                </c:pt>
                <c:pt idx="1488">
                  <c:v>0.54</c:v>
                </c:pt>
                <c:pt idx="1489">
                  <c:v>0.56999999999999995</c:v>
                </c:pt>
                <c:pt idx="1490">
                  <c:v>0.22</c:v>
                </c:pt>
                <c:pt idx="1491">
                  <c:v>0.54</c:v>
                </c:pt>
                <c:pt idx="1492">
                  <c:v>0.65</c:v>
                </c:pt>
                <c:pt idx="1493">
                  <c:v>0.54</c:v>
                </c:pt>
                <c:pt idx="1494">
                  <c:v>0.31</c:v>
                </c:pt>
                <c:pt idx="1495">
                  <c:v>0.43</c:v>
                </c:pt>
                <c:pt idx="1496">
                  <c:v>0.54</c:v>
                </c:pt>
                <c:pt idx="1497">
                  <c:v>0.74</c:v>
                </c:pt>
                <c:pt idx="1498">
                  <c:v>0.89500000000000002</c:v>
                </c:pt>
                <c:pt idx="1499">
                  <c:v>0.74</c:v>
                </c:pt>
                <c:pt idx="1500">
                  <c:v>0.72499999999999998</c:v>
                </c:pt>
                <c:pt idx="1501">
                  <c:v>0.82</c:v>
                </c:pt>
                <c:pt idx="1502">
                  <c:v>0.58499999999999996</c:v>
                </c:pt>
                <c:pt idx="1503">
                  <c:v>0.44</c:v>
                </c:pt>
                <c:pt idx="1504">
                  <c:v>0.38</c:v>
                </c:pt>
                <c:pt idx="1505">
                  <c:v>0.76</c:v>
                </c:pt>
                <c:pt idx="1506">
                  <c:v>0.81</c:v>
                </c:pt>
                <c:pt idx="1507">
                  <c:v>0.38</c:v>
                </c:pt>
                <c:pt idx="1508">
                  <c:v>0.27</c:v>
                </c:pt>
                <c:pt idx="1509">
                  <c:v>0.18</c:v>
                </c:pt>
                <c:pt idx="1510">
                  <c:v>0.36</c:v>
                </c:pt>
                <c:pt idx="1511">
                  <c:v>0.69</c:v>
                </c:pt>
                <c:pt idx="1512">
                  <c:v>0.79</c:v>
                </c:pt>
                <c:pt idx="1513">
                  <c:v>0.56000000000000005</c:v>
                </c:pt>
                <c:pt idx="1514">
                  <c:v>0.84</c:v>
                </c:pt>
                <c:pt idx="1515">
                  <c:v>0.84</c:v>
                </c:pt>
                <c:pt idx="1516">
                  <c:v>0.32</c:v>
                </c:pt>
                <c:pt idx="1517">
                  <c:v>0.53</c:v>
                </c:pt>
                <c:pt idx="1518">
                  <c:v>0.47</c:v>
                </c:pt>
                <c:pt idx="1519">
                  <c:v>0.7</c:v>
                </c:pt>
                <c:pt idx="1520">
                  <c:v>0.53</c:v>
                </c:pt>
                <c:pt idx="1521">
                  <c:v>0.48</c:v>
                </c:pt>
                <c:pt idx="1522">
                  <c:v>0.32</c:v>
                </c:pt>
                <c:pt idx="1523">
                  <c:v>0.48</c:v>
                </c:pt>
                <c:pt idx="1524">
                  <c:v>0.42</c:v>
                </c:pt>
                <c:pt idx="1525">
                  <c:v>0.48</c:v>
                </c:pt>
                <c:pt idx="1526">
                  <c:v>0.47</c:v>
                </c:pt>
                <c:pt idx="1527">
                  <c:v>0.53</c:v>
                </c:pt>
                <c:pt idx="1528">
                  <c:v>0.28999999999999998</c:v>
                </c:pt>
                <c:pt idx="1529">
                  <c:v>0.69</c:v>
                </c:pt>
                <c:pt idx="1530">
                  <c:v>0.44</c:v>
                </c:pt>
                <c:pt idx="1531">
                  <c:v>0.70499999999999996</c:v>
                </c:pt>
                <c:pt idx="1532">
                  <c:v>0.53</c:v>
                </c:pt>
                <c:pt idx="1533">
                  <c:v>0.39</c:v>
                </c:pt>
                <c:pt idx="1534">
                  <c:v>0.56000000000000005</c:v>
                </c:pt>
                <c:pt idx="1535">
                  <c:v>0.55000000000000004</c:v>
                </c:pt>
                <c:pt idx="1536">
                  <c:v>0.53</c:v>
                </c:pt>
                <c:pt idx="1537">
                  <c:v>0.57999999999999996</c:v>
                </c:pt>
                <c:pt idx="1538">
                  <c:v>0.64</c:v>
                </c:pt>
                <c:pt idx="1539">
                  <c:v>0.39</c:v>
                </c:pt>
                <c:pt idx="1540">
                  <c:v>0.52</c:v>
                </c:pt>
                <c:pt idx="1541">
                  <c:v>0.25</c:v>
                </c:pt>
                <c:pt idx="1542">
                  <c:v>0.85499999999999998</c:v>
                </c:pt>
                <c:pt idx="1543">
                  <c:v>0.44</c:v>
                </c:pt>
                <c:pt idx="1544">
                  <c:v>0.37</c:v>
                </c:pt>
                <c:pt idx="1545">
                  <c:v>0.63</c:v>
                </c:pt>
                <c:pt idx="1546">
                  <c:v>0.56999999999999995</c:v>
                </c:pt>
                <c:pt idx="1547">
                  <c:v>0.6</c:v>
                </c:pt>
                <c:pt idx="1548">
                  <c:v>0.4</c:v>
                </c:pt>
                <c:pt idx="1549">
                  <c:v>0.36</c:v>
                </c:pt>
                <c:pt idx="1550">
                  <c:v>0.68</c:v>
                </c:pt>
                <c:pt idx="1551">
                  <c:v>0.67</c:v>
                </c:pt>
                <c:pt idx="1552">
                  <c:v>0.68</c:v>
                </c:pt>
                <c:pt idx="1553">
                  <c:v>0.73499999999999999</c:v>
                </c:pt>
                <c:pt idx="1554">
                  <c:v>0.85499999999999998</c:v>
                </c:pt>
                <c:pt idx="1555">
                  <c:v>0.56000000000000005</c:v>
                </c:pt>
                <c:pt idx="1556">
                  <c:v>0.88</c:v>
                </c:pt>
                <c:pt idx="1557">
                  <c:v>0.85499999999999998</c:v>
                </c:pt>
                <c:pt idx="1558">
                  <c:v>0.63</c:v>
                </c:pt>
                <c:pt idx="1559">
                  <c:v>0.6</c:v>
                </c:pt>
                <c:pt idx="1560">
                  <c:v>0.6</c:v>
                </c:pt>
                <c:pt idx="1561">
                  <c:v>0.6</c:v>
                </c:pt>
                <c:pt idx="1562">
                  <c:v>0.69499999999999995</c:v>
                </c:pt>
                <c:pt idx="1563">
                  <c:v>0.69499999999999995</c:v>
                </c:pt>
                <c:pt idx="1564">
                  <c:v>0.69499999999999995</c:v>
                </c:pt>
                <c:pt idx="1565">
                  <c:v>0.67</c:v>
                </c:pt>
                <c:pt idx="1566">
                  <c:v>0.16</c:v>
                </c:pt>
                <c:pt idx="1567">
                  <c:v>0.69499999999999995</c:v>
                </c:pt>
                <c:pt idx="1568">
                  <c:v>0.56000000000000005</c:v>
                </c:pt>
                <c:pt idx="1569">
                  <c:v>0.51</c:v>
                </c:pt>
                <c:pt idx="1570">
                  <c:v>0.36</c:v>
                </c:pt>
                <c:pt idx="1571">
                  <c:v>0.38</c:v>
                </c:pt>
                <c:pt idx="1572">
                  <c:v>0.69</c:v>
                </c:pt>
                <c:pt idx="1573">
                  <c:v>0.57999999999999996</c:v>
                </c:pt>
                <c:pt idx="1574">
                  <c:v>0.31</c:v>
                </c:pt>
                <c:pt idx="1575">
                  <c:v>0.52</c:v>
                </c:pt>
                <c:pt idx="1576">
                  <c:v>0.3</c:v>
                </c:pt>
                <c:pt idx="1577">
                  <c:v>0.7</c:v>
                </c:pt>
                <c:pt idx="1578">
                  <c:v>0.67</c:v>
                </c:pt>
                <c:pt idx="1579">
                  <c:v>0.56000000000000005</c:v>
                </c:pt>
                <c:pt idx="1580">
                  <c:v>0.35</c:v>
                </c:pt>
                <c:pt idx="1581">
                  <c:v>0.56000000000000005</c:v>
                </c:pt>
                <c:pt idx="1582">
                  <c:v>0.71499999999999997</c:v>
                </c:pt>
                <c:pt idx="1583">
                  <c:v>0.46</c:v>
                </c:pt>
                <c:pt idx="1584">
                  <c:v>0.32</c:v>
                </c:pt>
                <c:pt idx="1585">
                  <c:v>0.39</c:v>
                </c:pt>
                <c:pt idx="1586">
                  <c:v>0.31</c:v>
                </c:pt>
                <c:pt idx="1587">
                  <c:v>0.61</c:v>
                </c:pt>
                <c:pt idx="1588">
                  <c:v>0.66</c:v>
                </c:pt>
                <c:pt idx="1589">
                  <c:v>0.72499999999999998</c:v>
                </c:pt>
                <c:pt idx="1590">
                  <c:v>0.55000000000000004</c:v>
                </c:pt>
                <c:pt idx="1591">
                  <c:v>0.74</c:v>
                </c:pt>
                <c:pt idx="1592">
                  <c:v>0.51</c:v>
                </c:pt>
                <c:pt idx="1593">
                  <c:v>0.62</c:v>
                </c:pt>
                <c:pt idx="1594">
                  <c:v>0.6</c:v>
                </c:pt>
                <c:pt idx="1595">
                  <c:v>0.55000000000000004</c:v>
                </c:pt>
                <c:pt idx="1596">
                  <c:v>0.51</c:v>
                </c:pt>
                <c:pt idx="1597">
                  <c:v>0.64500000000000002</c:v>
                </c:pt>
                <c:pt idx="1598">
                  <c:v>0.31</c:v>
                </c:pt>
              </c:numCache>
            </c:numRef>
          </c:xVal>
          <c:yVal>
            <c:numRef>
              <c:f>'winequality-red(in) (1)'!$M$2:$M$1600</c:f>
              <c:numCache>
                <c:formatCode>General</c:formatCode>
                <c:ptCount val="1599"/>
                <c:pt idx="0">
                  <c:v>5</c:v>
                </c:pt>
                <c:pt idx="1">
                  <c:v>5</c:v>
                </c:pt>
                <c:pt idx="2">
                  <c:v>5</c:v>
                </c:pt>
                <c:pt idx="3">
                  <c:v>6</c:v>
                </c:pt>
                <c:pt idx="4">
                  <c:v>5</c:v>
                </c:pt>
                <c:pt idx="5">
                  <c:v>5</c:v>
                </c:pt>
                <c:pt idx="6">
                  <c:v>5</c:v>
                </c:pt>
                <c:pt idx="7">
                  <c:v>7</c:v>
                </c:pt>
                <c:pt idx="8">
                  <c:v>7</c:v>
                </c:pt>
                <c:pt idx="9">
                  <c:v>5</c:v>
                </c:pt>
                <c:pt idx="10">
                  <c:v>5</c:v>
                </c:pt>
                <c:pt idx="11">
                  <c:v>5</c:v>
                </c:pt>
                <c:pt idx="12">
                  <c:v>5</c:v>
                </c:pt>
                <c:pt idx="13">
                  <c:v>5</c:v>
                </c:pt>
                <c:pt idx="14">
                  <c:v>5</c:v>
                </c:pt>
                <c:pt idx="15">
                  <c:v>5</c:v>
                </c:pt>
                <c:pt idx="16">
                  <c:v>7</c:v>
                </c:pt>
                <c:pt idx="17">
                  <c:v>5</c:v>
                </c:pt>
                <c:pt idx="18">
                  <c:v>4</c:v>
                </c:pt>
                <c:pt idx="19">
                  <c:v>6</c:v>
                </c:pt>
                <c:pt idx="20">
                  <c:v>6</c:v>
                </c:pt>
                <c:pt idx="21">
                  <c:v>5</c:v>
                </c:pt>
                <c:pt idx="22">
                  <c:v>5</c:v>
                </c:pt>
                <c:pt idx="23">
                  <c:v>5</c:v>
                </c:pt>
                <c:pt idx="24">
                  <c:v>6</c:v>
                </c:pt>
                <c:pt idx="25">
                  <c:v>5</c:v>
                </c:pt>
                <c:pt idx="26">
                  <c:v>5</c:v>
                </c:pt>
                <c:pt idx="27">
                  <c:v>5</c:v>
                </c:pt>
                <c:pt idx="28">
                  <c:v>5</c:v>
                </c:pt>
                <c:pt idx="29">
                  <c:v>6</c:v>
                </c:pt>
                <c:pt idx="30">
                  <c:v>5</c:v>
                </c:pt>
                <c:pt idx="31">
                  <c:v>6</c:v>
                </c:pt>
                <c:pt idx="32">
                  <c:v>5</c:v>
                </c:pt>
                <c:pt idx="33">
                  <c:v>6</c:v>
                </c:pt>
                <c:pt idx="34">
                  <c:v>5</c:v>
                </c:pt>
                <c:pt idx="35">
                  <c:v>6</c:v>
                </c:pt>
                <c:pt idx="36">
                  <c:v>6</c:v>
                </c:pt>
                <c:pt idx="37">
                  <c:v>7</c:v>
                </c:pt>
                <c:pt idx="38">
                  <c:v>4</c:v>
                </c:pt>
                <c:pt idx="39">
                  <c:v>5</c:v>
                </c:pt>
                <c:pt idx="40">
                  <c:v>5</c:v>
                </c:pt>
                <c:pt idx="41">
                  <c:v>4</c:v>
                </c:pt>
                <c:pt idx="42">
                  <c:v>6</c:v>
                </c:pt>
                <c:pt idx="43">
                  <c:v>5</c:v>
                </c:pt>
                <c:pt idx="44">
                  <c:v>5</c:v>
                </c:pt>
                <c:pt idx="45">
                  <c:v>4</c:v>
                </c:pt>
                <c:pt idx="46">
                  <c:v>5</c:v>
                </c:pt>
                <c:pt idx="47">
                  <c:v>5</c:v>
                </c:pt>
                <c:pt idx="48">
                  <c:v>5</c:v>
                </c:pt>
                <c:pt idx="49">
                  <c:v>5</c:v>
                </c:pt>
                <c:pt idx="50">
                  <c:v>5</c:v>
                </c:pt>
                <c:pt idx="51">
                  <c:v>6</c:v>
                </c:pt>
                <c:pt idx="52">
                  <c:v>6</c:v>
                </c:pt>
                <c:pt idx="53">
                  <c:v>5</c:v>
                </c:pt>
                <c:pt idx="54">
                  <c:v>6</c:v>
                </c:pt>
                <c:pt idx="55">
                  <c:v>5</c:v>
                </c:pt>
                <c:pt idx="56">
                  <c:v>5</c:v>
                </c:pt>
                <c:pt idx="57">
                  <c:v>5</c:v>
                </c:pt>
                <c:pt idx="58">
                  <c:v>5</c:v>
                </c:pt>
                <c:pt idx="59">
                  <c:v>6</c:v>
                </c:pt>
                <c:pt idx="60">
                  <c:v>5</c:v>
                </c:pt>
                <c:pt idx="61">
                  <c:v>5</c:v>
                </c:pt>
                <c:pt idx="62">
                  <c:v>7</c:v>
                </c:pt>
                <c:pt idx="63">
                  <c:v>5</c:v>
                </c:pt>
                <c:pt idx="64">
                  <c:v>5</c:v>
                </c:pt>
                <c:pt idx="65">
                  <c:v>5</c:v>
                </c:pt>
                <c:pt idx="66">
                  <c:v>5</c:v>
                </c:pt>
                <c:pt idx="67">
                  <c:v>5</c:v>
                </c:pt>
                <c:pt idx="68">
                  <c:v>5</c:v>
                </c:pt>
                <c:pt idx="69">
                  <c:v>6</c:v>
                </c:pt>
                <c:pt idx="70">
                  <c:v>6</c:v>
                </c:pt>
                <c:pt idx="71">
                  <c:v>5</c:v>
                </c:pt>
                <c:pt idx="72">
                  <c:v>5</c:v>
                </c:pt>
                <c:pt idx="73">
                  <c:v>4</c:v>
                </c:pt>
                <c:pt idx="74">
                  <c:v>5</c:v>
                </c:pt>
                <c:pt idx="75">
                  <c:v>5</c:v>
                </c:pt>
                <c:pt idx="76">
                  <c:v>5</c:v>
                </c:pt>
                <c:pt idx="77">
                  <c:v>6</c:v>
                </c:pt>
                <c:pt idx="78">
                  <c:v>5</c:v>
                </c:pt>
                <c:pt idx="79">
                  <c:v>4</c:v>
                </c:pt>
                <c:pt idx="80">
                  <c:v>5</c:v>
                </c:pt>
                <c:pt idx="81">
                  <c:v>5</c:v>
                </c:pt>
                <c:pt idx="82">
                  <c:v>5</c:v>
                </c:pt>
                <c:pt idx="83">
                  <c:v>5</c:v>
                </c:pt>
                <c:pt idx="84">
                  <c:v>6</c:v>
                </c:pt>
                <c:pt idx="85">
                  <c:v>5</c:v>
                </c:pt>
                <c:pt idx="86">
                  <c:v>6</c:v>
                </c:pt>
                <c:pt idx="87">
                  <c:v>5</c:v>
                </c:pt>
                <c:pt idx="88">
                  <c:v>5</c:v>
                </c:pt>
                <c:pt idx="89">
                  <c:v>5</c:v>
                </c:pt>
                <c:pt idx="90">
                  <c:v>5</c:v>
                </c:pt>
                <c:pt idx="91">
                  <c:v>6</c:v>
                </c:pt>
                <c:pt idx="92">
                  <c:v>5</c:v>
                </c:pt>
                <c:pt idx="93">
                  <c:v>5</c:v>
                </c:pt>
                <c:pt idx="94">
                  <c:v>4</c:v>
                </c:pt>
                <c:pt idx="95">
                  <c:v>6</c:v>
                </c:pt>
                <c:pt idx="96">
                  <c:v>5</c:v>
                </c:pt>
                <c:pt idx="97">
                  <c:v>5</c:v>
                </c:pt>
                <c:pt idx="98">
                  <c:v>5</c:v>
                </c:pt>
                <c:pt idx="99">
                  <c:v>6</c:v>
                </c:pt>
                <c:pt idx="100">
                  <c:v>6</c:v>
                </c:pt>
                <c:pt idx="101">
                  <c:v>6</c:v>
                </c:pt>
                <c:pt idx="102">
                  <c:v>6</c:v>
                </c:pt>
                <c:pt idx="103">
                  <c:v>5</c:v>
                </c:pt>
                <c:pt idx="104">
                  <c:v>5</c:v>
                </c:pt>
                <c:pt idx="105">
                  <c:v>5</c:v>
                </c:pt>
                <c:pt idx="106">
                  <c:v>5</c:v>
                </c:pt>
                <c:pt idx="107">
                  <c:v>5</c:v>
                </c:pt>
                <c:pt idx="108">
                  <c:v>6</c:v>
                </c:pt>
                <c:pt idx="109">
                  <c:v>5</c:v>
                </c:pt>
                <c:pt idx="110">
                  <c:v>5</c:v>
                </c:pt>
                <c:pt idx="111">
                  <c:v>5</c:v>
                </c:pt>
                <c:pt idx="112">
                  <c:v>5</c:v>
                </c:pt>
                <c:pt idx="113">
                  <c:v>6</c:v>
                </c:pt>
                <c:pt idx="114">
                  <c:v>5</c:v>
                </c:pt>
                <c:pt idx="115">
                  <c:v>6</c:v>
                </c:pt>
                <c:pt idx="116">
                  <c:v>6</c:v>
                </c:pt>
                <c:pt idx="117">
                  <c:v>6</c:v>
                </c:pt>
                <c:pt idx="118">
                  <c:v>6</c:v>
                </c:pt>
                <c:pt idx="119">
                  <c:v>6</c:v>
                </c:pt>
                <c:pt idx="120">
                  <c:v>5</c:v>
                </c:pt>
                <c:pt idx="121">
                  <c:v>6</c:v>
                </c:pt>
                <c:pt idx="122">
                  <c:v>5</c:v>
                </c:pt>
                <c:pt idx="123">
                  <c:v>5</c:v>
                </c:pt>
                <c:pt idx="124">
                  <c:v>5</c:v>
                </c:pt>
                <c:pt idx="125">
                  <c:v>5</c:v>
                </c:pt>
                <c:pt idx="126">
                  <c:v>5</c:v>
                </c:pt>
                <c:pt idx="127">
                  <c:v>5</c:v>
                </c:pt>
                <c:pt idx="128">
                  <c:v>7</c:v>
                </c:pt>
                <c:pt idx="129">
                  <c:v>5</c:v>
                </c:pt>
                <c:pt idx="130">
                  <c:v>5</c:v>
                </c:pt>
                <c:pt idx="131">
                  <c:v>5</c:v>
                </c:pt>
                <c:pt idx="132">
                  <c:v>5</c:v>
                </c:pt>
                <c:pt idx="133">
                  <c:v>6</c:v>
                </c:pt>
                <c:pt idx="134">
                  <c:v>6</c:v>
                </c:pt>
                <c:pt idx="135">
                  <c:v>5</c:v>
                </c:pt>
                <c:pt idx="136">
                  <c:v>5</c:v>
                </c:pt>
                <c:pt idx="137">
                  <c:v>5</c:v>
                </c:pt>
                <c:pt idx="138">
                  <c:v>5</c:v>
                </c:pt>
                <c:pt idx="139">
                  <c:v>5</c:v>
                </c:pt>
                <c:pt idx="140">
                  <c:v>5</c:v>
                </c:pt>
                <c:pt idx="141">
                  <c:v>5</c:v>
                </c:pt>
                <c:pt idx="142">
                  <c:v>6</c:v>
                </c:pt>
                <c:pt idx="143">
                  <c:v>5</c:v>
                </c:pt>
                <c:pt idx="144">
                  <c:v>6</c:v>
                </c:pt>
                <c:pt idx="145">
                  <c:v>5</c:v>
                </c:pt>
                <c:pt idx="146">
                  <c:v>5</c:v>
                </c:pt>
                <c:pt idx="147">
                  <c:v>5</c:v>
                </c:pt>
                <c:pt idx="148">
                  <c:v>6</c:v>
                </c:pt>
                <c:pt idx="149">
                  <c:v>6</c:v>
                </c:pt>
                <c:pt idx="150">
                  <c:v>6</c:v>
                </c:pt>
                <c:pt idx="151">
                  <c:v>4</c:v>
                </c:pt>
                <c:pt idx="152">
                  <c:v>5</c:v>
                </c:pt>
                <c:pt idx="153">
                  <c:v>5</c:v>
                </c:pt>
                <c:pt idx="154">
                  <c:v>5</c:v>
                </c:pt>
                <c:pt idx="155">
                  <c:v>5</c:v>
                </c:pt>
                <c:pt idx="156">
                  <c:v>5</c:v>
                </c:pt>
                <c:pt idx="157">
                  <c:v>5</c:v>
                </c:pt>
                <c:pt idx="158">
                  <c:v>5</c:v>
                </c:pt>
                <c:pt idx="159">
                  <c:v>6</c:v>
                </c:pt>
                <c:pt idx="160">
                  <c:v>5</c:v>
                </c:pt>
                <c:pt idx="161">
                  <c:v>4</c:v>
                </c:pt>
                <c:pt idx="162">
                  <c:v>6</c:v>
                </c:pt>
                <c:pt idx="163">
                  <c:v>5</c:v>
                </c:pt>
                <c:pt idx="164">
                  <c:v>5</c:v>
                </c:pt>
                <c:pt idx="165">
                  <c:v>5</c:v>
                </c:pt>
                <c:pt idx="166">
                  <c:v>5</c:v>
                </c:pt>
                <c:pt idx="167">
                  <c:v>4</c:v>
                </c:pt>
                <c:pt idx="168">
                  <c:v>6</c:v>
                </c:pt>
                <c:pt idx="169">
                  <c:v>5</c:v>
                </c:pt>
                <c:pt idx="170">
                  <c:v>4</c:v>
                </c:pt>
                <c:pt idx="171">
                  <c:v>6</c:v>
                </c:pt>
                <c:pt idx="172">
                  <c:v>6</c:v>
                </c:pt>
                <c:pt idx="173">
                  <c:v>6</c:v>
                </c:pt>
                <c:pt idx="174">
                  <c:v>5</c:v>
                </c:pt>
                <c:pt idx="175">
                  <c:v>5</c:v>
                </c:pt>
                <c:pt idx="176">
                  <c:v>5</c:v>
                </c:pt>
                <c:pt idx="177">
                  <c:v>6</c:v>
                </c:pt>
                <c:pt idx="178">
                  <c:v>5</c:v>
                </c:pt>
                <c:pt idx="179">
                  <c:v>5</c:v>
                </c:pt>
                <c:pt idx="180">
                  <c:v>5</c:v>
                </c:pt>
                <c:pt idx="181">
                  <c:v>5</c:v>
                </c:pt>
                <c:pt idx="182">
                  <c:v>5</c:v>
                </c:pt>
                <c:pt idx="183">
                  <c:v>5</c:v>
                </c:pt>
                <c:pt idx="184">
                  <c:v>6</c:v>
                </c:pt>
                <c:pt idx="185">
                  <c:v>5</c:v>
                </c:pt>
                <c:pt idx="186">
                  <c:v>5</c:v>
                </c:pt>
                <c:pt idx="187">
                  <c:v>5</c:v>
                </c:pt>
                <c:pt idx="188">
                  <c:v>5</c:v>
                </c:pt>
                <c:pt idx="189">
                  <c:v>5</c:v>
                </c:pt>
                <c:pt idx="190">
                  <c:v>5</c:v>
                </c:pt>
                <c:pt idx="191">
                  <c:v>6</c:v>
                </c:pt>
                <c:pt idx="192">
                  <c:v>5</c:v>
                </c:pt>
                <c:pt idx="193">
                  <c:v>5</c:v>
                </c:pt>
                <c:pt idx="194">
                  <c:v>5</c:v>
                </c:pt>
                <c:pt idx="195">
                  <c:v>5</c:v>
                </c:pt>
                <c:pt idx="196">
                  <c:v>5</c:v>
                </c:pt>
                <c:pt idx="197">
                  <c:v>6</c:v>
                </c:pt>
                <c:pt idx="198">
                  <c:v>7</c:v>
                </c:pt>
                <c:pt idx="199">
                  <c:v>4</c:v>
                </c:pt>
                <c:pt idx="200">
                  <c:v>7</c:v>
                </c:pt>
                <c:pt idx="201">
                  <c:v>5</c:v>
                </c:pt>
                <c:pt idx="202">
                  <c:v>5</c:v>
                </c:pt>
                <c:pt idx="203">
                  <c:v>5</c:v>
                </c:pt>
                <c:pt idx="204">
                  <c:v>6</c:v>
                </c:pt>
                <c:pt idx="205">
                  <c:v>7</c:v>
                </c:pt>
                <c:pt idx="206">
                  <c:v>7</c:v>
                </c:pt>
                <c:pt idx="207">
                  <c:v>5</c:v>
                </c:pt>
                <c:pt idx="208">
                  <c:v>5</c:v>
                </c:pt>
                <c:pt idx="209">
                  <c:v>7</c:v>
                </c:pt>
                <c:pt idx="210">
                  <c:v>6</c:v>
                </c:pt>
                <c:pt idx="211">
                  <c:v>6</c:v>
                </c:pt>
                <c:pt idx="212">
                  <c:v>6</c:v>
                </c:pt>
                <c:pt idx="213">
                  <c:v>5</c:v>
                </c:pt>
                <c:pt idx="214">
                  <c:v>6</c:v>
                </c:pt>
                <c:pt idx="215">
                  <c:v>5</c:v>
                </c:pt>
                <c:pt idx="216">
                  <c:v>5</c:v>
                </c:pt>
                <c:pt idx="217">
                  <c:v>5</c:v>
                </c:pt>
                <c:pt idx="218">
                  <c:v>5</c:v>
                </c:pt>
                <c:pt idx="219">
                  <c:v>5</c:v>
                </c:pt>
                <c:pt idx="220">
                  <c:v>6</c:v>
                </c:pt>
                <c:pt idx="221">
                  <c:v>5</c:v>
                </c:pt>
                <c:pt idx="222">
                  <c:v>5</c:v>
                </c:pt>
                <c:pt idx="223">
                  <c:v>6</c:v>
                </c:pt>
                <c:pt idx="224">
                  <c:v>4</c:v>
                </c:pt>
                <c:pt idx="225">
                  <c:v>6</c:v>
                </c:pt>
                <c:pt idx="226">
                  <c:v>6</c:v>
                </c:pt>
                <c:pt idx="227">
                  <c:v>5</c:v>
                </c:pt>
                <c:pt idx="228">
                  <c:v>6</c:v>
                </c:pt>
                <c:pt idx="229">
                  <c:v>5</c:v>
                </c:pt>
                <c:pt idx="230">
                  <c:v>7</c:v>
                </c:pt>
                <c:pt idx="231">
                  <c:v>6</c:v>
                </c:pt>
                <c:pt idx="232">
                  <c:v>6</c:v>
                </c:pt>
                <c:pt idx="233">
                  <c:v>5</c:v>
                </c:pt>
                <c:pt idx="234">
                  <c:v>6</c:v>
                </c:pt>
                <c:pt idx="235">
                  <c:v>6</c:v>
                </c:pt>
                <c:pt idx="236">
                  <c:v>6</c:v>
                </c:pt>
                <c:pt idx="237">
                  <c:v>6</c:v>
                </c:pt>
                <c:pt idx="238">
                  <c:v>6</c:v>
                </c:pt>
                <c:pt idx="239">
                  <c:v>6</c:v>
                </c:pt>
                <c:pt idx="240">
                  <c:v>5</c:v>
                </c:pt>
                <c:pt idx="241">
                  <c:v>6</c:v>
                </c:pt>
                <c:pt idx="242">
                  <c:v>6</c:v>
                </c:pt>
                <c:pt idx="243">
                  <c:v>7</c:v>
                </c:pt>
                <c:pt idx="244">
                  <c:v>7</c:v>
                </c:pt>
                <c:pt idx="245">
                  <c:v>6</c:v>
                </c:pt>
                <c:pt idx="246">
                  <c:v>5</c:v>
                </c:pt>
                <c:pt idx="247">
                  <c:v>5</c:v>
                </c:pt>
                <c:pt idx="248">
                  <c:v>6</c:v>
                </c:pt>
                <c:pt idx="249">
                  <c:v>6</c:v>
                </c:pt>
                <c:pt idx="250">
                  <c:v>6</c:v>
                </c:pt>
                <c:pt idx="251">
                  <c:v>6</c:v>
                </c:pt>
                <c:pt idx="252">
                  <c:v>5</c:v>
                </c:pt>
                <c:pt idx="253">
                  <c:v>5</c:v>
                </c:pt>
                <c:pt idx="254">
                  <c:v>6</c:v>
                </c:pt>
                <c:pt idx="255">
                  <c:v>5</c:v>
                </c:pt>
                <c:pt idx="256">
                  <c:v>5</c:v>
                </c:pt>
                <c:pt idx="257">
                  <c:v>5</c:v>
                </c:pt>
                <c:pt idx="258">
                  <c:v>5</c:v>
                </c:pt>
                <c:pt idx="259">
                  <c:v>7</c:v>
                </c:pt>
                <c:pt idx="260">
                  <c:v>5</c:v>
                </c:pt>
                <c:pt idx="261">
                  <c:v>4</c:v>
                </c:pt>
                <c:pt idx="262">
                  <c:v>5</c:v>
                </c:pt>
                <c:pt idx="263">
                  <c:v>5</c:v>
                </c:pt>
                <c:pt idx="264">
                  <c:v>5</c:v>
                </c:pt>
                <c:pt idx="265">
                  <c:v>7</c:v>
                </c:pt>
                <c:pt idx="266">
                  <c:v>4</c:v>
                </c:pt>
                <c:pt idx="267">
                  <c:v>8</c:v>
                </c:pt>
                <c:pt idx="268">
                  <c:v>6</c:v>
                </c:pt>
                <c:pt idx="269">
                  <c:v>6</c:v>
                </c:pt>
                <c:pt idx="270">
                  <c:v>6</c:v>
                </c:pt>
                <c:pt idx="271">
                  <c:v>6</c:v>
                </c:pt>
                <c:pt idx="272">
                  <c:v>5</c:v>
                </c:pt>
                <c:pt idx="273">
                  <c:v>5</c:v>
                </c:pt>
                <c:pt idx="274">
                  <c:v>5</c:v>
                </c:pt>
                <c:pt idx="275">
                  <c:v>6</c:v>
                </c:pt>
                <c:pt idx="276">
                  <c:v>6</c:v>
                </c:pt>
                <c:pt idx="277">
                  <c:v>6</c:v>
                </c:pt>
                <c:pt idx="278">
                  <c:v>8</c:v>
                </c:pt>
                <c:pt idx="279">
                  <c:v>7</c:v>
                </c:pt>
                <c:pt idx="280">
                  <c:v>6</c:v>
                </c:pt>
                <c:pt idx="281">
                  <c:v>7</c:v>
                </c:pt>
                <c:pt idx="282">
                  <c:v>5</c:v>
                </c:pt>
                <c:pt idx="283">
                  <c:v>7</c:v>
                </c:pt>
                <c:pt idx="284">
                  <c:v>5</c:v>
                </c:pt>
                <c:pt idx="285">
                  <c:v>5</c:v>
                </c:pt>
                <c:pt idx="286">
                  <c:v>6</c:v>
                </c:pt>
                <c:pt idx="287">
                  <c:v>6</c:v>
                </c:pt>
                <c:pt idx="288">
                  <c:v>7</c:v>
                </c:pt>
                <c:pt idx="289">
                  <c:v>5</c:v>
                </c:pt>
                <c:pt idx="290">
                  <c:v>7</c:v>
                </c:pt>
                <c:pt idx="291">
                  <c:v>5</c:v>
                </c:pt>
                <c:pt idx="292">
                  <c:v>6</c:v>
                </c:pt>
                <c:pt idx="293">
                  <c:v>6</c:v>
                </c:pt>
                <c:pt idx="294">
                  <c:v>6</c:v>
                </c:pt>
                <c:pt idx="295">
                  <c:v>5</c:v>
                </c:pt>
                <c:pt idx="296">
                  <c:v>5</c:v>
                </c:pt>
                <c:pt idx="297">
                  <c:v>5</c:v>
                </c:pt>
                <c:pt idx="298">
                  <c:v>5</c:v>
                </c:pt>
                <c:pt idx="299">
                  <c:v>5</c:v>
                </c:pt>
                <c:pt idx="300">
                  <c:v>6</c:v>
                </c:pt>
                <c:pt idx="301">
                  <c:v>6</c:v>
                </c:pt>
                <c:pt idx="302">
                  <c:v>5</c:v>
                </c:pt>
                <c:pt idx="303">
                  <c:v>5</c:v>
                </c:pt>
                <c:pt idx="304">
                  <c:v>5</c:v>
                </c:pt>
                <c:pt idx="305">
                  <c:v>6</c:v>
                </c:pt>
                <c:pt idx="306">
                  <c:v>5</c:v>
                </c:pt>
                <c:pt idx="307">
                  <c:v>6</c:v>
                </c:pt>
                <c:pt idx="308">
                  <c:v>6</c:v>
                </c:pt>
                <c:pt idx="309">
                  <c:v>6</c:v>
                </c:pt>
                <c:pt idx="310">
                  <c:v>6</c:v>
                </c:pt>
                <c:pt idx="311">
                  <c:v>6</c:v>
                </c:pt>
                <c:pt idx="312">
                  <c:v>6</c:v>
                </c:pt>
                <c:pt idx="313">
                  <c:v>5</c:v>
                </c:pt>
                <c:pt idx="314">
                  <c:v>5</c:v>
                </c:pt>
                <c:pt idx="315">
                  <c:v>6</c:v>
                </c:pt>
                <c:pt idx="316">
                  <c:v>5</c:v>
                </c:pt>
                <c:pt idx="317">
                  <c:v>6</c:v>
                </c:pt>
                <c:pt idx="318">
                  <c:v>7</c:v>
                </c:pt>
                <c:pt idx="319">
                  <c:v>6</c:v>
                </c:pt>
                <c:pt idx="320">
                  <c:v>7</c:v>
                </c:pt>
                <c:pt idx="321">
                  <c:v>5</c:v>
                </c:pt>
                <c:pt idx="322">
                  <c:v>5</c:v>
                </c:pt>
                <c:pt idx="323">
                  <c:v>6</c:v>
                </c:pt>
                <c:pt idx="324">
                  <c:v>6</c:v>
                </c:pt>
                <c:pt idx="325">
                  <c:v>6</c:v>
                </c:pt>
                <c:pt idx="326">
                  <c:v>7</c:v>
                </c:pt>
                <c:pt idx="327">
                  <c:v>5</c:v>
                </c:pt>
                <c:pt idx="328">
                  <c:v>6</c:v>
                </c:pt>
                <c:pt idx="329">
                  <c:v>5</c:v>
                </c:pt>
                <c:pt idx="330">
                  <c:v>6</c:v>
                </c:pt>
                <c:pt idx="331">
                  <c:v>6</c:v>
                </c:pt>
                <c:pt idx="332">
                  <c:v>6</c:v>
                </c:pt>
                <c:pt idx="333">
                  <c:v>5</c:v>
                </c:pt>
                <c:pt idx="334">
                  <c:v>7</c:v>
                </c:pt>
                <c:pt idx="335">
                  <c:v>7</c:v>
                </c:pt>
                <c:pt idx="336">
                  <c:v>6</c:v>
                </c:pt>
                <c:pt idx="337">
                  <c:v>5</c:v>
                </c:pt>
                <c:pt idx="338">
                  <c:v>6</c:v>
                </c:pt>
                <c:pt idx="339">
                  <c:v>7</c:v>
                </c:pt>
                <c:pt idx="340">
                  <c:v>6</c:v>
                </c:pt>
                <c:pt idx="341">
                  <c:v>6</c:v>
                </c:pt>
                <c:pt idx="342">
                  <c:v>6</c:v>
                </c:pt>
                <c:pt idx="343">
                  <c:v>6</c:v>
                </c:pt>
                <c:pt idx="344">
                  <c:v>6</c:v>
                </c:pt>
                <c:pt idx="345">
                  <c:v>5</c:v>
                </c:pt>
                <c:pt idx="346">
                  <c:v>7</c:v>
                </c:pt>
                <c:pt idx="347">
                  <c:v>6</c:v>
                </c:pt>
                <c:pt idx="348">
                  <c:v>6</c:v>
                </c:pt>
                <c:pt idx="349">
                  <c:v>6</c:v>
                </c:pt>
                <c:pt idx="350">
                  <c:v>6</c:v>
                </c:pt>
                <c:pt idx="351">
                  <c:v>6</c:v>
                </c:pt>
                <c:pt idx="352">
                  <c:v>5</c:v>
                </c:pt>
                <c:pt idx="353">
                  <c:v>5</c:v>
                </c:pt>
                <c:pt idx="354">
                  <c:v>6</c:v>
                </c:pt>
                <c:pt idx="355">
                  <c:v>6</c:v>
                </c:pt>
                <c:pt idx="356">
                  <c:v>5</c:v>
                </c:pt>
                <c:pt idx="357">
                  <c:v>7</c:v>
                </c:pt>
                <c:pt idx="358">
                  <c:v>7</c:v>
                </c:pt>
                <c:pt idx="359">
                  <c:v>6</c:v>
                </c:pt>
                <c:pt idx="360">
                  <c:v>5</c:v>
                </c:pt>
                <c:pt idx="361">
                  <c:v>6</c:v>
                </c:pt>
                <c:pt idx="362">
                  <c:v>5</c:v>
                </c:pt>
                <c:pt idx="363">
                  <c:v>5</c:v>
                </c:pt>
                <c:pt idx="364">
                  <c:v>7</c:v>
                </c:pt>
                <c:pt idx="365">
                  <c:v>6</c:v>
                </c:pt>
                <c:pt idx="366">
                  <c:v>7</c:v>
                </c:pt>
                <c:pt idx="367">
                  <c:v>5</c:v>
                </c:pt>
                <c:pt idx="368">
                  <c:v>5</c:v>
                </c:pt>
                <c:pt idx="369">
                  <c:v>7</c:v>
                </c:pt>
                <c:pt idx="370">
                  <c:v>5</c:v>
                </c:pt>
                <c:pt idx="371">
                  <c:v>6</c:v>
                </c:pt>
                <c:pt idx="372">
                  <c:v>6</c:v>
                </c:pt>
                <c:pt idx="373">
                  <c:v>5</c:v>
                </c:pt>
                <c:pt idx="374">
                  <c:v>6</c:v>
                </c:pt>
                <c:pt idx="375">
                  <c:v>7</c:v>
                </c:pt>
                <c:pt idx="376">
                  <c:v>6</c:v>
                </c:pt>
                <c:pt idx="377">
                  <c:v>7</c:v>
                </c:pt>
                <c:pt idx="378">
                  <c:v>6</c:v>
                </c:pt>
                <c:pt idx="379">
                  <c:v>6</c:v>
                </c:pt>
                <c:pt idx="380">
                  <c:v>6</c:v>
                </c:pt>
                <c:pt idx="381">
                  <c:v>6</c:v>
                </c:pt>
                <c:pt idx="382">
                  <c:v>6</c:v>
                </c:pt>
                <c:pt idx="383">
                  <c:v>6</c:v>
                </c:pt>
                <c:pt idx="384">
                  <c:v>5</c:v>
                </c:pt>
                <c:pt idx="385">
                  <c:v>6</c:v>
                </c:pt>
                <c:pt idx="386">
                  <c:v>6</c:v>
                </c:pt>
                <c:pt idx="387">
                  <c:v>6</c:v>
                </c:pt>
                <c:pt idx="388">
                  <c:v>6</c:v>
                </c:pt>
                <c:pt idx="389">
                  <c:v>7</c:v>
                </c:pt>
                <c:pt idx="390">
                  <c:v>8</c:v>
                </c:pt>
                <c:pt idx="391">
                  <c:v>6</c:v>
                </c:pt>
                <c:pt idx="392">
                  <c:v>5</c:v>
                </c:pt>
                <c:pt idx="393">
                  <c:v>5</c:v>
                </c:pt>
                <c:pt idx="394">
                  <c:v>5</c:v>
                </c:pt>
                <c:pt idx="395">
                  <c:v>7</c:v>
                </c:pt>
                <c:pt idx="396">
                  <c:v>5</c:v>
                </c:pt>
                <c:pt idx="397">
                  <c:v>6</c:v>
                </c:pt>
                <c:pt idx="398">
                  <c:v>6</c:v>
                </c:pt>
                <c:pt idx="399">
                  <c:v>5</c:v>
                </c:pt>
                <c:pt idx="400">
                  <c:v>5</c:v>
                </c:pt>
                <c:pt idx="401">
                  <c:v>6</c:v>
                </c:pt>
                <c:pt idx="402">
                  <c:v>6</c:v>
                </c:pt>
                <c:pt idx="403">
                  <c:v>6</c:v>
                </c:pt>
                <c:pt idx="404">
                  <c:v>5</c:v>
                </c:pt>
                <c:pt idx="405">
                  <c:v>6</c:v>
                </c:pt>
                <c:pt idx="406">
                  <c:v>6</c:v>
                </c:pt>
                <c:pt idx="407">
                  <c:v>7</c:v>
                </c:pt>
                <c:pt idx="408">
                  <c:v>6</c:v>
                </c:pt>
                <c:pt idx="409">
                  <c:v>4</c:v>
                </c:pt>
                <c:pt idx="410">
                  <c:v>6</c:v>
                </c:pt>
                <c:pt idx="411">
                  <c:v>5</c:v>
                </c:pt>
                <c:pt idx="412">
                  <c:v>5</c:v>
                </c:pt>
                <c:pt idx="413">
                  <c:v>7</c:v>
                </c:pt>
                <c:pt idx="414">
                  <c:v>5</c:v>
                </c:pt>
                <c:pt idx="415">
                  <c:v>5</c:v>
                </c:pt>
                <c:pt idx="416">
                  <c:v>6</c:v>
                </c:pt>
                <c:pt idx="417">
                  <c:v>5</c:v>
                </c:pt>
                <c:pt idx="418">
                  <c:v>6</c:v>
                </c:pt>
                <c:pt idx="419">
                  <c:v>5</c:v>
                </c:pt>
                <c:pt idx="420">
                  <c:v>7</c:v>
                </c:pt>
                <c:pt idx="421">
                  <c:v>7</c:v>
                </c:pt>
                <c:pt idx="422">
                  <c:v>5</c:v>
                </c:pt>
                <c:pt idx="423">
                  <c:v>7</c:v>
                </c:pt>
                <c:pt idx="424">
                  <c:v>5</c:v>
                </c:pt>
                <c:pt idx="425">
                  <c:v>7</c:v>
                </c:pt>
                <c:pt idx="426">
                  <c:v>6</c:v>
                </c:pt>
                <c:pt idx="427">
                  <c:v>6</c:v>
                </c:pt>
                <c:pt idx="428">
                  <c:v>5</c:v>
                </c:pt>
                <c:pt idx="429">
                  <c:v>6</c:v>
                </c:pt>
                <c:pt idx="430">
                  <c:v>7</c:v>
                </c:pt>
                <c:pt idx="431">
                  <c:v>5</c:v>
                </c:pt>
                <c:pt idx="432">
                  <c:v>6</c:v>
                </c:pt>
                <c:pt idx="433">
                  <c:v>5</c:v>
                </c:pt>
                <c:pt idx="434">
                  <c:v>6</c:v>
                </c:pt>
                <c:pt idx="435">
                  <c:v>5</c:v>
                </c:pt>
                <c:pt idx="436">
                  <c:v>6</c:v>
                </c:pt>
                <c:pt idx="437">
                  <c:v>6</c:v>
                </c:pt>
                <c:pt idx="438">
                  <c:v>6</c:v>
                </c:pt>
                <c:pt idx="439">
                  <c:v>5</c:v>
                </c:pt>
                <c:pt idx="440">
                  <c:v>8</c:v>
                </c:pt>
                <c:pt idx="441">
                  <c:v>6</c:v>
                </c:pt>
                <c:pt idx="442">
                  <c:v>7</c:v>
                </c:pt>
                <c:pt idx="443">
                  <c:v>7</c:v>
                </c:pt>
                <c:pt idx="444">
                  <c:v>7</c:v>
                </c:pt>
                <c:pt idx="445">
                  <c:v>6</c:v>
                </c:pt>
                <c:pt idx="446">
                  <c:v>5</c:v>
                </c:pt>
                <c:pt idx="447">
                  <c:v>5</c:v>
                </c:pt>
                <c:pt idx="448">
                  <c:v>6</c:v>
                </c:pt>
                <c:pt idx="449">
                  <c:v>6</c:v>
                </c:pt>
                <c:pt idx="450">
                  <c:v>6</c:v>
                </c:pt>
                <c:pt idx="451">
                  <c:v>6</c:v>
                </c:pt>
                <c:pt idx="452">
                  <c:v>6</c:v>
                </c:pt>
                <c:pt idx="453">
                  <c:v>7</c:v>
                </c:pt>
                <c:pt idx="454">
                  <c:v>5</c:v>
                </c:pt>
                <c:pt idx="455">
                  <c:v>8</c:v>
                </c:pt>
                <c:pt idx="456">
                  <c:v>5</c:v>
                </c:pt>
                <c:pt idx="457">
                  <c:v>5</c:v>
                </c:pt>
                <c:pt idx="458">
                  <c:v>7</c:v>
                </c:pt>
                <c:pt idx="459">
                  <c:v>3</c:v>
                </c:pt>
                <c:pt idx="460">
                  <c:v>6</c:v>
                </c:pt>
                <c:pt idx="461">
                  <c:v>5</c:v>
                </c:pt>
                <c:pt idx="462">
                  <c:v>5</c:v>
                </c:pt>
                <c:pt idx="463">
                  <c:v>5</c:v>
                </c:pt>
                <c:pt idx="464">
                  <c:v>6</c:v>
                </c:pt>
                <c:pt idx="465">
                  <c:v>5</c:v>
                </c:pt>
                <c:pt idx="466">
                  <c:v>6</c:v>
                </c:pt>
                <c:pt idx="467">
                  <c:v>6</c:v>
                </c:pt>
                <c:pt idx="468">
                  <c:v>6</c:v>
                </c:pt>
                <c:pt idx="469">
                  <c:v>5</c:v>
                </c:pt>
                <c:pt idx="470">
                  <c:v>5</c:v>
                </c:pt>
                <c:pt idx="471">
                  <c:v>6</c:v>
                </c:pt>
                <c:pt idx="472">
                  <c:v>6</c:v>
                </c:pt>
                <c:pt idx="473">
                  <c:v>5</c:v>
                </c:pt>
                <c:pt idx="474">
                  <c:v>6</c:v>
                </c:pt>
                <c:pt idx="475">
                  <c:v>5</c:v>
                </c:pt>
                <c:pt idx="476">
                  <c:v>5</c:v>
                </c:pt>
                <c:pt idx="477">
                  <c:v>6</c:v>
                </c:pt>
                <c:pt idx="478">
                  <c:v>5</c:v>
                </c:pt>
                <c:pt idx="479">
                  <c:v>6</c:v>
                </c:pt>
                <c:pt idx="480">
                  <c:v>5</c:v>
                </c:pt>
                <c:pt idx="481">
                  <c:v>8</c:v>
                </c:pt>
                <c:pt idx="482">
                  <c:v>5</c:v>
                </c:pt>
                <c:pt idx="483">
                  <c:v>5</c:v>
                </c:pt>
                <c:pt idx="484">
                  <c:v>6</c:v>
                </c:pt>
                <c:pt idx="485">
                  <c:v>5</c:v>
                </c:pt>
                <c:pt idx="486">
                  <c:v>5</c:v>
                </c:pt>
                <c:pt idx="487">
                  <c:v>6</c:v>
                </c:pt>
                <c:pt idx="488">
                  <c:v>7</c:v>
                </c:pt>
                <c:pt idx="489">
                  <c:v>6</c:v>
                </c:pt>
                <c:pt idx="490">
                  <c:v>6</c:v>
                </c:pt>
                <c:pt idx="491">
                  <c:v>7</c:v>
                </c:pt>
                <c:pt idx="492">
                  <c:v>7</c:v>
                </c:pt>
                <c:pt idx="493">
                  <c:v>6</c:v>
                </c:pt>
                <c:pt idx="494">
                  <c:v>6</c:v>
                </c:pt>
                <c:pt idx="495">
                  <c:v>8</c:v>
                </c:pt>
                <c:pt idx="496">
                  <c:v>6</c:v>
                </c:pt>
                <c:pt idx="497">
                  <c:v>5</c:v>
                </c:pt>
                <c:pt idx="498">
                  <c:v>8</c:v>
                </c:pt>
                <c:pt idx="499">
                  <c:v>6</c:v>
                </c:pt>
                <c:pt idx="500">
                  <c:v>6</c:v>
                </c:pt>
                <c:pt idx="501">
                  <c:v>7</c:v>
                </c:pt>
                <c:pt idx="502">
                  <c:v>7</c:v>
                </c:pt>
                <c:pt idx="503">
                  <c:v>7</c:v>
                </c:pt>
                <c:pt idx="504">
                  <c:v>7</c:v>
                </c:pt>
                <c:pt idx="505">
                  <c:v>7</c:v>
                </c:pt>
                <c:pt idx="506">
                  <c:v>7</c:v>
                </c:pt>
                <c:pt idx="507">
                  <c:v>6</c:v>
                </c:pt>
                <c:pt idx="508">
                  <c:v>6</c:v>
                </c:pt>
                <c:pt idx="509">
                  <c:v>7</c:v>
                </c:pt>
                <c:pt idx="510">
                  <c:v>5</c:v>
                </c:pt>
                <c:pt idx="511">
                  <c:v>6</c:v>
                </c:pt>
                <c:pt idx="512">
                  <c:v>6</c:v>
                </c:pt>
                <c:pt idx="513">
                  <c:v>7</c:v>
                </c:pt>
                <c:pt idx="514">
                  <c:v>7</c:v>
                </c:pt>
                <c:pt idx="515">
                  <c:v>5</c:v>
                </c:pt>
                <c:pt idx="516">
                  <c:v>6</c:v>
                </c:pt>
                <c:pt idx="517">
                  <c:v>3</c:v>
                </c:pt>
                <c:pt idx="518">
                  <c:v>6</c:v>
                </c:pt>
                <c:pt idx="519">
                  <c:v>5</c:v>
                </c:pt>
                <c:pt idx="520">
                  <c:v>6</c:v>
                </c:pt>
                <c:pt idx="521">
                  <c:v>5</c:v>
                </c:pt>
                <c:pt idx="522">
                  <c:v>5</c:v>
                </c:pt>
                <c:pt idx="523">
                  <c:v>5</c:v>
                </c:pt>
                <c:pt idx="524">
                  <c:v>5</c:v>
                </c:pt>
                <c:pt idx="525">
                  <c:v>5</c:v>
                </c:pt>
                <c:pt idx="526">
                  <c:v>5</c:v>
                </c:pt>
                <c:pt idx="527">
                  <c:v>6</c:v>
                </c:pt>
                <c:pt idx="528">
                  <c:v>6</c:v>
                </c:pt>
                <c:pt idx="529">
                  <c:v>5</c:v>
                </c:pt>
                <c:pt idx="530">
                  <c:v>6</c:v>
                </c:pt>
                <c:pt idx="531">
                  <c:v>5</c:v>
                </c:pt>
                <c:pt idx="532">
                  <c:v>5</c:v>
                </c:pt>
                <c:pt idx="533">
                  <c:v>6</c:v>
                </c:pt>
                <c:pt idx="534">
                  <c:v>6</c:v>
                </c:pt>
                <c:pt idx="535">
                  <c:v>6</c:v>
                </c:pt>
                <c:pt idx="536">
                  <c:v>5</c:v>
                </c:pt>
                <c:pt idx="537">
                  <c:v>6</c:v>
                </c:pt>
                <c:pt idx="538">
                  <c:v>7</c:v>
                </c:pt>
                <c:pt idx="539">
                  <c:v>5</c:v>
                </c:pt>
                <c:pt idx="540">
                  <c:v>5</c:v>
                </c:pt>
                <c:pt idx="541">
                  <c:v>6</c:v>
                </c:pt>
                <c:pt idx="542">
                  <c:v>5</c:v>
                </c:pt>
                <c:pt idx="543">
                  <c:v>6</c:v>
                </c:pt>
                <c:pt idx="544">
                  <c:v>6</c:v>
                </c:pt>
                <c:pt idx="545">
                  <c:v>5</c:v>
                </c:pt>
                <c:pt idx="546">
                  <c:v>6</c:v>
                </c:pt>
                <c:pt idx="547">
                  <c:v>6</c:v>
                </c:pt>
                <c:pt idx="548">
                  <c:v>6</c:v>
                </c:pt>
                <c:pt idx="549">
                  <c:v>6</c:v>
                </c:pt>
                <c:pt idx="550">
                  <c:v>6</c:v>
                </c:pt>
                <c:pt idx="551">
                  <c:v>6</c:v>
                </c:pt>
                <c:pt idx="552">
                  <c:v>6</c:v>
                </c:pt>
                <c:pt idx="553">
                  <c:v>5</c:v>
                </c:pt>
                <c:pt idx="554">
                  <c:v>5</c:v>
                </c:pt>
                <c:pt idx="555">
                  <c:v>5</c:v>
                </c:pt>
                <c:pt idx="556">
                  <c:v>6</c:v>
                </c:pt>
                <c:pt idx="557">
                  <c:v>5</c:v>
                </c:pt>
                <c:pt idx="558">
                  <c:v>6</c:v>
                </c:pt>
                <c:pt idx="559">
                  <c:v>6</c:v>
                </c:pt>
                <c:pt idx="560">
                  <c:v>5</c:v>
                </c:pt>
                <c:pt idx="561">
                  <c:v>5</c:v>
                </c:pt>
                <c:pt idx="562">
                  <c:v>5</c:v>
                </c:pt>
                <c:pt idx="563">
                  <c:v>6</c:v>
                </c:pt>
                <c:pt idx="564">
                  <c:v>6</c:v>
                </c:pt>
                <c:pt idx="565">
                  <c:v>5</c:v>
                </c:pt>
                <c:pt idx="566">
                  <c:v>6</c:v>
                </c:pt>
                <c:pt idx="567">
                  <c:v>6</c:v>
                </c:pt>
                <c:pt idx="568">
                  <c:v>6</c:v>
                </c:pt>
                <c:pt idx="569">
                  <c:v>6</c:v>
                </c:pt>
                <c:pt idx="570">
                  <c:v>6</c:v>
                </c:pt>
                <c:pt idx="571">
                  <c:v>6</c:v>
                </c:pt>
                <c:pt idx="572">
                  <c:v>5</c:v>
                </c:pt>
                <c:pt idx="573">
                  <c:v>4</c:v>
                </c:pt>
                <c:pt idx="574">
                  <c:v>6</c:v>
                </c:pt>
                <c:pt idx="575">
                  <c:v>6</c:v>
                </c:pt>
                <c:pt idx="576">
                  <c:v>4</c:v>
                </c:pt>
                <c:pt idx="577">
                  <c:v>5</c:v>
                </c:pt>
                <c:pt idx="578">
                  <c:v>5</c:v>
                </c:pt>
                <c:pt idx="579">
                  <c:v>6</c:v>
                </c:pt>
                <c:pt idx="580">
                  <c:v>5</c:v>
                </c:pt>
                <c:pt idx="581">
                  <c:v>5</c:v>
                </c:pt>
                <c:pt idx="582">
                  <c:v>5</c:v>
                </c:pt>
                <c:pt idx="583">
                  <c:v>7</c:v>
                </c:pt>
                <c:pt idx="584">
                  <c:v>7</c:v>
                </c:pt>
                <c:pt idx="585">
                  <c:v>6</c:v>
                </c:pt>
                <c:pt idx="586">
                  <c:v>7</c:v>
                </c:pt>
                <c:pt idx="587">
                  <c:v>5</c:v>
                </c:pt>
                <c:pt idx="588">
                  <c:v>8</c:v>
                </c:pt>
                <c:pt idx="589">
                  <c:v>7</c:v>
                </c:pt>
                <c:pt idx="590">
                  <c:v>5</c:v>
                </c:pt>
                <c:pt idx="591">
                  <c:v>6</c:v>
                </c:pt>
                <c:pt idx="592">
                  <c:v>5</c:v>
                </c:pt>
                <c:pt idx="593">
                  <c:v>5</c:v>
                </c:pt>
                <c:pt idx="594">
                  <c:v>5</c:v>
                </c:pt>
                <c:pt idx="595">
                  <c:v>5</c:v>
                </c:pt>
                <c:pt idx="596">
                  <c:v>6</c:v>
                </c:pt>
                <c:pt idx="597">
                  <c:v>6</c:v>
                </c:pt>
                <c:pt idx="598">
                  <c:v>6</c:v>
                </c:pt>
                <c:pt idx="599">
                  <c:v>6</c:v>
                </c:pt>
                <c:pt idx="600">
                  <c:v>4</c:v>
                </c:pt>
                <c:pt idx="601">
                  <c:v>6</c:v>
                </c:pt>
                <c:pt idx="602">
                  <c:v>5</c:v>
                </c:pt>
                <c:pt idx="603">
                  <c:v>6</c:v>
                </c:pt>
                <c:pt idx="604">
                  <c:v>6</c:v>
                </c:pt>
                <c:pt idx="605">
                  <c:v>6</c:v>
                </c:pt>
                <c:pt idx="606">
                  <c:v>7</c:v>
                </c:pt>
                <c:pt idx="607">
                  <c:v>6</c:v>
                </c:pt>
                <c:pt idx="608">
                  <c:v>6</c:v>
                </c:pt>
                <c:pt idx="609">
                  <c:v>6</c:v>
                </c:pt>
                <c:pt idx="610">
                  <c:v>5</c:v>
                </c:pt>
                <c:pt idx="611">
                  <c:v>5</c:v>
                </c:pt>
                <c:pt idx="612">
                  <c:v>6</c:v>
                </c:pt>
                <c:pt idx="613">
                  <c:v>5</c:v>
                </c:pt>
                <c:pt idx="614">
                  <c:v>6</c:v>
                </c:pt>
                <c:pt idx="615">
                  <c:v>5</c:v>
                </c:pt>
                <c:pt idx="616">
                  <c:v>5</c:v>
                </c:pt>
                <c:pt idx="617">
                  <c:v>6</c:v>
                </c:pt>
                <c:pt idx="618">
                  <c:v>5</c:v>
                </c:pt>
                <c:pt idx="619">
                  <c:v>5</c:v>
                </c:pt>
                <c:pt idx="620">
                  <c:v>5</c:v>
                </c:pt>
                <c:pt idx="621">
                  <c:v>5</c:v>
                </c:pt>
                <c:pt idx="622">
                  <c:v>5</c:v>
                </c:pt>
                <c:pt idx="623">
                  <c:v>6</c:v>
                </c:pt>
                <c:pt idx="624">
                  <c:v>5</c:v>
                </c:pt>
                <c:pt idx="625">
                  <c:v>5</c:v>
                </c:pt>
                <c:pt idx="626">
                  <c:v>5</c:v>
                </c:pt>
                <c:pt idx="627">
                  <c:v>5</c:v>
                </c:pt>
                <c:pt idx="628">
                  <c:v>6</c:v>
                </c:pt>
                <c:pt idx="629">
                  <c:v>5</c:v>
                </c:pt>
                <c:pt idx="630">
                  <c:v>6</c:v>
                </c:pt>
                <c:pt idx="631">
                  <c:v>5</c:v>
                </c:pt>
                <c:pt idx="632">
                  <c:v>6</c:v>
                </c:pt>
                <c:pt idx="633">
                  <c:v>4</c:v>
                </c:pt>
                <c:pt idx="634">
                  <c:v>5</c:v>
                </c:pt>
                <c:pt idx="635">
                  <c:v>5</c:v>
                </c:pt>
                <c:pt idx="636">
                  <c:v>5</c:v>
                </c:pt>
                <c:pt idx="637">
                  <c:v>5</c:v>
                </c:pt>
                <c:pt idx="638">
                  <c:v>7</c:v>
                </c:pt>
                <c:pt idx="639">
                  <c:v>6</c:v>
                </c:pt>
                <c:pt idx="640">
                  <c:v>5</c:v>
                </c:pt>
                <c:pt idx="641">
                  <c:v>5</c:v>
                </c:pt>
                <c:pt idx="642">
                  <c:v>5</c:v>
                </c:pt>
                <c:pt idx="643">
                  <c:v>5</c:v>
                </c:pt>
                <c:pt idx="644">
                  <c:v>5</c:v>
                </c:pt>
                <c:pt idx="645">
                  <c:v>7</c:v>
                </c:pt>
                <c:pt idx="646">
                  <c:v>5</c:v>
                </c:pt>
                <c:pt idx="647">
                  <c:v>4</c:v>
                </c:pt>
                <c:pt idx="648">
                  <c:v>7</c:v>
                </c:pt>
                <c:pt idx="649">
                  <c:v>6</c:v>
                </c:pt>
                <c:pt idx="650">
                  <c:v>5</c:v>
                </c:pt>
                <c:pt idx="651">
                  <c:v>5</c:v>
                </c:pt>
                <c:pt idx="652">
                  <c:v>5</c:v>
                </c:pt>
                <c:pt idx="653">
                  <c:v>6</c:v>
                </c:pt>
                <c:pt idx="654">
                  <c:v>5</c:v>
                </c:pt>
                <c:pt idx="655">
                  <c:v>5</c:v>
                </c:pt>
                <c:pt idx="656">
                  <c:v>5</c:v>
                </c:pt>
                <c:pt idx="657">
                  <c:v>7</c:v>
                </c:pt>
                <c:pt idx="658">
                  <c:v>6</c:v>
                </c:pt>
                <c:pt idx="659">
                  <c:v>4</c:v>
                </c:pt>
                <c:pt idx="660">
                  <c:v>6</c:v>
                </c:pt>
                <c:pt idx="661">
                  <c:v>5</c:v>
                </c:pt>
                <c:pt idx="662">
                  <c:v>6</c:v>
                </c:pt>
                <c:pt idx="663">
                  <c:v>6</c:v>
                </c:pt>
                <c:pt idx="664">
                  <c:v>5</c:v>
                </c:pt>
                <c:pt idx="665">
                  <c:v>5</c:v>
                </c:pt>
                <c:pt idx="666">
                  <c:v>6</c:v>
                </c:pt>
                <c:pt idx="667">
                  <c:v>6</c:v>
                </c:pt>
                <c:pt idx="668">
                  <c:v>5</c:v>
                </c:pt>
                <c:pt idx="669">
                  <c:v>6</c:v>
                </c:pt>
                <c:pt idx="670">
                  <c:v>5</c:v>
                </c:pt>
                <c:pt idx="671">
                  <c:v>5</c:v>
                </c:pt>
                <c:pt idx="672">
                  <c:v>5</c:v>
                </c:pt>
                <c:pt idx="673">
                  <c:v>5</c:v>
                </c:pt>
                <c:pt idx="674">
                  <c:v>6</c:v>
                </c:pt>
                <c:pt idx="675">
                  <c:v>5</c:v>
                </c:pt>
                <c:pt idx="676">
                  <c:v>6</c:v>
                </c:pt>
                <c:pt idx="677">
                  <c:v>5</c:v>
                </c:pt>
                <c:pt idx="678">
                  <c:v>5</c:v>
                </c:pt>
                <c:pt idx="679">
                  <c:v>5</c:v>
                </c:pt>
                <c:pt idx="680">
                  <c:v>5</c:v>
                </c:pt>
                <c:pt idx="681">
                  <c:v>6</c:v>
                </c:pt>
                <c:pt idx="682">
                  <c:v>5</c:v>
                </c:pt>
                <c:pt idx="683">
                  <c:v>5</c:v>
                </c:pt>
                <c:pt idx="684">
                  <c:v>5</c:v>
                </c:pt>
                <c:pt idx="685">
                  <c:v>5</c:v>
                </c:pt>
                <c:pt idx="686">
                  <c:v>5</c:v>
                </c:pt>
                <c:pt idx="687">
                  <c:v>5</c:v>
                </c:pt>
                <c:pt idx="688">
                  <c:v>5</c:v>
                </c:pt>
                <c:pt idx="689">
                  <c:v>5</c:v>
                </c:pt>
                <c:pt idx="690">
                  <c:v>3</c:v>
                </c:pt>
                <c:pt idx="691">
                  <c:v>5</c:v>
                </c:pt>
                <c:pt idx="692">
                  <c:v>5</c:v>
                </c:pt>
                <c:pt idx="693">
                  <c:v>5</c:v>
                </c:pt>
                <c:pt idx="694">
                  <c:v>5</c:v>
                </c:pt>
                <c:pt idx="695">
                  <c:v>6</c:v>
                </c:pt>
                <c:pt idx="696">
                  <c:v>6</c:v>
                </c:pt>
                <c:pt idx="697">
                  <c:v>6</c:v>
                </c:pt>
                <c:pt idx="698">
                  <c:v>5</c:v>
                </c:pt>
                <c:pt idx="699">
                  <c:v>6</c:v>
                </c:pt>
                <c:pt idx="700">
                  <c:v>6</c:v>
                </c:pt>
                <c:pt idx="701">
                  <c:v>6</c:v>
                </c:pt>
                <c:pt idx="702">
                  <c:v>6</c:v>
                </c:pt>
                <c:pt idx="703">
                  <c:v>4</c:v>
                </c:pt>
                <c:pt idx="704">
                  <c:v>4</c:v>
                </c:pt>
                <c:pt idx="705">
                  <c:v>5</c:v>
                </c:pt>
                <c:pt idx="706">
                  <c:v>5</c:v>
                </c:pt>
                <c:pt idx="707">
                  <c:v>5</c:v>
                </c:pt>
                <c:pt idx="708">
                  <c:v>6</c:v>
                </c:pt>
                <c:pt idx="709">
                  <c:v>6</c:v>
                </c:pt>
                <c:pt idx="710">
                  <c:v>5</c:v>
                </c:pt>
                <c:pt idx="711">
                  <c:v>5</c:v>
                </c:pt>
                <c:pt idx="712">
                  <c:v>5</c:v>
                </c:pt>
                <c:pt idx="713">
                  <c:v>5</c:v>
                </c:pt>
                <c:pt idx="714">
                  <c:v>5</c:v>
                </c:pt>
                <c:pt idx="715">
                  <c:v>6</c:v>
                </c:pt>
                <c:pt idx="716">
                  <c:v>5</c:v>
                </c:pt>
                <c:pt idx="717">
                  <c:v>5</c:v>
                </c:pt>
                <c:pt idx="718">
                  <c:v>5</c:v>
                </c:pt>
                <c:pt idx="719">
                  <c:v>5</c:v>
                </c:pt>
                <c:pt idx="720">
                  <c:v>5</c:v>
                </c:pt>
                <c:pt idx="721">
                  <c:v>5</c:v>
                </c:pt>
                <c:pt idx="722">
                  <c:v>5</c:v>
                </c:pt>
                <c:pt idx="723">
                  <c:v>5</c:v>
                </c:pt>
                <c:pt idx="724">
                  <c:v>4</c:v>
                </c:pt>
                <c:pt idx="725">
                  <c:v>5</c:v>
                </c:pt>
                <c:pt idx="726">
                  <c:v>6</c:v>
                </c:pt>
                <c:pt idx="727">
                  <c:v>5</c:v>
                </c:pt>
                <c:pt idx="728">
                  <c:v>5</c:v>
                </c:pt>
                <c:pt idx="729">
                  <c:v>6</c:v>
                </c:pt>
                <c:pt idx="730">
                  <c:v>5</c:v>
                </c:pt>
                <c:pt idx="731">
                  <c:v>5</c:v>
                </c:pt>
                <c:pt idx="732">
                  <c:v>5</c:v>
                </c:pt>
                <c:pt idx="733">
                  <c:v>5</c:v>
                </c:pt>
                <c:pt idx="734">
                  <c:v>5</c:v>
                </c:pt>
                <c:pt idx="735">
                  <c:v>5</c:v>
                </c:pt>
                <c:pt idx="736">
                  <c:v>5</c:v>
                </c:pt>
                <c:pt idx="737">
                  <c:v>6</c:v>
                </c:pt>
                <c:pt idx="738">
                  <c:v>5</c:v>
                </c:pt>
                <c:pt idx="739">
                  <c:v>5</c:v>
                </c:pt>
                <c:pt idx="740">
                  <c:v>6</c:v>
                </c:pt>
                <c:pt idx="741">
                  <c:v>5</c:v>
                </c:pt>
                <c:pt idx="742">
                  <c:v>5</c:v>
                </c:pt>
                <c:pt idx="743">
                  <c:v>5</c:v>
                </c:pt>
                <c:pt idx="744">
                  <c:v>5</c:v>
                </c:pt>
                <c:pt idx="745">
                  <c:v>6</c:v>
                </c:pt>
                <c:pt idx="746">
                  <c:v>6</c:v>
                </c:pt>
                <c:pt idx="747">
                  <c:v>5</c:v>
                </c:pt>
                <c:pt idx="748">
                  <c:v>6</c:v>
                </c:pt>
                <c:pt idx="749">
                  <c:v>6</c:v>
                </c:pt>
                <c:pt idx="750">
                  <c:v>5</c:v>
                </c:pt>
                <c:pt idx="751">
                  <c:v>5</c:v>
                </c:pt>
                <c:pt idx="752">
                  <c:v>5</c:v>
                </c:pt>
                <c:pt idx="753">
                  <c:v>5</c:v>
                </c:pt>
                <c:pt idx="754">
                  <c:v>6</c:v>
                </c:pt>
                <c:pt idx="755">
                  <c:v>6</c:v>
                </c:pt>
                <c:pt idx="756">
                  <c:v>6</c:v>
                </c:pt>
                <c:pt idx="757">
                  <c:v>5</c:v>
                </c:pt>
                <c:pt idx="758">
                  <c:v>5</c:v>
                </c:pt>
                <c:pt idx="759">
                  <c:v>5</c:v>
                </c:pt>
                <c:pt idx="760">
                  <c:v>5</c:v>
                </c:pt>
                <c:pt idx="761">
                  <c:v>5</c:v>
                </c:pt>
                <c:pt idx="762">
                  <c:v>6</c:v>
                </c:pt>
                <c:pt idx="763">
                  <c:v>5</c:v>
                </c:pt>
                <c:pt idx="764">
                  <c:v>6</c:v>
                </c:pt>
                <c:pt idx="765">
                  <c:v>6</c:v>
                </c:pt>
                <c:pt idx="766">
                  <c:v>5</c:v>
                </c:pt>
                <c:pt idx="767">
                  <c:v>5</c:v>
                </c:pt>
                <c:pt idx="768">
                  <c:v>6</c:v>
                </c:pt>
                <c:pt idx="769">
                  <c:v>5</c:v>
                </c:pt>
                <c:pt idx="770">
                  <c:v>6</c:v>
                </c:pt>
                <c:pt idx="771">
                  <c:v>5</c:v>
                </c:pt>
                <c:pt idx="772">
                  <c:v>5</c:v>
                </c:pt>
                <c:pt idx="773">
                  <c:v>6</c:v>
                </c:pt>
                <c:pt idx="774">
                  <c:v>6</c:v>
                </c:pt>
                <c:pt idx="775">
                  <c:v>5</c:v>
                </c:pt>
                <c:pt idx="776">
                  <c:v>6</c:v>
                </c:pt>
                <c:pt idx="777">
                  <c:v>6</c:v>
                </c:pt>
                <c:pt idx="778">
                  <c:v>5</c:v>
                </c:pt>
                <c:pt idx="779">
                  <c:v>5</c:v>
                </c:pt>
                <c:pt idx="780">
                  <c:v>6</c:v>
                </c:pt>
                <c:pt idx="781">
                  <c:v>5</c:v>
                </c:pt>
                <c:pt idx="782">
                  <c:v>5</c:v>
                </c:pt>
                <c:pt idx="783">
                  <c:v>5</c:v>
                </c:pt>
                <c:pt idx="784">
                  <c:v>5</c:v>
                </c:pt>
                <c:pt idx="785">
                  <c:v>5</c:v>
                </c:pt>
                <c:pt idx="786">
                  <c:v>5</c:v>
                </c:pt>
                <c:pt idx="787">
                  <c:v>6</c:v>
                </c:pt>
                <c:pt idx="788">
                  <c:v>6</c:v>
                </c:pt>
                <c:pt idx="789">
                  <c:v>5</c:v>
                </c:pt>
                <c:pt idx="790">
                  <c:v>6</c:v>
                </c:pt>
                <c:pt idx="791">
                  <c:v>5</c:v>
                </c:pt>
                <c:pt idx="792">
                  <c:v>6</c:v>
                </c:pt>
                <c:pt idx="793">
                  <c:v>5</c:v>
                </c:pt>
                <c:pt idx="794">
                  <c:v>6</c:v>
                </c:pt>
                <c:pt idx="795">
                  <c:v>5</c:v>
                </c:pt>
                <c:pt idx="796">
                  <c:v>5</c:v>
                </c:pt>
                <c:pt idx="797">
                  <c:v>7</c:v>
                </c:pt>
                <c:pt idx="798">
                  <c:v>6</c:v>
                </c:pt>
                <c:pt idx="799">
                  <c:v>6</c:v>
                </c:pt>
                <c:pt idx="800">
                  <c:v>5</c:v>
                </c:pt>
                <c:pt idx="801">
                  <c:v>5</c:v>
                </c:pt>
                <c:pt idx="802">
                  <c:v>7</c:v>
                </c:pt>
                <c:pt idx="803">
                  <c:v>6</c:v>
                </c:pt>
                <c:pt idx="804">
                  <c:v>6</c:v>
                </c:pt>
                <c:pt idx="805">
                  <c:v>7</c:v>
                </c:pt>
                <c:pt idx="806">
                  <c:v>7</c:v>
                </c:pt>
                <c:pt idx="807">
                  <c:v>7</c:v>
                </c:pt>
                <c:pt idx="808">
                  <c:v>5</c:v>
                </c:pt>
                <c:pt idx="809">
                  <c:v>6</c:v>
                </c:pt>
                <c:pt idx="810">
                  <c:v>5</c:v>
                </c:pt>
                <c:pt idx="811">
                  <c:v>6</c:v>
                </c:pt>
                <c:pt idx="812">
                  <c:v>5</c:v>
                </c:pt>
                <c:pt idx="813">
                  <c:v>4</c:v>
                </c:pt>
                <c:pt idx="814">
                  <c:v>6</c:v>
                </c:pt>
                <c:pt idx="815">
                  <c:v>5</c:v>
                </c:pt>
                <c:pt idx="816">
                  <c:v>6</c:v>
                </c:pt>
                <c:pt idx="817">
                  <c:v>6</c:v>
                </c:pt>
                <c:pt idx="818">
                  <c:v>5</c:v>
                </c:pt>
                <c:pt idx="819">
                  <c:v>5</c:v>
                </c:pt>
                <c:pt idx="820">
                  <c:v>5</c:v>
                </c:pt>
                <c:pt idx="821">
                  <c:v>7</c:v>
                </c:pt>
                <c:pt idx="822">
                  <c:v>5</c:v>
                </c:pt>
                <c:pt idx="823">
                  <c:v>5</c:v>
                </c:pt>
                <c:pt idx="824">
                  <c:v>5</c:v>
                </c:pt>
                <c:pt idx="825">
                  <c:v>5</c:v>
                </c:pt>
                <c:pt idx="826">
                  <c:v>7</c:v>
                </c:pt>
                <c:pt idx="827">
                  <c:v>5</c:v>
                </c:pt>
                <c:pt idx="828">
                  <c:v>8</c:v>
                </c:pt>
                <c:pt idx="829">
                  <c:v>6</c:v>
                </c:pt>
                <c:pt idx="830">
                  <c:v>4</c:v>
                </c:pt>
                <c:pt idx="831">
                  <c:v>6</c:v>
                </c:pt>
                <c:pt idx="832">
                  <c:v>3</c:v>
                </c:pt>
                <c:pt idx="833">
                  <c:v>4</c:v>
                </c:pt>
                <c:pt idx="834">
                  <c:v>5</c:v>
                </c:pt>
                <c:pt idx="835">
                  <c:v>5</c:v>
                </c:pt>
                <c:pt idx="836">
                  <c:v>7</c:v>
                </c:pt>
                <c:pt idx="837">
                  <c:v>7</c:v>
                </c:pt>
                <c:pt idx="838">
                  <c:v>7</c:v>
                </c:pt>
                <c:pt idx="839">
                  <c:v>5</c:v>
                </c:pt>
                <c:pt idx="840">
                  <c:v>7</c:v>
                </c:pt>
                <c:pt idx="841">
                  <c:v>5</c:v>
                </c:pt>
                <c:pt idx="842">
                  <c:v>6</c:v>
                </c:pt>
                <c:pt idx="843">
                  <c:v>5</c:v>
                </c:pt>
                <c:pt idx="844">
                  <c:v>6</c:v>
                </c:pt>
                <c:pt idx="845">
                  <c:v>5</c:v>
                </c:pt>
                <c:pt idx="846">
                  <c:v>5</c:v>
                </c:pt>
                <c:pt idx="847">
                  <c:v>6</c:v>
                </c:pt>
                <c:pt idx="848">
                  <c:v>5</c:v>
                </c:pt>
                <c:pt idx="849">
                  <c:v>5</c:v>
                </c:pt>
                <c:pt idx="850">
                  <c:v>5</c:v>
                </c:pt>
                <c:pt idx="851">
                  <c:v>5</c:v>
                </c:pt>
                <c:pt idx="852">
                  <c:v>5</c:v>
                </c:pt>
                <c:pt idx="853">
                  <c:v>6</c:v>
                </c:pt>
                <c:pt idx="854">
                  <c:v>6</c:v>
                </c:pt>
                <c:pt idx="855">
                  <c:v>7</c:v>
                </c:pt>
                <c:pt idx="856">
                  <c:v>6</c:v>
                </c:pt>
                <c:pt idx="857">
                  <c:v>7</c:v>
                </c:pt>
                <c:pt idx="858">
                  <c:v>7</c:v>
                </c:pt>
                <c:pt idx="859">
                  <c:v>6</c:v>
                </c:pt>
                <c:pt idx="860">
                  <c:v>5</c:v>
                </c:pt>
                <c:pt idx="861">
                  <c:v>6</c:v>
                </c:pt>
                <c:pt idx="862">
                  <c:v>5</c:v>
                </c:pt>
                <c:pt idx="863">
                  <c:v>5</c:v>
                </c:pt>
                <c:pt idx="864">
                  <c:v>5</c:v>
                </c:pt>
                <c:pt idx="865">
                  <c:v>5</c:v>
                </c:pt>
                <c:pt idx="866">
                  <c:v>6</c:v>
                </c:pt>
                <c:pt idx="867">
                  <c:v>6</c:v>
                </c:pt>
                <c:pt idx="868">
                  <c:v>6</c:v>
                </c:pt>
                <c:pt idx="869">
                  <c:v>6</c:v>
                </c:pt>
                <c:pt idx="870">
                  <c:v>6</c:v>
                </c:pt>
                <c:pt idx="871">
                  <c:v>5</c:v>
                </c:pt>
                <c:pt idx="872">
                  <c:v>4</c:v>
                </c:pt>
                <c:pt idx="873">
                  <c:v>7</c:v>
                </c:pt>
                <c:pt idx="874">
                  <c:v>7</c:v>
                </c:pt>
                <c:pt idx="875">
                  <c:v>7</c:v>
                </c:pt>
                <c:pt idx="876">
                  <c:v>4</c:v>
                </c:pt>
                <c:pt idx="877">
                  <c:v>6</c:v>
                </c:pt>
                <c:pt idx="878">
                  <c:v>6</c:v>
                </c:pt>
                <c:pt idx="879">
                  <c:v>5</c:v>
                </c:pt>
                <c:pt idx="880">
                  <c:v>5</c:v>
                </c:pt>
                <c:pt idx="881">
                  <c:v>6</c:v>
                </c:pt>
                <c:pt idx="882">
                  <c:v>6</c:v>
                </c:pt>
                <c:pt idx="883">
                  <c:v>5</c:v>
                </c:pt>
                <c:pt idx="884">
                  <c:v>6</c:v>
                </c:pt>
                <c:pt idx="885">
                  <c:v>5</c:v>
                </c:pt>
                <c:pt idx="886">
                  <c:v>6</c:v>
                </c:pt>
                <c:pt idx="887">
                  <c:v>7</c:v>
                </c:pt>
                <c:pt idx="888">
                  <c:v>6</c:v>
                </c:pt>
                <c:pt idx="889">
                  <c:v>5</c:v>
                </c:pt>
                <c:pt idx="890">
                  <c:v>5</c:v>
                </c:pt>
                <c:pt idx="891">
                  <c:v>5</c:v>
                </c:pt>
                <c:pt idx="892">
                  <c:v>6</c:v>
                </c:pt>
                <c:pt idx="893">
                  <c:v>5</c:v>
                </c:pt>
                <c:pt idx="894">
                  <c:v>6</c:v>
                </c:pt>
                <c:pt idx="895">
                  <c:v>6</c:v>
                </c:pt>
                <c:pt idx="896">
                  <c:v>7</c:v>
                </c:pt>
                <c:pt idx="897">
                  <c:v>6</c:v>
                </c:pt>
                <c:pt idx="898">
                  <c:v>7</c:v>
                </c:pt>
                <c:pt idx="899">
                  <c:v>3</c:v>
                </c:pt>
                <c:pt idx="900">
                  <c:v>5</c:v>
                </c:pt>
                <c:pt idx="901">
                  <c:v>7</c:v>
                </c:pt>
                <c:pt idx="902">
                  <c:v>7</c:v>
                </c:pt>
                <c:pt idx="903">
                  <c:v>7</c:v>
                </c:pt>
                <c:pt idx="904">
                  <c:v>7</c:v>
                </c:pt>
                <c:pt idx="905">
                  <c:v>5</c:v>
                </c:pt>
                <c:pt idx="906">
                  <c:v>5</c:v>
                </c:pt>
                <c:pt idx="907">
                  <c:v>6</c:v>
                </c:pt>
                <c:pt idx="908">
                  <c:v>6</c:v>
                </c:pt>
                <c:pt idx="909">
                  <c:v>6</c:v>
                </c:pt>
                <c:pt idx="910">
                  <c:v>6</c:v>
                </c:pt>
                <c:pt idx="911">
                  <c:v>6</c:v>
                </c:pt>
                <c:pt idx="912">
                  <c:v>6</c:v>
                </c:pt>
                <c:pt idx="913">
                  <c:v>7</c:v>
                </c:pt>
                <c:pt idx="914">
                  <c:v>6</c:v>
                </c:pt>
                <c:pt idx="915">
                  <c:v>6</c:v>
                </c:pt>
                <c:pt idx="916">
                  <c:v>5</c:v>
                </c:pt>
                <c:pt idx="917">
                  <c:v>6</c:v>
                </c:pt>
                <c:pt idx="918">
                  <c:v>6</c:v>
                </c:pt>
                <c:pt idx="919">
                  <c:v>6</c:v>
                </c:pt>
                <c:pt idx="920">
                  <c:v>5</c:v>
                </c:pt>
                <c:pt idx="921">
                  <c:v>6</c:v>
                </c:pt>
                <c:pt idx="922">
                  <c:v>6</c:v>
                </c:pt>
                <c:pt idx="923">
                  <c:v>6</c:v>
                </c:pt>
                <c:pt idx="924">
                  <c:v>5</c:v>
                </c:pt>
                <c:pt idx="925">
                  <c:v>7</c:v>
                </c:pt>
                <c:pt idx="926">
                  <c:v>6</c:v>
                </c:pt>
                <c:pt idx="927">
                  <c:v>4</c:v>
                </c:pt>
                <c:pt idx="928">
                  <c:v>5</c:v>
                </c:pt>
                <c:pt idx="929">
                  <c:v>7</c:v>
                </c:pt>
                <c:pt idx="930">
                  <c:v>5</c:v>
                </c:pt>
                <c:pt idx="931">
                  <c:v>5</c:v>
                </c:pt>
                <c:pt idx="932">
                  <c:v>6</c:v>
                </c:pt>
                <c:pt idx="933">
                  <c:v>5</c:v>
                </c:pt>
                <c:pt idx="934">
                  <c:v>5</c:v>
                </c:pt>
                <c:pt idx="935">
                  <c:v>6</c:v>
                </c:pt>
                <c:pt idx="936">
                  <c:v>6</c:v>
                </c:pt>
                <c:pt idx="937">
                  <c:v>4</c:v>
                </c:pt>
                <c:pt idx="938">
                  <c:v>7</c:v>
                </c:pt>
                <c:pt idx="939">
                  <c:v>5</c:v>
                </c:pt>
                <c:pt idx="940">
                  <c:v>7</c:v>
                </c:pt>
                <c:pt idx="941">
                  <c:v>7</c:v>
                </c:pt>
                <c:pt idx="942">
                  <c:v>7</c:v>
                </c:pt>
                <c:pt idx="943">
                  <c:v>7</c:v>
                </c:pt>
                <c:pt idx="944">
                  <c:v>7</c:v>
                </c:pt>
                <c:pt idx="945">
                  <c:v>7</c:v>
                </c:pt>
                <c:pt idx="946">
                  <c:v>7</c:v>
                </c:pt>
                <c:pt idx="947">
                  <c:v>7</c:v>
                </c:pt>
                <c:pt idx="948">
                  <c:v>7</c:v>
                </c:pt>
                <c:pt idx="949">
                  <c:v>7</c:v>
                </c:pt>
                <c:pt idx="950">
                  <c:v>7</c:v>
                </c:pt>
                <c:pt idx="951">
                  <c:v>7</c:v>
                </c:pt>
                <c:pt idx="952">
                  <c:v>7</c:v>
                </c:pt>
                <c:pt idx="953">
                  <c:v>7</c:v>
                </c:pt>
                <c:pt idx="954">
                  <c:v>6</c:v>
                </c:pt>
                <c:pt idx="955">
                  <c:v>5</c:v>
                </c:pt>
                <c:pt idx="956">
                  <c:v>6</c:v>
                </c:pt>
                <c:pt idx="957">
                  <c:v>6</c:v>
                </c:pt>
                <c:pt idx="958">
                  <c:v>7</c:v>
                </c:pt>
                <c:pt idx="959">
                  <c:v>5</c:v>
                </c:pt>
                <c:pt idx="960">
                  <c:v>6</c:v>
                </c:pt>
                <c:pt idx="961">
                  <c:v>5</c:v>
                </c:pt>
                <c:pt idx="962">
                  <c:v>5</c:v>
                </c:pt>
                <c:pt idx="963">
                  <c:v>6</c:v>
                </c:pt>
                <c:pt idx="964">
                  <c:v>6</c:v>
                </c:pt>
                <c:pt idx="965">
                  <c:v>6</c:v>
                </c:pt>
                <c:pt idx="966">
                  <c:v>7</c:v>
                </c:pt>
                <c:pt idx="967">
                  <c:v>5</c:v>
                </c:pt>
                <c:pt idx="968">
                  <c:v>6</c:v>
                </c:pt>
                <c:pt idx="969">
                  <c:v>5</c:v>
                </c:pt>
                <c:pt idx="970">
                  <c:v>6</c:v>
                </c:pt>
                <c:pt idx="971">
                  <c:v>6</c:v>
                </c:pt>
                <c:pt idx="972">
                  <c:v>7</c:v>
                </c:pt>
                <c:pt idx="973">
                  <c:v>5</c:v>
                </c:pt>
                <c:pt idx="974">
                  <c:v>7</c:v>
                </c:pt>
                <c:pt idx="975">
                  <c:v>5</c:v>
                </c:pt>
                <c:pt idx="976">
                  <c:v>5</c:v>
                </c:pt>
                <c:pt idx="977">
                  <c:v>5</c:v>
                </c:pt>
                <c:pt idx="978">
                  <c:v>7</c:v>
                </c:pt>
                <c:pt idx="979">
                  <c:v>5</c:v>
                </c:pt>
                <c:pt idx="980">
                  <c:v>6</c:v>
                </c:pt>
                <c:pt idx="981">
                  <c:v>5</c:v>
                </c:pt>
                <c:pt idx="982">
                  <c:v>6</c:v>
                </c:pt>
                <c:pt idx="983">
                  <c:v>6</c:v>
                </c:pt>
                <c:pt idx="984">
                  <c:v>5</c:v>
                </c:pt>
                <c:pt idx="985">
                  <c:v>6</c:v>
                </c:pt>
                <c:pt idx="986">
                  <c:v>7</c:v>
                </c:pt>
                <c:pt idx="987">
                  <c:v>5</c:v>
                </c:pt>
                <c:pt idx="988">
                  <c:v>5</c:v>
                </c:pt>
                <c:pt idx="989">
                  <c:v>6</c:v>
                </c:pt>
                <c:pt idx="990">
                  <c:v>5</c:v>
                </c:pt>
                <c:pt idx="991">
                  <c:v>5</c:v>
                </c:pt>
                <c:pt idx="992">
                  <c:v>6</c:v>
                </c:pt>
                <c:pt idx="993">
                  <c:v>5</c:v>
                </c:pt>
                <c:pt idx="994">
                  <c:v>5</c:v>
                </c:pt>
                <c:pt idx="995">
                  <c:v>6</c:v>
                </c:pt>
                <c:pt idx="996">
                  <c:v>7</c:v>
                </c:pt>
                <c:pt idx="997">
                  <c:v>7</c:v>
                </c:pt>
                <c:pt idx="998">
                  <c:v>6</c:v>
                </c:pt>
                <c:pt idx="999">
                  <c:v>6</c:v>
                </c:pt>
                <c:pt idx="1000">
                  <c:v>7</c:v>
                </c:pt>
                <c:pt idx="1001">
                  <c:v>7</c:v>
                </c:pt>
                <c:pt idx="1002">
                  <c:v>7</c:v>
                </c:pt>
                <c:pt idx="1003">
                  <c:v>7</c:v>
                </c:pt>
                <c:pt idx="1004">
                  <c:v>5</c:v>
                </c:pt>
                <c:pt idx="1005">
                  <c:v>7</c:v>
                </c:pt>
                <c:pt idx="1006">
                  <c:v>7</c:v>
                </c:pt>
                <c:pt idx="1007">
                  <c:v>7</c:v>
                </c:pt>
                <c:pt idx="1008">
                  <c:v>7</c:v>
                </c:pt>
                <c:pt idx="1009">
                  <c:v>5</c:v>
                </c:pt>
                <c:pt idx="1010">
                  <c:v>7</c:v>
                </c:pt>
                <c:pt idx="1011">
                  <c:v>6</c:v>
                </c:pt>
                <c:pt idx="1012">
                  <c:v>5</c:v>
                </c:pt>
                <c:pt idx="1013">
                  <c:v>6</c:v>
                </c:pt>
                <c:pt idx="1014">
                  <c:v>6</c:v>
                </c:pt>
                <c:pt idx="1015">
                  <c:v>6</c:v>
                </c:pt>
                <c:pt idx="1016">
                  <c:v>7</c:v>
                </c:pt>
                <c:pt idx="1017">
                  <c:v>6</c:v>
                </c:pt>
                <c:pt idx="1018">
                  <c:v>6</c:v>
                </c:pt>
                <c:pt idx="1019">
                  <c:v>5</c:v>
                </c:pt>
                <c:pt idx="1020">
                  <c:v>6</c:v>
                </c:pt>
                <c:pt idx="1021">
                  <c:v>6</c:v>
                </c:pt>
                <c:pt idx="1022">
                  <c:v>5</c:v>
                </c:pt>
                <c:pt idx="1023">
                  <c:v>6</c:v>
                </c:pt>
                <c:pt idx="1024">
                  <c:v>7</c:v>
                </c:pt>
                <c:pt idx="1025">
                  <c:v>6</c:v>
                </c:pt>
                <c:pt idx="1026">
                  <c:v>6</c:v>
                </c:pt>
                <c:pt idx="1027">
                  <c:v>5</c:v>
                </c:pt>
                <c:pt idx="1028">
                  <c:v>6</c:v>
                </c:pt>
                <c:pt idx="1029">
                  <c:v>7</c:v>
                </c:pt>
                <c:pt idx="1030">
                  <c:v>7</c:v>
                </c:pt>
                <c:pt idx="1031">
                  <c:v>7</c:v>
                </c:pt>
                <c:pt idx="1032">
                  <c:v>5</c:v>
                </c:pt>
                <c:pt idx="1033">
                  <c:v>6</c:v>
                </c:pt>
                <c:pt idx="1034">
                  <c:v>6</c:v>
                </c:pt>
                <c:pt idx="1035">
                  <c:v>7</c:v>
                </c:pt>
                <c:pt idx="1036">
                  <c:v>7</c:v>
                </c:pt>
                <c:pt idx="1037">
                  <c:v>5</c:v>
                </c:pt>
                <c:pt idx="1038">
                  <c:v>7</c:v>
                </c:pt>
                <c:pt idx="1039">
                  <c:v>6</c:v>
                </c:pt>
                <c:pt idx="1040">
                  <c:v>5</c:v>
                </c:pt>
                <c:pt idx="1041">
                  <c:v>6</c:v>
                </c:pt>
                <c:pt idx="1042">
                  <c:v>6</c:v>
                </c:pt>
                <c:pt idx="1043">
                  <c:v>7</c:v>
                </c:pt>
                <c:pt idx="1044">
                  <c:v>6</c:v>
                </c:pt>
                <c:pt idx="1045">
                  <c:v>6</c:v>
                </c:pt>
                <c:pt idx="1046">
                  <c:v>6</c:v>
                </c:pt>
                <c:pt idx="1047">
                  <c:v>5</c:v>
                </c:pt>
                <c:pt idx="1048">
                  <c:v>6</c:v>
                </c:pt>
                <c:pt idx="1049">
                  <c:v>6</c:v>
                </c:pt>
                <c:pt idx="1050">
                  <c:v>5</c:v>
                </c:pt>
                <c:pt idx="1051">
                  <c:v>5</c:v>
                </c:pt>
                <c:pt idx="1052">
                  <c:v>5</c:v>
                </c:pt>
                <c:pt idx="1053">
                  <c:v>7</c:v>
                </c:pt>
                <c:pt idx="1054">
                  <c:v>6</c:v>
                </c:pt>
                <c:pt idx="1055">
                  <c:v>6</c:v>
                </c:pt>
                <c:pt idx="1056">
                  <c:v>7</c:v>
                </c:pt>
                <c:pt idx="1057">
                  <c:v>5</c:v>
                </c:pt>
                <c:pt idx="1058">
                  <c:v>7</c:v>
                </c:pt>
                <c:pt idx="1059">
                  <c:v>7</c:v>
                </c:pt>
                <c:pt idx="1060">
                  <c:v>6</c:v>
                </c:pt>
                <c:pt idx="1061">
                  <c:v>8</c:v>
                </c:pt>
                <c:pt idx="1062">
                  <c:v>6</c:v>
                </c:pt>
                <c:pt idx="1063">
                  <c:v>6</c:v>
                </c:pt>
                <c:pt idx="1064">
                  <c:v>6</c:v>
                </c:pt>
                <c:pt idx="1065">
                  <c:v>6</c:v>
                </c:pt>
                <c:pt idx="1066">
                  <c:v>7</c:v>
                </c:pt>
                <c:pt idx="1067">
                  <c:v>7</c:v>
                </c:pt>
                <c:pt idx="1068">
                  <c:v>7</c:v>
                </c:pt>
                <c:pt idx="1069">
                  <c:v>5</c:v>
                </c:pt>
                <c:pt idx="1070">
                  <c:v>7</c:v>
                </c:pt>
                <c:pt idx="1071">
                  <c:v>5</c:v>
                </c:pt>
                <c:pt idx="1072">
                  <c:v>6</c:v>
                </c:pt>
                <c:pt idx="1073">
                  <c:v>6</c:v>
                </c:pt>
                <c:pt idx="1074">
                  <c:v>5</c:v>
                </c:pt>
                <c:pt idx="1075">
                  <c:v>7</c:v>
                </c:pt>
                <c:pt idx="1076">
                  <c:v>6</c:v>
                </c:pt>
                <c:pt idx="1077">
                  <c:v>5</c:v>
                </c:pt>
                <c:pt idx="1078">
                  <c:v>5</c:v>
                </c:pt>
                <c:pt idx="1079">
                  <c:v>7</c:v>
                </c:pt>
                <c:pt idx="1080">
                  <c:v>6</c:v>
                </c:pt>
                <c:pt idx="1081">
                  <c:v>7</c:v>
                </c:pt>
                <c:pt idx="1082">
                  <c:v>6</c:v>
                </c:pt>
                <c:pt idx="1083">
                  <c:v>6</c:v>
                </c:pt>
                <c:pt idx="1084">
                  <c:v>6</c:v>
                </c:pt>
                <c:pt idx="1085">
                  <c:v>5</c:v>
                </c:pt>
                <c:pt idx="1086">
                  <c:v>7</c:v>
                </c:pt>
                <c:pt idx="1087">
                  <c:v>6</c:v>
                </c:pt>
                <c:pt idx="1088">
                  <c:v>7</c:v>
                </c:pt>
                <c:pt idx="1089">
                  <c:v>7</c:v>
                </c:pt>
                <c:pt idx="1090">
                  <c:v>8</c:v>
                </c:pt>
                <c:pt idx="1091">
                  <c:v>6</c:v>
                </c:pt>
                <c:pt idx="1092">
                  <c:v>6</c:v>
                </c:pt>
                <c:pt idx="1093">
                  <c:v>7</c:v>
                </c:pt>
                <c:pt idx="1094">
                  <c:v>6</c:v>
                </c:pt>
                <c:pt idx="1095">
                  <c:v>5</c:v>
                </c:pt>
                <c:pt idx="1096">
                  <c:v>6</c:v>
                </c:pt>
                <c:pt idx="1097">
                  <c:v>5</c:v>
                </c:pt>
                <c:pt idx="1098">
                  <c:v>7</c:v>
                </c:pt>
                <c:pt idx="1099">
                  <c:v>5</c:v>
                </c:pt>
                <c:pt idx="1100">
                  <c:v>6</c:v>
                </c:pt>
                <c:pt idx="1101">
                  <c:v>6</c:v>
                </c:pt>
                <c:pt idx="1102">
                  <c:v>6</c:v>
                </c:pt>
                <c:pt idx="1103">
                  <c:v>6</c:v>
                </c:pt>
                <c:pt idx="1104">
                  <c:v>6</c:v>
                </c:pt>
                <c:pt idx="1105">
                  <c:v>5</c:v>
                </c:pt>
                <c:pt idx="1106">
                  <c:v>6</c:v>
                </c:pt>
                <c:pt idx="1107">
                  <c:v>7</c:v>
                </c:pt>
                <c:pt idx="1108">
                  <c:v>5</c:v>
                </c:pt>
                <c:pt idx="1109">
                  <c:v>6</c:v>
                </c:pt>
                <c:pt idx="1110">
                  <c:v>6</c:v>
                </c:pt>
                <c:pt idx="1111">
                  <c:v>7</c:v>
                </c:pt>
                <c:pt idx="1112">
                  <c:v>6</c:v>
                </c:pt>
                <c:pt idx="1113">
                  <c:v>6</c:v>
                </c:pt>
                <c:pt idx="1114">
                  <c:v>6</c:v>
                </c:pt>
                <c:pt idx="1115">
                  <c:v>6</c:v>
                </c:pt>
                <c:pt idx="1116">
                  <c:v>6</c:v>
                </c:pt>
                <c:pt idx="1117">
                  <c:v>6</c:v>
                </c:pt>
                <c:pt idx="1118">
                  <c:v>6</c:v>
                </c:pt>
                <c:pt idx="1119">
                  <c:v>5</c:v>
                </c:pt>
                <c:pt idx="1120">
                  <c:v>8</c:v>
                </c:pt>
                <c:pt idx="1121">
                  <c:v>6</c:v>
                </c:pt>
                <c:pt idx="1122">
                  <c:v>6</c:v>
                </c:pt>
                <c:pt idx="1123">
                  <c:v>6</c:v>
                </c:pt>
                <c:pt idx="1124">
                  <c:v>4</c:v>
                </c:pt>
                <c:pt idx="1125">
                  <c:v>7</c:v>
                </c:pt>
                <c:pt idx="1126">
                  <c:v>6</c:v>
                </c:pt>
                <c:pt idx="1127">
                  <c:v>6</c:v>
                </c:pt>
                <c:pt idx="1128">
                  <c:v>5</c:v>
                </c:pt>
                <c:pt idx="1129">
                  <c:v>6</c:v>
                </c:pt>
                <c:pt idx="1130">
                  <c:v>6</c:v>
                </c:pt>
                <c:pt idx="1131">
                  <c:v>5</c:v>
                </c:pt>
                <c:pt idx="1132">
                  <c:v>7</c:v>
                </c:pt>
                <c:pt idx="1133">
                  <c:v>7</c:v>
                </c:pt>
                <c:pt idx="1134">
                  <c:v>7</c:v>
                </c:pt>
                <c:pt idx="1135">
                  <c:v>6</c:v>
                </c:pt>
                <c:pt idx="1136">
                  <c:v>6</c:v>
                </c:pt>
                <c:pt idx="1137">
                  <c:v>6</c:v>
                </c:pt>
                <c:pt idx="1138">
                  <c:v>5</c:v>
                </c:pt>
                <c:pt idx="1139">
                  <c:v>6</c:v>
                </c:pt>
                <c:pt idx="1140">
                  <c:v>6</c:v>
                </c:pt>
                <c:pt idx="1141">
                  <c:v>6</c:v>
                </c:pt>
                <c:pt idx="1142">
                  <c:v>6</c:v>
                </c:pt>
                <c:pt idx="1143">
                  <c:v>6</c:v>
                </c:pt>
                <c:pt idx="1144">
                  <c:v>5</c:v>
                </c:pt>
                <c:pt idx="1145">
                  <c:v>6</c:v>
                </c:pt>
                <c:pt idx="1146">
                  <c:v>6</c:v>
                </c:pt>
                <c:pt idx="1147">
                  <c:v>7</c:v>
                </c:pt>
                <c:pt idx="1148">
                  <c:v>6</c:v>
                </c:pt>
                <c:pt idx="1149">
                  <c:v>6</c:v>
                </c:pt>
                <c:pt idx="1150">
                  <c:v>7</c:v>
                </c:pt>
                <c:pt idx="1151">
                  <c:v>6</c:v>
                </c:pt>
                <c:pt idx="1152">
                  <c:v>5</c:v>
                </c:pt>
                <c:pt idx="1153">
                  <c:v>6</c:v>
                </c:pt>
                <c:pt idx="1154">
                  <c:v>6</c:v>
                </c:pt>
                <c:pt idx="1155">
                  <c:v>5</c:v>
                </c:pt>
                <c:pt idx="1156">
                  <c:v>7</c:v>
                </c:pt>
                <c:pt idx="1157">
                  <c:v>7</c:v>
                </c:pt>
                <c:pt idx="1158">
                  <c:v>6</c:v>
                </c:pt>
                <c:pt idx="1159">
                  <c:v>5</c:v>
                </c:pt>
                <c:pt idx="1160">
                  <c:v>7</c:v>
                </c:pt>
                <c:pt idx="1161">
                  <c:v>6</c:v>
                </c:pt>
                <c:pt idx="1162">
                  <c:v>7</c:v>
                </c:pt>
                <c:pt idx="1163">
                  <c:v>5</c:v>
                </c:pt>
                <c:pt idx="1164">
                  <c:v>5</c:v>
                </c:pt>
                <c:pt idx="1165">
                  <c:v>5</c:v>
                </c:pt>
                <c:pt idx="1166">
                  <c:v>5</c:v>
                </c:pt>
                <c:pt idx="1167">
                  <c:v>7</c:v>
                </c:pt>
                <c:pt idx="1168">
                  <c:v>6</c:v>
                </c:pt>
                <c:pt idx="1169">
                  <c:v>6</c:v>
                </c:pt>
                <c:pt idx="1170">
                  <c:v>6</c:v>
                </c:pt>
                <c:pt idx="1171">
                  <c:v>6</c:v>
                </c:pt>
                <c:pt idx="1172">
                  <c:v>6</c:v>
                </c:pt>
                <c:pt idx="1173">
                  <c:v>6</c:v>
                </c:pt>
                <c:pt idx="1174">
                  <c:v>6</c:v>
                </c:pt>
                <c:pt idx="1175">
                  <c:v>6</c:v>
                </c:pt>
                <c:pt idx="1176">
                  <c:v>4</c:v>
                </c:pt>
                <c:pt idx="1177">
                  <c:v>7</c:v>
                </c:pt>
                <c:pt idx="1178">
                  <c:v>5</c:v>
                </c:pt>
                <c:pt idx="1179">
                  <c:v>6</c:v>
                </c:pt>
                <c:pt idx="1180">
                  <c:v>6</c:v>
                </c:pt>
                <c:pt idx="1181">
                  <c:v>5</c:v>
                </c:pt>
                <c:pt idx="1182">
                  <c:v>6</c:v>
                </c:pt>
                <c:pt idx="1183">
                  <c:v>5</c:v>
                </c:pt>
                <c:pt idx="1184">
                  <c:v>5</c:v>
                </c:pt>
                <c:pt idx="1185">
                  <c:v>6</c:v>
                </c:pt>
                <c:pt idx="1186">
                  <c:v>5</c:v>
                </c:pt>
                <c:pt idx="1187">
                  <c:v>6</c:v>
                </c:pt>
                <c:pt idx="1188">
                  <c:v>5</c:v>
                </c:pt>
                <c:pt idx="1189">
                  <c:v>4</c:v>
                </c:pt>
                <c:pt idx="1190">
                  <c:v>6</c:v>
                </c:pt>
                <c:pt idx="1191">
                  <c:v>5</c:v>
                </c:pt>
                <c:pt idx="1192">
                  <c:v>7</c:v>
                </c:pt>
                <c:pt idx="1193">
                  <c:v>5</c:v>
                </c:pt>
                <c:pt idx="1194">
                  <c:v>6</c:v>
                </c:pt>
                <c:pt idx="1195">
                  <c:v>6</c:v>
                </c:pt>
                <c:pt idx="1196">
                  <c:v>6</c:v>
                </c:pt>
                <c:pt idx="1197">
                  <c:v>6</c:v>
                </c:pt>
                <c:pt idx="1198">
                  <c:v>6</c:v>
                </c:pt>
                <c:pt idx="1199">
                  <c:v>6</c:v>
                </c:pt>
                <c:pt idx="1200">
                  <c:v>6</c:v>
                </c:pt>
                <c:pt idx="1201">
                  <c:v>7</c:v>
                </c:pt>
                <c:pt idx="1202">
                  <c:v>8</c:v>
                </c:pt>
                <c:pt idx="1203">
                  <c:v>5</c:v>
                </c:pt>
                <c:pt idx="1204">
                  <c:v>7</c:v>
                </c:pt>
                <c:pt idx="1205">
                  <c:v>7</c:v>
                </c:pt>
                <c:pt idx="1206">
                  <c:v>7</c:v>
                </c:pt>
                <c:pt idx="1207">
                  <c:v>5</c:v>
                </c:pt>
                <c:pt idx="1208">
                  <c:v>7</c:v>
                </c:pt>
                <c:pt idx="1209">
                  <c:v>7</c:v>
                </c:pt>
                <c:pt idx="1210">
                  <c:v>6</c:v>
                </c:pt>
                <c:pt idx="1211">
                  <c:v>5</c:v>
                </c:pt>
                <c:pt idx="1212">
                  <c:v>6</c:v>
                </c:pt>
                <c:pt idx="1213">
                  <c:v>6</c:v>
                </c:pt>
                <c:pt idx="1214">
                  <c:v>6</c:v>
                </c:pt>
                <c:pt idx="1215">
                  <c:v>6</c:v>
                </c:pt>
                <c:pt idx="1216">
                  <c:v>6</c:v>
                </c:pt>
                <c:pt idx="1217">
                  <c:v>6</c:v>
                </c:pt>
                <c:pt idx="1218">
                  <c:v>6</c:v>
                </c:pt>
                <c:pt idx="1219">
                  <c:v>6</c:v>
                </c:pt>
                <c:pt idx="1220">
                  <c:v>6</c:v>
                </c:pt>
                <c:pt idx="1221">
                  <c:v>6</c:v>
                </c:pt>
                <c:pt idx="1222">
                  <c:v>6</c:v>
                </c:pt>
                <c:pt idx="1223">
                  <c:v>6</c:v>
                </c:pt>
                <c:pt idx="1224">
                  <c:v>6</c:v>
                </c:pt>
                <c:pt idx="1225">
                  <c:v>5</c:v>
                </c:pt>
                <c:pt idx="1226">
                  <c:v>5</c:v>
                </c:pt>
                <c:pt idx="1227">
                  <c:v>5</c:v>
                </c:pt>
                <c:pt idx="1228">
                  <c:v>7</c:v>
                </c:pt>
                <c:pt idx="1229">
                  <c:v>5</c:v>
                </c:pt>
                <c:pt idx="1230">
                  <c:v>6</c:v>
                </c:pt>
                <c:pt idx="1231">
                  <c:v>5</c:v>
                </c:pt>
                <c:pt idx="1232">
                  <c:v>5</c:v>
                </c:pt>
                <c:pt idx="1233">
                  <c:v>4</c:v>
                </c:pt>
                <c:pt idx="1234">
                  <c:v>6</c:v>
                </c:pt>
                <c:pt idx="1235">
                  <c:v>4</c:v>
                </c:pt>
                <c:pt idx="1236">
                  <c:v>6</c:v>
                </c:pt>
                <c:pt idx="1237">
                  <c:v>6</c:v>
                </c:pt>
                <c:pt idx="1238">
                  <c:v>4</c:v>
                </c:pt>
                <c:pt idx="1239">
                  <c:v>4</c:v>
                </c:pt>
                <c:pt idx="1240">
                  <c:v>5</c:v>
                </c:pt>
                <c:pt idx="1241">
                  <c:v>5</c:v>
                </c:pt>
                <c:pt idx="1242">
                  <c:v>6</c:v>
                </c:pt>
                <c:pt idx="1243">
                  <c:v>5</c:v>
                </c:pt>
                <c:pt idx="1244">
                  <c:v>6</c:v>
                </c:pt>
                <c:pt idx="1245">
                  <c:v>5</c:v>
                </c:pt>
                <c:pt idx="1246">
                  <c:v>5</c:v>
                </c:pt>
                <c:pt idx="1247">
                  <c:v>5</c:v>
                </c:pt>
                <c:pt idx="1248">
                  <c:v>6</c:v>
                </c:pt>
                <c:pt idx="1249">
                  <c:v>6</c:v>
                </c:pt>
                <c:pt idx="1250">
                  <c:v>6</c:v>
                </c:pt>
                <c:pt idx="1251">
                  <c:v>5</c:v>
                </c:pt>
                <c:pt idx="1252">
                  <c:v>5</c:v>
                </c:pt>
                <c:pt idx="1253">
                  <c:v>5</c:v>
                </c:pt>
                <c:pt idx="1254">
                  <c:v>5</c:v>
                </c:pt>
                <c:pt idx="1255">
                  <c:v>5</c:v>
                </c:pt>
                <c:pt idx="1256">
                  <c:v>5</c:v>
                </c:pt>
                <c:pt idx="1257">
                  <c:v>6</c:v>
                </c:pt>
                <c:pt idx="1258">
                  <c:v>6</c:v>
                </c:pt>
                <c:pt idx="1259">
                  <c:v>6</c:v>
                </c:pt>
                <c:pt idx="1260">
                  <c:v>5</c:v>
                </c:pt>
                <c:pt idx="1261">
                  <c:v>4</c:v>
                </c:pt>
                <c:pt idx="1262">
                  <c:v>5</c:v>
                </c:pt>
                <c:pt idx="1263">
                  <c:v>4</c:v>
                </c:pt>
                <c:pt idx="1264">
                  <c:v>6</c:v>
                </c:pt>
                <c:pt idx="1265">
                  <c:v>6</c:v>
                </c:pt>
                <c:pt idx="1266">
                  <c:v>6</c:v>
                </c:pt>
                <c:pt idx="1267">
                  <c:v>6</c:v>
                </c:pt>
                <c:pt idx="1268">
                  <c:v>6</c:v>
                </c:pt>
                <c:pt idx="1269">
                  <c:v>8</c:v>
                </c:pt>
                <c:pt idx="1270">
                  <c:v>6</c:v>
                </c:pt>
                <c:pt idx="1271">
                  <c:v>6</c:v>
                </c:pt>
                <c:pt idx="1272">
                  <c:v>5</c:v>
                </c:pt>
                <c:pt idx="1273">
                  <c:v>5</c:v>
                </c:pt>
                <c:pt idx="1274">
                  <c:v>6</c:v>
                </c:pt>
                <c:pt idx="1275">
                  <c:v>6</c:v>
                </c:pt>
                <c:pt idx="1276">
                  <c:v>4</c:v>
                </c:pt>
                <c:pt idx="1277">
                  <c:v>6</c:v>
                </c:pt>
                <c:pt idx="1278">
                  <c:v>6</c:v>
                </c:pt>
                <c:pt idx="1279">
                  <c:v>7</c:v>
                </c:pt>
                <c:pt idx="1280">
                  <c:v>6</c:v>
                </c:pt>
                <c:pt idx="1281">
                  <c:v>6</c:v>
                </c:pt>
                <c:pt idx="1282">
                  <c:v>6</c:v>
                </c:pt>
                <c:pt idx="1283">
                  <c:v>6</c:v>
                </c:pt>
                <c:pt idx="1284">
                  <c:v>5</c:v>
                </c:pt>
                <c:pt idx="1285">
                  <c:v>5</c:v>
                </c:pt>
                <c:pt idx="1286">
                  <c:v>6</c:v>
                </c:pt>
                <c:pt idx="1287">
                  <c:v>5</c:v>
                </c:pt>
                <c:pt idx="1288">
                  <c:v>5</c:v>
                </c:pt>
                <c:pt idx="1289">
                  <c:v>5</c:v>
                </c:pt>
                <c:pt idx="1290">
                  <c:v>5</c:v>
                </c:pt>
                <c:pt idx="1291">
                  <c:v>6</c:v>
                </c:pt>
                <c:pt idx="1292">
                  <c:v>6</c:v>
                </c:pt>
                <c:pt idx="1293">
                  <c:v>4</c:v>
                </c:pt>
                <c:pt idx="1294">
                  <c:v>6</c:v>
                </c:pt>
                <c:pt idx="1295">
                  <c:v>5</c:v>
                </c:pt>
                <c:pt idx="1296">
                  <c:v>5</c:v>
                </c:pt>
                <c:pt idx="1297">
                  <c:v>6</c:v>
                </c:pt>
                <c:pt idx="1298">
                  <c:v>6</c:v>
                </c:pt>
                <c:pt idx="1299">
                  <c:v>3</c:v>
                </c:pt>
                <c:pt idx="1300">
                  <c:v>6</c:v>
                </c:pt>
                <c:pt idx="1301">
                  <c:v>6</c:v>
                </c:pt>
                <c:pt idx="1302">
                  <c:v>6</c:v>
                </c:pt>
                <c:pt idx="1303">
                  <c:v>5</c:v>
                </c:pt>
                <c:pt idx="1304">
                  <c:v>5</c:v>
                </c:pt>
                <c:pt idx="1305">
                  <c:v>5</c:v>
                </c:pt>
                <c:pt idx="1306">
                  <c:v>5</c:v>
                </c:pt>
                <c:pt idx="1307">
                  <c:v>4</c:v>
                </c:pt>
                <c:pt idx="1308">
                  <c:v>5</c:v>
                </c:pt>
                <c:pt idx="1309">
                  <c:v>5</c:v>
                </c:pt>
                <c:pt idx="1310">
                  <c:v>5</c:v>
                </c:pt>
                <c:pt idx="1311">
                  <c:v>6</c:v>
                </c:pt>
                <c:pt idx="1312">
                  <c:v>5</c:v>
                </c:pt>
                <c:pt idx="1313">
                  <c:v>6</c:v>
                </c:pt>
                <c:pt idx="1314">
                  <c:v>6</c:v>
                </c:pt>
                <c:pt idx="1315">
                  <c:v>6</c:v>
                </c:pt>
                <c:pt idx="1316">
                  <c:v>6</c:v>
                </c:pt>
                <c:pt idx="1317">
                  <c:v>6</c:v>
                </c:pt>
                <c:pt idx="1318">
                  <c:v>6</c:v>
                </c:pt>
                <c:pt idx="1319">
                  <c:v>6</c:v>
                </c:pt>
                <c:pt idx="1320">
                  <c:v>5</c:v>
                </c:pt>
                <c:pt idx="1321">
                  <c:v>6</c:v>
                </c:pt>
                <c:pt idx="1322">
                  <c:v>5</c:v>
                </c:pt>
                <c:pt idx="1323">
                  <c:v>7</c:v>
                </c:pt>
                <c:pt idx="1324">
                  <c:v>6</c:v>
                </c:pt>
                <c:pt idx="1325">
                  <c:v>6</c:v>
                </c:pt>
                <c:pt idx="1326">
                  <c:v>6</c:v>
                </c:pt>
                <c:pt idx="1327">
                  <c:v>6</c:v>
                </c:pt>
                <c:pt idx="1328">
                  <c:v>5</c:v>
                </c:pt>
                <c:pt idx="1329">
                  <c:v>6</c:v>
                </c:pt>
                <c:pt idx="1330">
                  <c:v>6</c:v>
                </c:pt>
                <c:pt idx="1331">
                  <c:v>5</c:v>
                </c:pt>
                <c:pt idx="1332">
                  <c:v>6</c:v>
                </c:pt>
                <c:pt idx="1333">
                  <c:v>5</c:v>
                </c:pt>
                <c:pt idx="1334">
                  <c:v>5</c:v>
                </c:pt>
                <c:pt idx="1335">
                  <c:v>6</c:v>
                </c:pt>
                <c:pt idx="1336">
                  <c:v>5</c:v>
                </c:pt>
                <c:pt idx="1337">
                  <c:v>5</c:v>
                </c:pt>
                <c:pt idx="1338">
                  <c:v>5</c:v>
                </c:pt>
                <c:pt idx="1339">
                  <c:v>6</c:v>
                </c:pt>
                <c:pt idx="1340">
                  <c:v>6</c:v>
                </c:pt>
                <c:pt idx="1341">
                  <c:v>6</c:v>
                </c:pt>
                <c:pt idx="1342">
                  <c:v>6</c:v>
                </c:pt>
                <c:pt idx="1343">
                  <c:v>6</c:v>
                </c:pt>
                <c:pt idx="1344">
                  <c:v>5</c:v>
                </c:pt>
                <c:pt idx="1345">
                  <c:v>6</c:v>
                </c:pt>
                <c:pt idx="1346">
                  <c:v>5</c:v>
                </c:pt>
                <c:pt idx="1347">
                  <c:v>5</c:v>
                </c:pt>
                <c:pt idx="1348">
                  <c:v>5</c:v>
                </c:pt>
                <c:pt idx="1349">
                  <c:v>5</c:v>
                </c:pt>
                <c:pt idx="1350">
                  <c:v>5</c:v>
                </c:pt>
                <c:pt idx="1351">
                  <c:v>6</c:v>
                </c:pt>
                <c:pt idx="1352">
                  <c:v>5</c:v>
                </c:pt>
                <c:pt idx="1353">
                  <c:v>5</c:v>
                </c:pt>
                <c:pt idx="1354">
                  <c:v>5</c:v>
                </c:pt>
                <c:pt idx="1355">
                  <c:v>5</c:v>
                </c:pt>
                <c:pt idx="1356">
                  <c:v>5</c:v>
                </c:pt>
                <c:pt idx="1357">
                  <c:v>6</c:v>
                </c:pt>
                <c:pt idx="1358">
                  <c:v>5</c:v>
                </c:pt>
                <c:pt idx="1359">
                  <c:v>6</c:v>
                </c:pt>
                <c:pt idx="1360">
                  <c:v>5</c:v>
                </c:pt>
                <c:pt idx="1361">
                  <c:v>5</c:v>
                </c:pt>
                <c:pt idx="1362">
                  <c:v>6</c:v>
                </c:pt>
                <c:pt idx="1363">
                  <c:v>4</c:v>
                </c:pt>
                <c:pt idx="1364">
                  <c:v>6</c:v>
                </c:pt>
                <c:pt idx="1365">
                  <c:v>5</c:v>
                </c:pt>
                <c:pt idx="1366">
                  <c:v>5</c:v>
                </c:pt>
                <c:pt idx="1367">
                  <c:v>6</c:v>
                </c:pt>
                <c:pt idx="1368">
                  <c:v>6</c:v>
                </c:pt>
                <c:pt idx="1369">
                  <c:v>4</c:v>
                </c:pt>
                <c:pt idx="1370">
                  <c:v>5</c:v>
                </c:pt>
                <c:pt idx="1371">
                  <c:v>6</c:v>
                </c:pt>
                <c:pt idx="1372">
                  <c:v>5</c:v>
                </c:pt>
                <c:pt idx="1373">
                  <c:v>5</c:v>
                </c:pt>
                <c:pt idx="1374">
                  <c:v>3</c:v>
                </c:pt>
                <c:pt idx="1375">
                  <c:v>5</c:v>
                </c:pt>
                <c:pt idx="1376">
                  <c:v>5</c:v>
                </c:pt>
                <c:pt idx="1377">
                  <c:v>6</c:v>
                </c:pt>
                <c:pt idx="1378">
                  <c:v>6</c:v>
                </c:pt>
                <c:pt idx="1379">
                  <c:v>6</c:v>
                </c:pt>
                <c:pt idx="1380">
                  <c:v>6</c:v>
                </c:pt>
                <c:pt idx="1381">
                  <c:v>5</c:v>
                </c:pt>
                <c:pt idx="1382">
                  <c:v>5</c:v>
                </c:pt>
                <c:pt idx="1383">
                  <c:v>5</c:v>
                </c:pt>
                <c:pt idx="1384">
                  <c:v>5</c:v>
                </c:pt>
                <c:pt idx="1385">
                  <c:v>5</c:v>
                </c:pt>
                <c:pt idx="1386">
                  <c:v>5</c:v>
                </c:pt>
                <c:pt idx="1387">
                  <c:v>5</c:v>
                </c:pt>
                <c:pt idx="1388">
                  <c:v>5</c:v>
                </c:pt>
                <c:pt idx="1389">
                  <c:v>5</c:v>
                </c:pt>
                <c:pt idx="1390">
                  <c:v>6</c:v>
                </c:pt>
                <c:pt idx="1391">
                  <c:v>5</c:v>
                </c:pt>
                <c:pt idx="1392">
                  <c:v>5</c:v>
                </c:pt>
                <c:pt idx="1393">
                  <c:v>5</c:v>
                </c:pt>
                <c:pt idx="1394">
                  <c:v>5</c:v>
                </c:pt>
                <c:pt idx="1395">
                  <c:v>6</c:v>
                </c:pt>
                <c:pt idx="1396">
                  <c:v>5</c:v>
                </c:pt>
                <c:pt idx="1397">
                  <c:v>5</c:v>
                </c:pt>
                <c:pt idx="1398">
                  <c:v>7</c:v>
                </c:pt>
                <c:pt idx="1399">
                  <c:v>6</c:v>
                </c:pt>
                <c:pt idx="1400">
                  <c:v>5</c:v>
                </c:pt>
                <c:pt idx="1401">
                  <c:v>5</c:v>
                </c:pt>
                <c:pt idx="1402">
                  <c:v>6</c:v>
                </c:pt>
                <c:pt idx="1403">
                  <c:v>8</c:v>
                </c:pt>
                <c:pt idx="1404">
                  <c:v>6</c:v>
                </c:pt>
                <c:pt idx="1405">
                  <c:v>7</c:v>
                </c:pt>
                <c:pt idx="1406">
                  <c:v>6</c:v>
                </c:pt>
                <c:pt idx="1407">
                  <c:v>6</c:v>
                </c:pt>
                <c:pt idx="1408">
                  <c:v>7</c:v>
                </c:pt>
                <c:pt idx="1409">
                  <c:v>6</c:v>
                </c:pt>
                <c:pt idx="1410">
                  <c:v>6</c:v>
                </c:pt>
                <c:pt idx="1411">
                  <c:v>6</c:v>
                </c:pt>
                <c:pt idx="1412">
                  <c:v>6</c:v>
                </c:pt>
                <c:pt idx="1413">
                  <c:v>5</c:v>
                </c:pt>
                <c:pt idx="1414">
                  <c:v>5</c:v>
                </c:pt>
                <c:pt idx="1415">
                  <c:v>5</c:v>
                </c:pt>
                <c:pt idx="1416">
                  <c:v>5</c:v>
                </c:pt>
                <c:pt idx="1417">
                  <c:v>7</c:v>
                </c:pt>
                <c:pt idx="1418">
                  <c:v>5</c:v>
                </c:pt>
                <c:pt idx="1419">
                  <c:v>5</c:v>
                </c:pt>
                <c:pt idx="1420">
                  <c:v>5</c:v>
                </c:pt>
                <c:pt idx="1421">
                  <c:v>5</c:v>
                </c:pt>
                <c:pt idx="1422">
                  <c:v>6</c:v>
                </c:pt>
                <c:pt idx="1423">
                  <c:v>4</c:v>
                </c:pt>
                <c:pt idx="1424">
                  <c:v>6</c:v>
                </c:pt>
                <c:pt idx="1425">
                  <c:v>6</c:v>
                </c:pt>
                <c:pt idx="1426">
                  <c:v>6</c:v>
                </c:pt>
                <c:pt idx="1427">
                  <c:v>5</c:v>
                </c:pt>
                <c:pt idx="1428">
                  <c:v>5</c:v>
                </c:pt>
                <c:pt idx="1429">
                  <c:v>5</c:v>
                </c:pt>
                <c:pt idx="1430">
                  <c:v>5</c:v>
                </c:pt>
                <c:pt idx="1431">
                  <c:v>6</c:v>
                </c:pt>
                <c:pt idx="1432">
                  <c:v>6</c:v>
                </c:pt>
                <c:pt idx="1433">
                  <c:v>7</c:v>
                </c:pt>
                <c:pt idx="1434">
                  <c:v>6</c:v>
                </c:pt>
                <c:pt idx="1435">
                  <c:v>6</c:v>
                </c:pt>
                <c:pt idx="1436">
                  <c:v>5</c:v>
                </c:pt>
                <c:pt idx="1437">
                  <c:v>5</c:v>
                </c:pt>
                <c:pt idx="1438">
                  <c:v>5</c:v>
                </c:pt>
                <c:pt idx="1439">
                  <c:v>6</c:v>
                </c:pt>
                <c:pt idx="1440">
                  <c:v>7</c:v>
                </c:pt>
                <c:pt idx="1441">
                  <c:v>6</c:v>
                </c:pt>
                <c:pt idx="1442">
                  <c:v>5</c:v>
                </c:pt>
                <c:pt idx="1443">
                  <c:v>5</c:v>
                </c:pt>
                <c:pt idx="1444">
                  <c:v>6</c:v>
                </c:pt>
                <c:pt idx="1445">
                  <c:v>6</c:v>
                </c:pt>
                <c:pt idx="1446">
                  <c:v>5</c:v>
                </c:pt>
                <c:pt idx="1447">
                  <c:v>5</c:v>
                </c:pt>
                <c:pt idx="1448">
                  <c:v>5</c:v>
                </c:pt>
                <c:pt idx="1449">
                  <c:v>8</c:v>
                </c:pt>
                <c:pt idx="1450">
                  <c:v>7</c:v>
                </c:pt>
                <c:pt idx="1451">
                  <c:v>7</c:v>
                </c:pt>
                <c:pt idx="1452">
                  <c:v>7</c:v>
                </c:pt>
                <c:pt idx="1453">
                  <c:v>5</c:v>
                </c:pt>
                <c:pt idx="1454">
                  <c:v>6</c:v>
                </c:pt>
                <c:pt idx="1455">
                  <c:v>6</c:v>
                </c:pt>
                <c:pt idx="1456">
                  <c:v>6</c:v>
                </c:pt>
                <c:pt idx="1457">
                  <c:v>5</c:v>
                </c:pt>
                <c:pt idx="1458">
                  <c:v>5</c:v>
                </c:pt>
                <c:pt idx="1459">
                  <c:v>7</c:v>
                </c:pt>
                <c:pt idx="1460">
                  <c:v>6</c:v>
                </c:pt>
                <c:pt idx="1461">
                  <c:v>4</c:v>
                </c:pt>
                <c:pt idx="1462">
                  <c:v>6</c:v>
                </c:pt>
                <c:pt idx="1463">
                  <c:v>6</c:v>
                </c:pt>
                <c:pt idx="1464">
                  <c:v>5</c:v>
                </c:pt>
                <c:pt idx="1465">
                  <c:v>5</c:v>
                </c:pt>
                <c:pt idx="1466">
                  <c:v>7</c:v>
                </c:pt>
                <c:pt idx="1467">
                  <c:v>4</c:v>
                </c:pt>
                <c:pt idx="1468">
                  <c:v>7</c:v>
                </c:pt>
                <c:pt idx="1469">
                  <c:v>3</c:v>
                </c:pt>
                <c:pt idx="1470">
                  <c:v>5</c:v>
                </c:pt>
                <c:pt idx="1471">
                  <c:v>5</c:v>
                </c:pt>
                <c:pt idx="1472">
                  <c:v>6</c:v>
                </c:pt>
                <c:pt idx="1473">
                  <c:v>5</c:v>
                </c:pt>
                <c:pt idx="1474">
                  <c:v>5</c:v>
                </c:pt>
                <c:pt idx="1475">
                  <c:v>7</c:v>
                </c:pt>
                <c:pt idx="1476">
                  <c:v>5</c:v>
                </c:pt>
                <c:pt idx="1477">
                  <c:v>7</c:v>
                </c:pt>
                <c:pt idx="1478">
                  <c:v>3</c:v>
                </c:pt>
                <c:pt idx="1479">
                  <c:v>5</c:v>
                </c:pt>
                <c:pt idx="1480">
                  <c:v>4</c:v>
                </c:pt>
                <c:pt idx="1481">
                  <c:v>5</c:v>
                </c:pt>
                <c:pt idx="1482">
                  <c:v>4</c:v>
                </c:pt>
                <c:pt idx="1483">
                  <c:v>5</c:v>
                </c:pt>
                <c:pt idx="1484">
                  <c:v>4</c:v>
                </c:pt>
                <c:pt idx="1485">
                  <c:v>5</c:v>
                </c:pt>
                <c:pt idx="1486">
                  <c:v>5</c:v>
                </c:pt>
                <c:pt idx="1487">
                  <c:v>5</c:v>
                </c:pt>
                <c:pt idx="1488">
                  <c:v>5</c:v>
                </c:pt>
                <c:pt idx="1489">
                  <c:v>6</c:v>
                </c:pt>
                <c:pt idx="1490">
                  <c:v>6</c:v>
                </c:pt>
                <c:pt idx="1491">
                  <c:v>5</c:v>
                </c:pt>
                <c:pt idx="1492">
                  <c:v>5</c:v>
                </c:pt>
                <c:pt idx="1493">
                  <c:v>5</c:v>
                </c:pt>
                <c:pt idx="1494">
                  <c:v>7</c:v>
                </c:pt>
                <c:pt idx="1495">
                  <c:v>6</c:v>
                </c:pt>
                <c:pt idx="1496">
                  <c:v>5</c:v>
                </c:pt>
                <c:pt idx="1497">
                  <c:v>6</c:v>
                </c:pt>
                <c:pt idx="1498">
                  <c:v>6</c:v>
                </c:pt>
                <c:pt idx="1499">
                  <c:v>6</c:v>
                </c:pt>
                <c:pt idx="1500">
                  <c:v>5</c:v>
                </c:pt>
                <c:pt idx="1501">
                  <c:v>5</c:v>
                </c:pt>
                <c:pt idx="1502">
                  <c:v>5</c:v>
                </c:pt>
                <c:pt idx="1503">
                  <c:v>6</c:v>
                </c:pt>
                <c:pt idx="1504">
                  <c:v>6</c:v>
                </c:pt>
                <c:pt idx="1505">
                  <c:v>3</c:v>
                </c:pt>
                <c:pt idx="1506">
                  <c:v>6</c:v>
                </c:pt>
                <c:pt idx="1507">
                  <c:v>6</c:v>
                </c:pt>
                <c:pt idx="1508">
                  <c:v>6</c:v>
                </c:pt>
                <c:pt idx="1509">
                  <c:v>5</c:v>
                </c:pt>
                <c:pt idx="1510">
                  <c:v>6</c:v>
                </c:pt>
                <c:pt idx="1511">
                  <c:v>5</c:v>
                </c:pt>
                <c:pt idx="1512">
                  <c:v>6</c:v>
                </c:pt>
                <c:pt idx="1513">
                  <c:v>6</c:v>
                </c:pt>
                <c:pt idx="1514">
                  <c:v>6</c:v>
                </c:pt>
                <c:pt idx="1515">
                  <c:v>6</c:v>
                </c:pt>
                <c:pt idx="1516">
                  <c:v>5</c:v>
                </c:pt>
                <c:pt idx="1517">
                  <c:v>6</c:v>
                </c:pt>
                <c:pt idx="1518">
                  <c:v>5</c:v>
                </c:pt>
                <c:pt idx="1519">
                  <c:v>5</c:v>
                </c:pt>
                <c:pt idx="1520">
                  <c:v>6</c:v>
                </c:pt>
                <c:pt idx="1521">
                  <c:v>4</c:v>
                </c:pt>
                <c:pt idx="1522">
                  <c:v>5</c:v>
                </c:pt>
                <c:pt idx="1523">
                  <c:v>5</c:v>
                </c:pt>
                <c:pt idx="1524">
                  <c:v>6</c:v>
                </c:pt>
                <c:pt idx="1525">
                  <c:v>5</c:v>
                </c:pt>
                <c:pt idx="1526">
                  <c:v>6</c:v>
                </c:pt>
                <c:pt idx="1527">
                  <c:v>6</c:v>
                </c:pt>
                <c:pt idx="1528">
                  <c:v>6</c:v>
                </c:pt>
                <c:pt idx="1529">
                  <c:v>6</c:v>
                </c:pt>
                <c:pt idx="1530">
                  <c:v>6</c:v>
                </c:pt>
                <c:pt idx="1531">
                  <c:v>5</c:v>
                </c:pt>
                <c:pt idx="1532">
                  <c:v>6</c:v>
                </c:pt>
                <c:pt idx="1533">
                  <c:v>5</c:v>
                </c:pt>
                <c:pt idx="1534">
                  <c:v>7</c:v>
                </c:pt>
                <c:pt idx="1535">
                  <c:v>6</c:v>
                </c:pt>
                <c:pt idx="1536">
                  <c:v>6</c:v>
                </c:pt>
                <c:pt idx="1537">
                  <c:v>6</c:v>
                </c:pt>
                <c:pt idx="1538">
                  <c:v>5</c:v>
                </c:pt>
                <c:pt idx="1539">
                  <c:v>5</c:v>
                </c:pt>
                <c:pt idx="1540">
                  <c:v>6</c:v>
                </c:pt>
                <c:pt idx="1541">
                  <c:v>7</c:v>
                </c:pt>
                <c:pt idx="1542">
                  <c:v>6</c:v>
                </c:pt>
                <c:pt idx="1543">
                  <c:v>6</c:v>
                </c:pt>
                <c:pt idx="1544">
                  <c:v>7</c:v>
                </c:pt>
                <c:pt idx="1545">
                  <c:v>6</c:v>
                </c:pt>
                <c:pt idx="1546">
                  <c:v>5</c:v>
                </c:pt>
                <c:pt idx="1547">
                  <c:v>5</c:v>
                </c:pt>
                <c:pt idx="1548">
                  <c:v>5</c:v>
                </c:pt>
                <c:pt idx="1549">
                  <c:v>8</c:v>
                </c:pt>
                <c:pt idx="1550">
                  <c:v>5</c:v>
                </c:pt>
                <c:pt idx="1551">
                  <c:v>5</c:v>
                </c:pt>
                <c:pt idx="1552">
                  <c:v>6</c:v>
                </c:pt>
                <c:pt idx="1553">
                  <c:v>5</c:v>
                </c:pt>
                <c:pt idx="1554">
                  <c:v>6</c:v>
                </c:pt>
                <c:pt idx="1555">
                  <c:v>7</c:v>
                </c:pt>
                <c:pt idx="1556">
                  <c:v>5</c:v>
                </c:pt>
                <c:pt idx="1557">
                  <c:v>6</c:v>
                </c:pt>
                <c:pt idx="1558">
                  <c:v>5</c:v>
                </c:pt>
                <c:pt idx="1559">
                  <c:v>5</c:v>
                </c:pt>
                <c:pt idx="1560">
                  <c:v>5</c:v>
                </c:pt>
                <c:pt idx="1561">
                  <c:v>5</c:v>
                </c:pt>
                <c:pt idx="1562">
                  <c:v>5</c:v>
                </c:pt>
                <c:pt idx="1563">
                  <c:v>5</c:v>
                </c:pt>
                <c:pt idx="1564">
                  <c:v>5</c:v>
                </c:pt>
                <c:pt idx="1565">
                  <c:v>6</c:v>
                </c:pt>
                <c:pt idx="1566">
                  <c:v>6</c:v>
                </c:pt>
                <c:pt idx="1567">
                  <c:v>5</c:v>
                </c:pt>
                <c:pt idx="1568">
                  <c:v>5</c:v>
                </c:pt>
                <c:pt idx="1569">
                  <c:v>6</c:v>
                </c:pt>
                <c:pt idx="1570">
                  <c:v>6</c:v>
                </c:pt>
                <c:pt idx="1571">
                  <c:v>6</c:v>
                </c:pt>
                <c:pt idx="1572">
                  <c:v>5</c:v>
                </c:pt>
                <c:pt idx="1573">
                  <c:v>6</c:v>
                </c:pt>
                <c:pt idx="1574">
                  <c:v>6</c:v>
                </c:pt>
                <c:pt idx="1575">
                  <c:v>6</c:v>
                </c:pt>
                <c:pt idx="1576">
                  <c:v>6</c:v>
                </c:pt>
                <c:pt idx="1577">
                  <c:v>6</c:v>
                </c:pt>
                <c:pt idx="1578">
                  <c:v>6</c:v>
                </c:pt>
                <c:pt idx="1579">
                  <c:v>5</c:v>
                </c:pt>
                <c:pt idx="1580">
                  <c:v>6</c:v>
                </c:pt>
                <c:pt idx="1581">
                  <c:v>5</c:v>
                </c:pt>
                <c:pt idx="1582">
                  <c:v>5</c:v>
                </c:pt>
                <c:pt idx="1583">
                  <c:v>5</c:v>
                </c:pt>
                <c:pt idx="1584">
                  <c:v>7</c:v>
                </c:pt>
                <c:pt idx="1585">
                  <c:v>6</c:v>
                </c:pt>
                <c:pt idx="1586">
                  <c:v>6</c:v>
                </c:pt>
                <c:pt idx="1587">
                  <c:v>6</c:v>
                </c:pt>
                <c:pt idx="1588">
                  <c:v>6</c:v>
                </c:pt>
                <c:pt idx="1589">
                  <c:v>5</c:v>
                </c:pt>
                <c:pt idx="1590">
                  <c:v>6</c:v>
                </c:pt>
                <c:pt idx="1591">
                  <c:v>6</c:v>
                </c:pt>
                <c:pt idx="1592">
                  <c:v>6</c:v>
                </c:pt>
                <c:pt idx="1593">
                  <c:v>6</c:v>
                </c:pt>
                <c:pt idx="1594">
                  <c:v>5</c:v>
                </c:pt>
                <c:pt idx="1595">
                  <c:v>6</c:v>
                </c:pt>
                <c:pt idx="1596">
                  <c:v>6</c:v>
                </c:pt>
                <c:pt idx="1597">
                  <c:v>5</c:v>
                </c:pt>
                <c:pt idx="1598">
                  <c:v>6</c:v>
                </c:pt>
              </c:numCache>
            </c:numRef>
          </c:yVal>
          <c:smooth val="0"/>
          <c:extLst>
            <c:ext xmlns:c16="http://schemas.microsoft.com/office/drawing/2014/chart" uri="{C3380CC4-5D6E-409C-BE32-E72D297353CC}">
              <c16:uniqueId val="{00000000-32D4-4FF9-B154-206F23E3ADD1}"/>
            </c:ext>
          </c:extLst>
        </c:ser>
        <c:dLbls>
          <c:showLegendKey val="0"/>
          <c:showVal val="0"/>
          <c:showCatName val="0"/>
          <c:showSerName val="0"/>
          <c:showPercent val="0"/>
          <c:showBubbleSize val="0"/>
        </c:dLbls>
        <c:axId val="1221437743"/>
        <c:axId val="1221436783"/>
      </c:scatterChart>
      <c:valAx>
        <c:axId val="1221437743"/>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1436783"/>
        <c:crosses val="autoZero"/>
        <c:crossBetween val="midCat"/>
      </c:valAx>
      <c:valAx>
        <c:axId val="122143678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1437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[winequality.xlsx]Sheet2!PivotTable5</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Berlin Sans FB Demi" panose="020E0802020502020306" pitchFamily="34" charset="0"/>
                <a:ea typeface="+mn-ea"/>
                <a:cs typeface="+mn-cs"/>
              </a:defRPr>
            </a:pPr>
            <a:r>
              <a:rPr lang="en-IN" sz="1400" b="0" i="0" u="none" strike="noStrike" baseline="0">
                <a:latin typeface="Berlin Sans FB Demi" panose="020E0802020502020306" pitchFamily="34" charset="0"/>
              </a:rPr>
              <a:t>Average Chemical Properties by Quality</a:t>
            </a:r>
            <a:endParaRPr lang="en-IN">
              <a:latin typeface="Berlin Sans FB Demi" panose="020E0802020502020306" pitchFamily="34" charset="0"/>
            </a:endParaRPr>
          </a:p>
        </c:rich>
      </c:tx>
      <c:layout>
        <c:manualLayout>
          <c:xMode val="edge"/>
          <c:yMode val="edge"/>
          <c:x val="0.1615082422620880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Berlin Sans FB Demi" panose="020E0802020502020306"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6036736184277"/>
          <c:y val="5.0925925925925923E-2"/>
          <c:w val="0.65179024322810508"/>
          <c:h val="0.86482283464566934"/>
        </c:manualLayout>
      </c:layout>
      <c:barChart>
        <c:barDir val="col"/>
        <c:grouping val="clustered"/>
        <c:varyColors val="0"/>
        <c:ser>
          <c:idx val="0"/>
          <c:order val="0"/>
          <c:tx>
            <c:strRef>
              <c:f>Sheet2!$H$5</c:f>
              <c:strCache>
                <c:ptCount val="1"/>
                <c:pt idx="0">
                  <c:v>Average of alcohol</c:v>
                </c:pt>
              </c:strCache>
            </c:strRef>
          </c:tx>
          <c:spPr>
            <a:solidFill>
              <a:schemeClr val="accent5">
                <a:lumMod val="60000"/>
                <a:lumOff val="40000"/>
              </a:schemeClr>
            </a:solidFill>
            <a:ln>
              <a:noFill/>
            </a:ln>
            <a:effectLst/>
          </c:spPr>
          <c:invertIfNegative val="0"/>
          <c:cat>
            <c:strRef>
              <c:f>Sheet2!$G$6:$G$9</c:f>
              <c:strCache>
                <c:ptCount val="3"/>
                <c:pt idx="0">
                  <c:v>High</c:v>
                </c:pt>
                <c:pt idx="1">
                  <c:v>Low</c:v>
                </c:pt>
                <c:pt idx="2">
                  <c:v>Medium</c:v>
                </c:pt>
              </c:strCache>
            </c:strRef>
          </c:cat>
          <c:val>
            <c:numRef>
              <c:f>Sheet2!$H$6:$H$9</c:f>
              <c:numCache>
                <c:formatCode>0.00</c:formatCode>
                <c:ptCount val="3"/>
                <c:pt idx="0">
                  <c:v>11.518049155145922</c:v>
                </c:pt>
                <c:pt idx="1">
                  <c:v>10.215873015873015</c:v>
                </c:pt>
                <c:pt idx="2">
                  <c:v>10.252716704574146</c:v>
                </c:pt>
              </c:numCache>
            </c:numRef>
          </c:val>
          <c:extLst>
            <c:ext xmlns:c16="http://schemas.microsoft.com/office/drawing/2014/chart" uri="{C3380CC4-5D6E-409C-BE32-E72D297353CC}">
              <c16:uniqueId val="{00000000-A0B3-46AB-87A2-DF7302966C73}"/>
            </c:ext>
          </c:extLst>
        </c:ser>
        <c:ser>
          <c:idx val="1"/>
          <c:order val="1"/>
          <c:tx>
            <c:strRef>
              <c:f>Sheet2!$I$5</c:f>
              <c:strCache>
                <c:ptCount val="1"/>
                <c:pt idx="0">
                  <c:v>Average of citric acid</c:v>
                </c:pt>
              </c:strCache>
            </c:strRef>
          </c:tx>
          <c:spPr>
            <a:solidFill>
              <a:schemeClr val="accent2"/>
            </a:solidFill>
            <a:ln>
              <a:noFill/>
            </a:ln>
            <a:effectLst/>
          </c:spPr>
          <c:invertIfNegative val="0"/>
          <c:cat>
            <c:strRef>
              <c:f>Sheet2!$G$6:$G$9</c:f>
              <c:strCache>
                <c:ptCount val="3"/>
                <c:pt idx="0">
                  <c:v>High</c:v>
                </c:pt>
                <c:pt idx="1">
                  <c:v>Low</c:v>
                </c:pt>
                <c:pt idx="2">
                  <c:v>Medium</c:v>
                </c:pt>
              </c:strCache>
            </c:strRef>
          </c:cat>
          <c:val>
            <c:numRef>
              <c:f>Sheet2!$I$6:$I$9</c:f>
              <c:numCache>
                <c:formatCode>0.00</c:formatCode>
                <c:ptCount val="3"/>
                <c:pt idx="0">
                  <c:v>0.37649769585253456</c:v>
                </c:pt>
                <c:pt idx="1">
                  <c:v>0.17365079365079364</c:v>
                </c:pt>
                <c:pt idx="2">
                  <c:v>0.25826383623957477</c:v>
                </c:pt>
              </c:numCache>
            </c:numRef>
          </c:val>
          <c:extLst>
            <c:ext xmlns:c16="http://schemas.microsoft.com/office/drawing/2014/chart" uri="{C3380CC4-5D6E-409C-BE32-E72D297353CC}">
              <c16:uniqueId val="{00000001-A0B3-46AB-87A2-DF7302966C73}"/>
            </c:ext>
          </c:extLst>
        </c:ser>
        <c:ser>
          <c:idx val="2"/>
          <c:order val="2"/>
          <c:tx>
            <c:strRef>
              <c:f>Sheet2!$J$5</c:f>
              <c:strCache>
                <c:ptCount val="1"/>
                <c:pt idx="0">
                  <c:v>Average of volatile acidity</c:v>
                </c:pt>
              </c:strCache>
            </c:strRef>
          </c:tx>
          <c:spPr>
            <a:solidFill>
              <a:schemeClr val="bg1"/>
            </a:solidFill>
            <a:ln>
              <a:noFill/>
            </a:ln>
            <a:effectLst/>
          </c:spPr>
          <c:invertIfNegative val="0"/>
          <c:cat>
            <c:strRef>
              <c:f>Sheet2!$G$6:$G$9</c:f>
              <c:strCache>
                <c:ptCount val="3"/>
                <c:pt idx="0">
                  <c:v>High</c:v>
                </c:pt>
                <c:pt idx="1">
                  <c:v>Low</c:v>
                </c:pt>
                <c:pt idx="2">
                  <c:v>Medium</c:v>
                </c:pt>
              </c:strCache>
            </c:strRef>
          </c:cat>
          <c:val>
            <c:numRef>
              <c:f>Sheet2!$J$6:$J$9</c:f>
              <c:numCache>
                <c:formatCode>0.00</c:formatCode>
                <c:ptCount val="3"/>
                <c:pt idx="0">
                  <c:v>0.40552995391705077</c:v>
                </c:pt>
                <c:pt idx="1">
                  <c:v>0.72420634920634863</c:v>
                </c:pt>
                <c:pt idx="2">
                  <c:v>0.53855951478392761</c:v>
                </c:pt>
              </c:numCache>
            </c:numRef>
          </c:val>
          <c:extLst>
            <c:ext xmlns:c16="http://schemas.microsoft.com/office/drawing/2014/chart" uri="{C3380CC4-5D6E-409C-BE32-E72D297353CC}">
              <c16:uniqueId val="{00000002-A0B3-46AB-87A2-DF7302966C73}"/>
            </c:ext>
          </c:extLst>
        </c:ser>
        <c:ser>
          <c:idx val="3"/>
          <c:order val="3"/>
          <c:tx>
            <c:strRef>
              <c:f>Sheet2!$K$5</c:f>
              <c:strCache>
                <c:ptCount val="1"/>
                <c:pt idx="0">
                  <c:v>Average of pH</c:v>
                </c:pt>
              </c:strCache>
            </c:strRef>
          </c:tx>
          <c:spPr>
            <a:solidFill>
              <a:schemeClr val="accent4"/>
            </a:solidFill>
            <a:ln>
              <a:noFill/>
            </a:ln>
            <a:effectLst/>
          </c:spPr>
          <c:invertIfNegative val="0"/>
          <c:cat>
            <c:strRef>
              <c:f>Sheet2!$G$6:$G$9</c:f>
              <c:strCache>
                <c:ptCount val="3"/>
                <c:pt idx="0">
                  <c:v>High</c:v>
                </c:pt>
                <c:pt idx="1">
                  <c:v>Low</c:v>
                </c:pt>
                <c:pt idx="2">
                  <c:v>Medium</c:v>
                </c:pt>
              </c:strCache>
            </c:strRef>
          </c:cat>
          <c:val>
            <c:numRef>
              <c:f>Sheet2!$K$6:$K$9</c:f>
              <c:numCache>
                <c:formatCode>0.00</c:formatCode>
                <c:ptCount val="3"/>
                <c:pt idx="0">
                  <c:v>3.2888018433179704</c:v>
                </c:pt>
                <c:pt idx="1">
                  <c:v>3.384126984126985</c:v>
                </c:pt>
                <c:pt idx="2">
                  <c:v>3.3112964366944673</c:v>
                </c:pt>
              </c:numCache>
            </c:numRef>
          </c:val>
          <c:extLst>
            <c:ext xmlns:c16="http://schemas.microsoft.com/office/drawing/2014/chart" uri="{C3380CC4-5D6E-409C-BE32-E72D297353CC}">
              <c16:uniqueId val="{00000003-A0B3-46AB-87A2-DF7302966C73}"/>
            </c:ext>
          </c:extLst>
        </c:ser>
        <c:dLbls>
          <c:showLegendKey val="0"/>
          <c:showVal val="0"/>
          <c:showCatName val="0"/>
          <c:showSerName val="0"/>
          <c:showPercent val="0"/>
          <c:showBubbleSize val="0"/>
        </c:dLbls>
        <c:gapWidth val="219"/>
        <c:overlap val="-27"/>
        <c:axId val="951945248"/>
        <c:axId val="951951968"/>
      </c:barChart>
      <c:catAx>
        <c:axId val="95194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1951968"/>
        <c:crosses val="autoZero"/>
        <c:auto val="1"/>
        <c:lblAlgn val="ctr"/>
        <c:lblOffset val="100"/>
        <c:noMultiLvlLbl val="0"/>
      </c:catAx>
      <c:valAx>
        <c:axId val="951951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1945248"/>
        <c:crosses val="autoZero"/>
        <c:crossBetween val="between"/>
      </c:valAx>
      <c:spPr>
        <a:noFill/>
        <a:ln>
          <a:noFill/>
        </a:ln>
        <a:effectLst/>
      </c:spPr>
    </c:plotArea>
    <c:legend>
      <c:legendPos val="r"/>
      <c:layout>
        <c:manualLayout>
          <c:xMode val="edge"/>
          <c:yMode val="edge"/>
          <c:x val="0.66115548633229115"/>
          <c:y val="0.11957613871208614"/>
          <c:w val="0.33884451366770885"/>
          <c:h val="0.6213498071915540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[winequality.xlsx]Sheet2!PivotTable13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latin typeface="Berlin Sans FB Demi" panose="020E0802020502020306" pitchFamily="34" charset="0"/>
              </a:rPr>
              <a:t>Total</a:t>
            </a:r>
            <a:r>
              <a:rPr lang="en-US" sz="1600" baseline="0">
                <a:latin typeface="Berlin Sans FB Demi" panose="020E0802020502020306" pitchFamily="34" charset="0"/>
              </a:rPr>
              <a:t> number of Red wine and white wine</a:t>
            </a:r>
            <a:endParaRPr lang="en-US" sz="1600">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
        <c:idx val="4"/>
        <c:spPr>
          <a:solidFill>
            <a:srgbClr val="C00000"/>
          </a:solidFill>
          <a:ln>
            <a:noFill/>
          </a:ln>
          <a:effectLst/>
        </c:spPr>
      </c:pivotFmt>
    </c:pivotFmts>
    <c:plotArea>
      <c:layout/>
      <c:barChart>
        <c:barDir val="bar"/>
        <c:grouping val="clustered"/>
        <c:varyColors val="0"/>
        <c:ser>
          <c:idx val="0"/>
          <c:order val="0"/>
          <c:tx>
            <c:strRef>
              <c:f>Sheet2!$L$26</c:f>
              <c:strCache>
                <c:ptCount val="1"/>
                <c:pt idx="0">
                  <c:v>Total</c:v>
                </c:pt>
              </c:strCache>
            </c:strRef>
          </c:tx>
          <c:spPr>
            <a:solidFill>
              <a:srgbClr val="FF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2F57-4D5A-8FB3-DB85E7ED4EBD}"/>
              </c:ext>
            </c:extLst>
          </c:dPt>
          <c:dPt>
            <c:idx val="1"/>
            <c:invertIfNegative val="0"/>
            <c:bubble3D val="0"/>
            <c:spPr>
              <a:solidFill>
                <a:schemeClr val="bg1"/>
              </a:solidFill>
              <a:ln>
                <a:noFill/>
              </a:ln>
              <a:effectLst/>
            </c:spPr>
            <c:extLst>
              <c:ext xmlns:c16="http://schemas.microsoft.com/office/drawing/2014/chart" uri="{C3380CC4-5D6E-409C-BE32-E72D297353CC}">
                <c16:uniqueId val="{00000001-2F57-4D5A-8FB3-DB85E7ED4EBD}"/>
              </c:ext>
            </c:extLst>
          </c:dPt>
          <c:cat>
            <c:strRef>
              <c:f>Sheet2!$K$27:$K$29</c:f>
              <c:strCache>
                <c:ptCount val="2"/>
                <c:pt idx="0">
                  <c:v>Red wine</c:v>
                </c:pt>
                <c:pt idx="1">
                  <c:v>White wine</c:v>
                </c:pt>
              </c:strCache>
            </c:strRef>
          </c:cat>
          <c:val>
            <c:numRef>
              <c:f>Sheet2!$L$27:$L$29</c:f>
              <c:numCache>
                <c:formatCode>General</c:formatCode>
                <c:ptCount val="2"/>
                <c:pt idx="0">
                  <c:v>848</c:v>
                </c:pt>
                <c:pt idx="1">
                  <c:v>751</c:v>
                </c:pt>
              </c:numCache>
            </c:numRef>
          </c:val>
          <c:extLst>
            <c:ext xmlns:c16="http://schemas.microsoft.com/office/drawing/2014/chart" uri="{C3380CC4-5D6E-409C-BE32-E72D297353CC}">
              <c16:uniqueId val="{00000000-2F57-4D5A-8FB3-DB85E7ED4EBD}"/>
            </c:ext>
          </c:extLst>
        </c:ser>
        <c:dLbls>
          <c:showLegendKey val="0"/>
          <c:showVal val="0"/>
          <c:showCatName val="0"/>
          <c:showSerName val="0"/>
          <c:showPercent val="0"/>
          <c:showBubbleSize val="0"/>
        </c:dLbls>
        <c:gapWidth val="182"/>
        <c:axId val="952004288"/>
        <c:axId val="952007648"/>
      </c:barChart>
      <c:catAx>
        <c:axId val="95200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2007648"/>
        <c:crosses val="autoZero"/>
        <c:auto val="1"/>
        <c:lblAlgn val="ctr"/>
        <c:lblOffset val="100"/>
        <c:noMultiLvlLbl val="0"/>
      </c:catAx>
      <c:valAx>
        <c:axId val="952007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200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Alcohol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Alcohol</a:t>
          </a:r>
        </a:p>
      </cx:txPr>
    </cx:title>
    <cx:plotArea>
      <cx:plotAreaRegion>
        <cx:series layoutId="clusteredColumn" uniqueId="{391AF428-8371-4D74-9314-C58092A63650}">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_xlchart.v1.2</cx:f>
      </cx:numDim>
    </cx:data>
  </cx:chartData>
  <cx:chart>
    <cx:title pos="t" align="ctr" overlay="0">
      <cx:tx>
        <cx:txData>
          <cx:v>pH distribusion by quality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pH distribusion by quality</a:t>
          </a:r>
        </a:p>
      </cx:txPr>
    </cx:title>
    <cx:plotArea>
      <cx:plotAreaRegion>
        <cx:series layoutId="boxWhisker" uniqueId="{ADDB0929-F4A4-4FE4-B0A1-55757AE6CEF9}" formatIdx="1">
          <cx:tx>
            <cx:txData>
              <cx:f>_xlchart.v1.1</cx:f>
              <cx:v>pH</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spPr>
    <a:ln>
      <a:solidFill>
        <a:schemeClr val="accent1">
          <a:alpha val="92000"/>
        </a:schemeClr>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_xlchart.v1.5</cx:f>
      </cx:numDim>
    </cx:data>
  </cx:chartData>
  <cx:chart>
    <cx:title pos="t" align="ctr" overlay="0"/>
    <cx:plotArea>
      <cx:plotAreaRegion>
        <cx:series layoutId="boxWhisker" uniqueId="{C6B04F1B-CE70-4332-B5EB-91ED127F028B}">
          <cx:dataId val="0"/>
          <cx:layoutPr>
            <cx:visibility meanLine="0" meanMarker="1" nonoutliers="0" outliers="1"/>
            <cx:statistics quartileMethod="exclusive"/>
          </cx:layoutPr>
        </cx:series>
        <cx:series layoutId="boxWhisker" uniqueId="{640A711D-931F-45BA-B10F-7EEDCDB6BD1D}">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3.xml"/><Relationship Id="rId5" Type="http://schemas.openxmlformats.org/officeDocument/2006/relationships/chart" Target="../charts/chart2.xml"/><Relationship Id="rId4" Type="http://schemas.microsoft.com/office/2014/relationships/chartEx" Target="../charts/chartEx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eg"/><Relationship Id="rId6"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6</xdr:col>
      <xdr:colOff>225287</xdr:colOff>
      <xdr:row>895</xdr:row>
      <xdr:rowOff>0</xdr:rowOff>
    </xdr:from>
    <xdr:to>
      <xdr:col>7</xdr:col>
      <xdr:colOff>541683</xdr:colOff>
      <xdr:row>908</xdr:row>
      <xdr:rowOff>89535</xdr:rowOff>
    </xdr:to>
    <mc:AlternateContent xmlns:mc="http://schemas.openxmlformats.org/markup-compatibility/2006" xmlns:sle15="http://schemas.microsoft.com/office/drawing/2012/slicer">
      <mc:Choice Requires="sle15">
        <xdr:graphicFrame macro="">
          <xdr:nvGraphicFramePr>
            <xdr:cNvPr id="4" name="quality_category">
              <a:extLst>
                <a:ext uri="{FF2B5EF4-FFF2-40B4-BE49-F238E27FC236}">
                  <a16:creationId xmlns:a16="http://schemas.microsoft.com/office/drawing/2014/main" id="{76C34BB8-C0B4-DF42-F929-B49AE6B0DE67}"/>
                </a:ext>
              </a:extLst>
            </xdr:cNvPr>
            <xdr:cNvGraphicFramePr/>
          </xdr:nvGraphicFramePr>
          <xdr:xfrm>
            <a:off x="0" y="0"/>
            <a:ext cx="0" cy="0"/>
          </xdr:xfrm>
          <a:graphic>
            <a:graphicData uri="http://schemas.microsoft.com/office/drawing/2010/slicer">
              <sle:slicer xmlns:sle="http://schemas.microsoft.com/office/drawing/2010/slicer" name="quality_category"/>
            </a:graphicData>
          </a:graphic>
        </xdr:graphicFrame>
      </mc:Choice>
      <mc:Fallback xmlns="">
        <xdr:sp macro="" textlink="">
          <xdr:nvSpPr>
            <xdr:cNvPr id="0" name=""/>
            <xdr:cNvSpPr>
              <a:spLocks noTextEdit="1"/>
            </xdr:cNvSpPr>
          </xdr:nvSpPr>
          <xdr:spPr>
            <a:xfrm>
              <a:off x="7166113" y="163084565"/>
              <a:ext cx="1832113" cy="245836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388620</xdr:colOff>
      <xdr:row>4</xdr:row>
      <xdr:rowOff>3810</xdr:rowOff>
    </xdr:from>
    <xdr:to>
      <xdr:col>9</xdr:col>
      <xdr:colOff>83820</xdr:colOff>
      <xdr:row>19</xdr:row>
      <xdr:rowOff>3810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33D170D-F299-0095-268D-3FC399ACD2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98220" y="735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464820</xdr:colOff>
      <xdr:row>3</xdr:row>
      <xdr:rowOff>114300</xdr:rowOff>
    </xdr:from>
    <xdr:to>
      <xdr:col>16</xdr:col>
      <xdr:colOff>579120</xdr:colOff>
      <xdr:row>18</xdr:row>
      <xdr:rowOff>114300</xdr:rowOff>
    </xdr:to>
    <xdr:graphicFrame macro="">
      <xdr:nvGraphicFramePr>
        <xdr:cNvPr id="5" name="Chart 4">
          <a:extLst>
            <a:ext uri="{FF2B5EF4-FFF2-40B4-BE49-F238E27FC236}">
              <a16:creationId xmlns:a16="http://schemas.microsoft.com/office/drawing/2014/main" id="{C7216780-C44A-4B42-AEA0-12CC7C5AE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114300</xdr:colOff>
      <xdr:row>22</xdr:row>
      <xdr:rowOff>53340</xdr:rowOff>
    </xdr:from>
    <xdr:to>
      <xdr:col>10</xdr:col>
      <xdr:colOff>419100</xdr:colOff>
      <xdr:row>35</xdr:row>
      <xdr:rowOff>60960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724CB002-E921-4208-A285-19B88B9DAB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43100" y="4076700"/>
              <a:ext cx="4572000" cy="2385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28</xdr:row>
      <xdr:rowOff>0</xdr:rowOff>
    </xdr:from>
    <xdr:to>
      <xdr:col>19</xdr:col>
      <xdr:colOff>304800</xdr:colOff>
      <xdr:row>47</xdr:row>
      <xdr:rowOff>11430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2D404D84-FC1F-42E2-87C9-188F5AA746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315200" y="5120640"/>
              <a:ext cx="4572000" cy="3486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320040</xdr:colOff>
      <xdr:row>42</xdr:row>
      <xdr:rowOff>22860</xdr:rowOff>
    </xdr:from>
    <xdr:to>
      <xdr:col>11</xdr:col>
      <xdr:colOff>15240</xdr:colOff>
      <xdr:row>57</xdr:row>
      <xdr:rowOff>22860</xdr:rowOff>
    </xdr:to>
    <xdr:graphicFrame macro="">
      <xdr:nvGraphicFramePr>
        <xdr:cNvPr id="10" name="Chart 9">
          <a:extLst>
            <a:ext uri="{FF2B5EF4-FFF2-40B4-BE49-F238E27FC236}">
              <a16:creationId xmlns:a16="http://schemas.microsoft.com/office/drawing/2014/main" id="{7985A637-4166-42B8-8DBE-007D5B498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48</xdr:row>
      <xdr:rowOff>0</xdr:rowOff>
    </xdr:from>
    <xdr:to>
      <xdr:col>21</xdr:col>
      <xdr:colOff>304800</xdr:colOff>
      <xdr:row>63</xdr:row>
      <xdr:rowOff>0</xdr:rowOff>
    </xdr:to>
    <xdr:graphicFrame macro="">
      <xdr:nvGraphicFramePr>
        <xdr:cNvPr id="11" name="Chart 10">
          <a:extLst>
            <a:ext uri="{FF2B5EF4-FFF2-40B4-BE49-F238E27FC236}">
              <a16:creationId xmlns:a16="http://schemas.microsoft.com/office/drawing/2014/main" id="{EDB312CF-9CE7-4C85-BE58-D49F70EC5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389824</xdr:colOff>
      <xdr:row>5</xdr:row>
      <xdr:rowOff>117107</xdr:rowOff>
    </xdr:from>
    <xdr:to>
      <xdr:col>23</xdr:col>
      <xdr:colOff>229402</xdr:colOff>
      <xdr:row>45</xdr:row>
      <xdr:rowOff>121920</xdr:rowOff>
    </xdr:to>
    <xdr:pic>
      <xdr:nvPicPr>
        <xdr:cNvPr id="3" name="Picture 2">
          <a:extLst>
            <a:ext uri="{FF2B5EF4-FFF2-40B4-BE49-F238E27FC236}">
              <a16:creationId xmlns:a16="http://schemas.microsoft.com/office/drawing/2014/main" id="{438015FE-1DF1-F50F-9DD6-EF78BAE5B0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18699" y="1010076"/>
          <a:ext cx="11376734" cy="7148563"/>
        </a:xfrm>
        <a:prstGeom prst="rect">
          <a:avLst/>
        </a:prstGeom>
      </xdr:spPr>
    </xdr:pic>
    <xdr:clientData/>
  </xdr:twoCellAnchor>
  <xdr:twoCellAnchor>
    <xdr:from>
      <xdr:col>9</xdr:col>
      <xdr:colOff>535780</xdr:colOff>
      <xdr:row>6</xdr:row>
      <xdr:rowOff>123824</xdr:rowOff>
    </xdr:from>
    <xdr:to>
      <xdr:col>13</xdr:col>
      <xdr:colOff>464343</xdr:colOff>
      <xdr:row>14</xdr:row>
      <xdr:rowOff>88106</xdr:rowOff>
    </xdr:to>
    <xdr:sp macro="" textlink="">
      <xdr:nvSpPr>
        <xdr:cNvPr id="4" name="Rectangle: Rounded Corners 3">
          <a:extLst>
            <a:ext uri="{FF2B5EF4-FFF2-40B4-BE49-F238E27FC236}">
              <a16:creationId xmlns:a16="http://schemas.microsoft.com/office/drawing/2014/main" id="{46BE071D-8793-CE28-5B76-FBBE255B3031}"/>
            </a:ext>
          </a:extLst>
        </xdr:cNvPr>
        <xdr:cNvSpPr/>
      </xdr:nvSpPr>
      <xdr:spPr>
        <a:xfrm>
          <a:off x="6000749" y="1195387"/>
          <a:ext cx="2357438" cy="1393032"/>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lt1"/>
              </a:solidFill>
              <a:latin typeface="Berlin Sans FB Demi" panose="020E0802020502020306" pitchFamily="34" charset="0"/>
              <a:ea typeface="+mn-ea"/>
              <a:cs typeface="+mn-cs"/>
            </a:rPr>
            <a:t>Avg. Alcohol</a:t>
          </a:r>
        </a:p>
      </xdr:txBody>
    </xdr:sp>
    <xdr:clientData/>
  </xdr:twoCellAnchor>
  <xdr:twoCellAnchor>
    <xdr:from>
      <xdr:col>5</xdr:col>
      <xdr:colOff>176211</xdr:colOff>
      <xdr:row>6</xdr:row>
      <xdr:rowOff>123824</xdr:rowOff>
    </xdr:from>
    <xdr:to>
      <xdr:col>9</xdr:col>
      <xdr:colOff>119062</xdr:colOff>
      <xdr:row>14</xdr:row>
      <xdr:rowOff>88106</xdr:rowOff>
    </xdr:to>
    <xdr:sp macro="" textlink="">
      <xdr:nvSpPr>
        <xdr:cNvPr id="5" name="Rectangle: Rounded Corners 4">
          <a:extLst>
            <a:ext uri="{FF2B5EF4-FFF2-40B4-BE49-F238E27FC236}">
              <a16:creationId xmlns:a16="http://schemas.microsoft.com/office/drawing/2014/main" id="{A35BEA32-7F85-4F26-99FE-96A15B04355F}"/>
            </a:ext>
          </a:extLst>
        </xdr:cNvPr>
        <xdr:cNvSpPr/>
      </xdr:nvSpPr>
      <xdr:spPr>
        <a:xfrm>
          <a:off x="3212305" y="1195387"/>
          <a:ext cx="2371726" cy="1393032"/>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Berlin Sans FB Demi" panose="020E0802020502020306" pitchFamily="34" charset="0"/>
            </a:rPr>
            <a:t>Total Wines</a:t>
          </a:r>
        </a:p>
      </xdr:txBody>
    </xdr:sp>
    <xdr:clientData/>
  </xdr:twoCellAnchor>
  <xdr:twoCellAnchor>
    <xdr:from>
      <xdr:col>14</xdr:col>
      <xdr:colOff>273842</xdr:colOff>
      <xdr:row>6</xdr:row>
      <xdr:rowOff>123824</xdr:rowOff>
    </xdr:from>
    <xdr:to>
      <xdr:col>18</xdr:col>
      <xdr:colOff>195262</xdr:colOff>
      <xdr:row>14</xdr:row>
      <xdr:rowOff>88106</xdr:rowOff>
    </xdr:to>
    <xdr:sp macro="" textlink="">
      <xdr:nvSpPr>
        <xdr:cNvPr id="6" name="Rectangle: Rounded Corners 5">
          <a:extLst>
            <a:ext uri="{FF2B5EF4-FFF2-40B4-BE49-F238E27FC236}">
              <a16:creationId xmlns:a16="http://schemas.microsoft.com/office/drawing/2014/main" id="{60F5A359-381B-4482-8D76-2C3BAD5F2C86}"/>
            </a:ext>
          </a:extLst>
        </xdr:cNvPr>
        <xdr:cNvSpPr/>
      </xdr:nvSpPr>
      <xdr:spPr>
        <a:xfrm>
          <a:off x="8774905" y="1195387"/>
          <a:ext cx="2350295" cy="1393032"/>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a:solidFill>
                <a:schemeClr val="lt1"/>
              </a:solidFill>
              <a:latin typeface="Berlin Sans FB Demi" panose="020E0802020502020306" pitchFamily="34" charset="0"/>
              <a:ea typeface="+mn-ea"/>
              <a:cs typeface="+mn-cs"/>
            </a:rPr>
            <a:t>Avg. pH</a:t>
          </a:r>
        </a:p>
      </xdr:txBody>
    </xdr:sp>
    <xdr:clientData/>
  </xdr:twoCellAnchor>
  <xdr:twoCellAnchor>
    <xdr:from>
      <xdr:col>19</xdr:col>
      <xdr:colOff>4762</xdr:colOff>
      <xdr:row>6</xdr:row>
      <xdr:rowOff>123824</xdr:rowOff>
    </xdr:from>
    <xdr:to>
      <xdr:col>22</xdr:col>
      <xdr:colOff>523874</xdr:colOff>
      <xdr:row>14</xdr:row>
      <xdr:rowOff>88106</xdr:rowOff>
    </xdr:to>
    <xdr:sp macro="" textlink="">
      <xdr:nvSpPr>
        <xdr:cNvPr id="7" name="Rectangle: Rounded Corners 6">
          <a:extLst>
            <a:ext uri="{FF2B5EF4-FFF2-40B4-BE49-F238E27FC236}">
              <a16:creationId xmlns:a16="http://schemas.microsoft.com/office/drawing/2014/main" id="{8B63A32E-1BBB-4ABF-9DA2-3BC93C398965}"/>
            </a:ext>
          </a:extLst>
        </xdr:cNvPr>
        <xdr:cNvSpPr/>
      </xdr:nvSpPr>
      <xdr:spPr>
        <a:xfrm>
          <a:off x="11541918" y="1195387"/>
          <a:ext cx="2340769" cy="1393032"/>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a:solidFill>
                <a:schemeClr val="lt1"/>
              </a:solidFill>
              <a:latin typeface="Berlin Sans FB Demi" panose="020E0802020502020306" pitchFamily="34" charset="0"/>
              <a:ea typeface="+mn-ea"/>
              <a:cs typeface="+mn-cs"/>
            </a:rPr>
            <a:t>Avg. Quality Score</a:t>
          </a:r>
        </a:p>
      </xdr:txBody>
    </xdr:sp>
    <xdr:clientData/>
  </xdr:twoCellAnchor>
  <xdr:oneCellAnchor>
    <xdr:from>
      <xdr:col>6</xdr:col>
      <xdr:colOff>130969</xdr:colOff>
      <xdr:row>9</xdr:row>
      <xdr:rowOff>71438</xdr:rowOff>
    </xdr:from>
    <xdr:ext cx="1188339" cy="671466"/>
    <xdr:sp macro="" textlink="Sheet2!D20">
      <xdr:nvSpPr>
        <xdr:cNvPr id="11" name="TextBox 10">
          <a:extLst>
            <a:ext uri="{FF2B5EF4-FFF2-40B4-BE49-F238E27FC236}">
              <a16:creationId xmlns:a16="http://schemas.microsoft.com/office/drawing/2014/main" id="{3138B816-E722-D520-9FE1-38BD96980989}"/>
            </a:ext>
          </a:extLst>
        </xdr:cNvPr>
        <xdr:cNvSpPr txBox="1"/>
      </xdr:nvSpPr>
      <xdr:spPr>
        <a:xfrm>
          <a:off x="3774282" y="1678782"/>
          <a:ext cx="1188339" cy="671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17E51D-9357-4BE7-82D7-ABB56F01DA5F}" type="TxLink">
            <a:rPr lang="en-US" sz="4000" b="0" i="0" u="none" strike="noStrike">
              <a:solidFill>
                <a:schemeClr val="bg1"/>
              </a:solidFill>
              <a:latin typeface="Berlin Sans FB Demi" panose="020E0802020502020306" pitchFamily="34" charset="0"/>
              <a:ea typeface="Calibri"/>
              <a:cs typeface="Calibri"/>
            </a:rPr>
            <a:pPr/>
            <a:t>1599</a:t>
          </a:fld>
          <a:endParaRPr lang="en-IN" sz="4000">
            <a:solidFill>
              <a:schemeClr val="bg1"/>
            </a:solidFill>
            <a:latin typeface="Berlin Sans FB Demi" panose="020E0802020502020306" pitchFamily="34" charset="0"/>
          </a:endParaRPr>
        </a:p>
      </xdr:txBody>
    </xdr:sp>
    <xdr:clientData/>
  </xdr:oneCellAnchor>
  <xdr:oneCellAnchor>
    <xdr:from>
      <xdr:col>10</xdr:col>
      <xdr:colOff>473869</xdr:colOff>
      <xdr:row>9</xdr:row>
      <xdr:rowOff>92870</xdr:rowOff>
    </xdr:from>
    <xdr:ext cx="1365117" cy="671466"/>
    <xdr:sp macro="" textlink="Sheet2!D7">
      <xdr:nvSpPr>
        <xdr:cNvPr id="12" name="TextBox 11">
          <a:extLst>
            <a:ext uri="{FF2B5EF4-FFF2-40B4-BE49-F238E27FC236}">
              <a16:creationId xmlns:a16="http://schemas.microsoft.com/office/drawing/2014/main" id="{8FEC39C7-C324-49E5-953E-E9393C48557B}"/>
            </a:ext>
          </a:extLst>
        </xdr:cNvPr>
        <xdr:cNvSpPr txBox="1"/>
      </xdr:nvSpPr>
      <xdr:spPr>
        <a:xfrm>
          <a:off x="6546057" y="1700214"/>
          <a:ext cx="1365117" cy="671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1218FEF-D8D5-4974-9C3D-63C7C4DEBF63}" type="TxLink">
            <a:rPr lang="en-US" sz="4000" b="0" i="0" u="none" strike="noStrike">
              <a:solidFill>
                <a:schemeClr val="bg1"/>
              </a:solidFill>
              <a:latin typeface="Berlin Sans FB Demi" panose="020E0802020502020306" pitchFamily="34" charset="0"/>
              <a:ea typeface="Calibri"/>
              <a:cs typeface="Calibri"/>
            </a:rPr>
            <a:pPr/>
            <a:t>10.42</a:t>
          </a:fld>
          <a:endParaRPr lang="en-IN" sz="4000">
            <a:solidFill>
              <a:schemeClr val="bg1"/>
            </a:solidFill>
            <a:latin typeface="Berlin Sans FB Demi" panose="020E0802020502020306" pitchFamily="34" charset="0"/>
          </a:endParaRPr>
        </a:p>
      </xdr:txBody>
    </xdr:sp>
    <xdr:clientData/>
  </xdr:oneCellAnchor>
  <xdr:oneCellAnchor>
    <xdr:from>
      <xdr:col>15</xdr:col>
      <xdr:colOff>306480</xdr:colOff>
      <xdr:row>9</xdr:row>
      <xdr:rowOff>93294</xdr:rowOff>
    </xdr:from>
    <xdr:ext cx="1074077" cy="729302"/>
    <xdr:sp macro="" textlink="Sheet2!D14">
      <xdr:nvSpPr>
        <xdr:cNvPr id="13" name="TextBox 12">
          <a:extLst>
            <a:ext uri="{FF2B5EF4-FFF2-40B4-BE49-F238E27FC236}">
              <a16:creationId xmlns:a16="http://schemas.microsoft.com/office/drawing/2014/main" id="{4AC06EDB-5C0C-441E-9939-60C72ED46D68}"/>
            </a:ext>
          </a:extLst>
        </xdr:cNvPr>
        <xdr:cNvSpPr txBox="1"/>
      </xdr:nvSpPr>
      <xdr:spPr>
        <a:xfrm>
          <a:off x="9450480" y="1693494"/>
          <a:ext cx="1074077" cy="729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13E3DDF-C070-4BB7-8BCF-F7AB900F13AB}" type="TxLink">
            <a:rPr lang="en-US" sz="4400" b="0" i="0" u="none" strike="noStrike">
              <a:solidFill>
                <a:schemeClr val="bg1"/>
              </a:solidFill>
              <a:latin typeface="Berlin Sans FB Demi" panose="020E0802020502020306" pitchFamily="34" charset="0"/>
              <a:ea typeface="Calibri"/>
              <a:cs typeface="Calibri"/>
            </a:rPr>
            <a:pPr/>
            <a:t>3.31</a:t>
          </a:fld>
          <a:endParaRPr lang="en-IN" sz="4400">
            <a:solidFill>
              <a:schemeClr val="bg1"/>
            </a:solidFill>
            <a:latin typeface="Berlin Sans FB Demi" panose="020E0802020502020306" pitchFamily="34" charset="0"/>
          </a:endParaRPr>
        </a:p>
      </xdr:txBody>
    </xdr:sp>
    <xdr:clientData/>
  </xdr:oneCellAnchor>
  <xdr:oneCellAnchor>
    <xdr:from>
      <xdr:col>19</xdr:col>
      <xdr:colOff>485075</xdr:colOff>
      <xdr:row>10</xdr:row>
      <xdr:rowOff>81389</xdr:rowOff>
    </xdr:from>
    <xdr:ext cx="1414233" cy="671466"/>
    <xdr:sp macro="" textlink="Sheet2!F3">
      <xdr:nvSpPr>
        <xdr:cNvPr id="14" name="TextBox 13">
          <a:extLst>
            <a:ext uri="{FF2B5EF4-FFF2-40B4-BE49-F238E27FC236}">
              <a16:creationId xmlns:a16="http://schemas.microsoft.com/office/drawing/2014/main" id="{67339780-9AA4-4919-B936-0EAA8EEE34E1}"/>
            </a:ext>
          </a:extLst>
        </xdr:cNvPr>
        <xdr:cNvSpPr txBox="1"/>
      </xdr:nvSpPr>
      <xdr:spPr>
        <a:xfrm>
          <a:off x="12022231" y="1867327"/>
          <a:ext cx="1414233" cy="671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CD33EF7-6EF9-4458-B70B-B55372296A30}" type="TxLink">
            <a:rPr lang="en-US" sz="4000" b="0" i="0" u="none" strike="noStrike">
              <a:solidFill>
                <a:schemeClr val="bg1"/>
              </a:solidFill>
              <a:latin typeface="Berlin Sans FB Demi" panose="020E0802020502020306" pitchFamily="34" charset="0"/>
              <a:ea typeface="Calibri"/>
              <a:cs typeface="Calibri"/>
            </a:rPr>
            <a:pPr/>
            <a:t>20.78</a:t>
          </a:fld>
          <a:endParaRPr lang="en-US" sz="4000" b="0" i="0" u="none" strike="noStrike">
            <a:solidFill>
              <a:schemeClr val="bg1"/>
            </a:solidFill>
            <a:latin typeface="Berlin Sans FB Demi" panose="020E0802020502020306" pitchFamily="34" charset="0"/>
            <a:ea typeface="Calibri"/>
            <a:cs typeface="Calibri"/>
          </a:endParaRPr>
        </a:p>
      </xdr:txBody>
    </xdr:sp>
    <xdr:clientData/>
  </xdr:oneCellAnchor>
  <xdr:twoCellAnchor>
    <xdr:from>
      <xdr:col>4</xdr:col>
      <xdr:colOff>452440</xdr:colOff>
      <xdr:row>16</xdr:row>
      <xdr:rowOff>1</xdr:rowOff>
    </xdr:from>
    <xdr:to>
      <xdr:col>10</xdr:col>
      <xdr:colOff>345281</xdr:colOff>
      <xdr:row>32</xdr:row>
      <xdr:rowOff>107156</xdr:rowOff>
    </xdr:to>
    <xdr:grpSp>
      <xdr:nvGrpSpPr>
        <xdr:cNvPr id="21" name="Group 20">
          <a:extLst>
            <a:ext uri="{FF2B5EF4-FFF2-40B4-BE49-F238E27FC236}">
              <a16:creationId xmlns:a16="http://schemas.microsoft.com/office/drawing/2014/main" id="{0A3FC13F-CA48-3A93-1024-A48BF889CE54}"/>
            </a:ext>
          </a:extLst>
        </xdr:cNvPr>
        <xdr:cNvGrpSpPr/>
      </xdr:nvGrpSpPr>
      <xdr:grpSpPr>
        <a:xfrm>
          <a:off x="2890840" y="2844801"/>
          <a:ext cx="3550441" cy="2951955"/>
          <a:chOff x="2881315" y="2857501"/>
          <a:chExt cx="3536154" cy="2964655"/>
        </a:xfrm>
      </xdr:grpSpPr>
      <xdr:sp macro="" textlink="">
        <xdr:nvSpPr>
          <xdr:cNvPr id="15" name="Rectangle: Rounded Corners 14">
            <a:extLst>
              <a:ext uri="{FF2B5EF4-FFF2-40B4-BE49-F238E27FC236}">
                <a16:creationId xmlns:a16="http://schemas.microsoft.com/office/drawing/2014/main" id="{0FA3353B-DEED-421E-870B-4A3C249972DD}"/>
              </a:ext>
            </a:extLst>
          </xdr:cNvPr>
          <xdr:cNvSpPr/>
        </xdr:nvSpPr>
        <xdr:spPr>
          <a:xfrm>
            <a:off x="2952751" y="2857501"/>
            <a:ext cx="3464718" cy="2964655"/>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a:latin typeface="Berlin Sans FB Demi" panose="020E0802020502020306" pitchFamily="34" charset="0"/>
            </a:endParaRPr>
          </a:p>
        </xdr:txBody>
      </xdr:sp>
      <xdr:graphicFrame macro="">
        <xdr:nvGraphicFramePr>
          <xdr:cNvPr id="16" name="Chart 15">
            <a:extLst>
              <a:ext uri="{FF2B5EF4-FFF2-40B4-BE49-F238E27FC236}">
                <a16:creationId xmlns:a16="http://schemas.microsoft.com/office/drawing/2014/main" id="{ACFCDB72-662F-42B1-900D-F903568991D8}"/>
              </a:ext>
            </a:extLst>
          </xdr:cNvPr>
          <xdr:cNvGraphicFramePr>
            <a:graphicFrameLocks/>
          </xdr:cNvGraphicFramePr>
        </xdr:nvGraphicFramePr>
        <xdr:xfrm>
          <a:off x="2881315" y="2905126"/>
          <a:ext cx="3417092" cy="290512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17</xdr:col>
      <xdr:colOff>23812</xdr:colOff>
      <xdr:row>15</xdr:row>
      <xdr:rowOff>166687</xdr:rowOff>
    </xdr:from>
    <xdr:to>
      <xdr:col>23</xdr:col>
      <xdr:colOff>11906</xdr:colOff>
      <xdr:row>32</xdr:row>
      <xdr:rowOff>119062</xdr:rowOff>
    </xdr:to>
    <xdr:sp macro="" textlink="">
      <xdr:nvSpPr>
        <xdr:cNvPr id="17" name="Rectangle: Rounded Corners 16">
          <a:extLst>
            <a:ext uri="{FF2B5EF4-FFF2-40B4-BE49-F238E27FC236}">
              <a16:creationId xmlns:a16="http://schemas.microsoft.com/office/drawing/2014/main" id="{40F1392D-6715-4F41-A6A3-BF4810B891FD}"/>
            </a:ext>
          </a:extLst>
        </xdr:cNvPr>
        <xdr:cNvSpPr/>
      </xdr:nvSpPr>
      <xdr:spPr>
        <a:xfrm>
          <a:off x="10346531" y="2845593"/>
          <a:ext cx="3631406" cy="2988469"/>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400">
            <a:solidFill>
              <a:schemeClr val="lt1"/>
            </a:solidFill>
            <a:latin typeface="Berlin Sans FB Demi" panose="020E0802020502020306" pitchFamily="34" charset="0"/>
            <a:ea typeface="+mn-ea"/>
            <a:cs typeface="+mn-cs"/>
          </a:endParaRPr>
        </a:p>
      </xdr:txBody>
    </xdr:sp>
    <xdr:clientData/>
  </xdr:twoCellAnchor>
  <xdr:twoCellAnchor>
    <xdr:from>
      <xdr:col>17</xdr:col>
      <xdr:colOff>95250</xdr:colOff>
      <xdr:row>16</xdr:row>
      <xdr:rowOff>154781</xdr:rowOff>
    </xdr:from>
    <xdr:to>
      <xdr:col>23</xdr:col>
      <xdr:colOff>11907</xdr:colOff>
      <xdr:row>31</xdr:row>
      <xdr:rowOff>107157</xdr:rowOff>
    </xdr:to>
    <xdr:graphicFrame macro="">
      <xdr:nvGraphicFramePr>
        <xdr:cNvPr id="19" name="Chart 18">
          <a:extLst>
            <a:ext uri="{FF2B5EF4-FFF2-40B4-BE49-F238E27FC236}">
              <a16:creationId xmlns:a16="http://schemas.microsoft.com/office/drawing/2014/main" id="{2EC4FC3F-79B2-4062-A60A-41094C97C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438148</xdr:colOff>
      <xdr:row>16</xdr:row>
      <xdr:rowOff>1</xdr:rowOff>
    </xdr:from>
    <xdr:to>
      <xdr:col>16</xdr:col>
      <xdr:colOff>523875</xdr:colOff>
      <xdr:row>32</xdr:row>
      <xdr:rowOff>130969</xdr:rowOff>
    </xdr:to>
    <xdr:sp macro="" textlink="">
      <xdr:nvSpPr>
        <xdr:cNvPr id="20" name="Rectangle: Rounded Corners 19">
          <a:extLst>
            <a:ext uri="{FF2B5EF4-FFF2-40B4-BE49-F238E27FC236}">
              <a16:creationId xmlns:a16="http://schemas.microsoft.com/office/drawing/2014/main" id="{AD12D354-A3A0-4332-8BE8-5EA46F84A526}"/>
            </a:ext>
          </a:extLst>
        </xdr:cNvPr>
        <xdr:cNvSpPr/>
      </xdr:nvSpPr>
      <xdr:spPr>
        <a:xfrm>
          <a:off x="6510336" y="2857501"/>
          <a:ext cx="3729039" cy="2988468"/>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400">
            <a:solidFill>
              <a:schemeClr val="lt1"/>
            </a:solidFill>
            <a:latin typeface="Berlin Sans FB Demi" panose="020E0802020502020306" pitchFamily="34" charset="0"/>
            <a:ea typeface="+mn-ea"/>
            <a:cs typeface="+mn-cs"/>
          </a:endParaRPr>
        </a:p>
      </xdr:txBody>
    </xdr:sp>
    <xdr:clientData/>
  </xdr:twoCellAnchor>
  <xdr:twoCellAnchor>
    <xdr:from>
      <xdr:col>10</xdr:col>
      <xdr:colOff>535781</xdr:colOff>
      <xdr:row>16</xdr:row>
      <xdr:rowOff>35720</xdr:rowOff>
    </xdr:from>
    <xdr:to>
      <xdr:col>16</xdr:col>
      <xdr:colOff>523875</xdr:colOff>
      <xdr:row>32</xdr:row>
      <xdr:rowOff>14714</xdr:rowOff>
    </xdr:to>
    <xdr:graphicFrame macro="">
      <xdr:nvGraphicFramePr>
        <xdr:cNvPr id="22" name="Chart 21">
          <a:extLst>
            <a:ext uri="{FF2B5EF4-FFF2-40B4-BE49-F238E27FC236}">
              <a16:creationId xmlns:a16="http://schemas.microsoft.com/office/drawing/2014/main" id="{EB55ABFD-2F73-46B4-886F-3593A2AD9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346869</xdr:colOff>
      <xdr:row>33</xdr:row>
      <xdr:rowOff>84931</xdr:rowOff>
    </xdr:from>
    <xdr:to>
      <xdr:col>23</xdr:col>
      <xdr:colOff>32469</xdr:colOff>
      <xdr:row>44</xdr:row>
      <xdr:rowOff>73131</xdr:rowOff>
    </xdr:to>
    <mc:AlternateContent xmlns:mc="http://schemas.openxmlformats.org/markup-compatibility/2006">
      <mc:Choice xmlns:a14="http://schemas.microsoft.com/office/drawing/2010/main" Requires="a14">
        <xdr:graphicFrame macro="">
          <xdr:nvGraphicFramePr>
            <xdr:cNvPr id="24" name="quality_category 1">
              <a:extLst>
                <a:ext uri="{FF2B5EF4-FFF2-40B4-BE49-F238E27FC236}">
                  <a16:creationId xmlns:a16="http://schemas.microsoft.com/office/drawing/2014/main" id="{4484A5C8-D859-46E7-AD2B-9E0A53844FD5}"/>
                </a:ext>
              </a:extLst>
            </xdr:cNvPr>
            <xdr:cNvGraphicFramePr/>
          </xdr:nvGraphicFramePr>
          <xdr:xfrm>
            <a:off x="0" y="0"/>
            <a:ext cx="0" cy="0"/>
          </xdr:xfrm>
          <a:graphic>
            <a:graphicData uri="http://schemas.microsoft.com/office/drawing/2010/slicer">
              <sle:slicer xmlns:sle="http://schemas.microsoft.com/office/drawing/2010/slicer" name="quality_category 1"/>
            </a:graphicData>
          </a:graphic>
        </xdr:graphicFrame>
      </mc:Choice>
      <mc:Fallback>
        <xdr:sp macro="" textlink="">
          <xdr:nvSpPr>
            <xdr:cNvPr id="0" name=""/>
            <xdr:cNvSpPr>
              <a:spLocks noTextEdit="1"/>
            </xdr:cNvSpPr>
          </xdr:nvSpPr>
          <xdr:spPr>
            <a:xfrm>
              <a:off x="11929269" y="5952331"/>
              <a:ext cx="2124000" cy="194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523875</xdr:colOff>
      <xdr:row>33</xdr:row>
      <xdr:rowOff>59533</xdr:rowOff>
    </xdr:from>
    <xdr:to>
      <xdr:col>8</xdr:col>
      <xdr:colOff>428625</xdr:colOff>
      <xdr:row>39</xdr:row>
      <xdr:rowOff>23813</xdr:rowOff>
    </xdr:to>
    <xdr:sp macro="" textlink="">
      <xdr:nvSpPr>
        <xdr:cNvPr id="25" name="Rectangle: Rounded Corners 24">
          <a:extLst>
            <a:ext uri="{FF2B5EF4-FFF2-40B4-BE49-F238E27FC236}">
              <a16:creationId xmlns:a16="http://schemas.microsoft.com/office/drawing/2014/main" id="{4519447F-F63D-4C11-A224-49B9C353DDFF}"/>
            </a:ext>
          </a:extLst>
        </xdr:cNvPr>
        <xdr:cNvSpPr/>
      </xdr:nvSpPr>
      <xdr:spPr>
        <a:xfrm>
          <a:off x="2952750" y="5953127"/>
          <a:ext cx="2333625" cy="1035842"/>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erlin Sans FB Demi" panose="020E0802020502020306" pitchFamily="34" charset="0"/>
            </a:rPr>
            <a:t>Highest Alcohol</a:t>
          </a:r>
          <a:r>
            <a:rPr lang="en-IN" sz="1800" baseline="0">
              <a:latin typeface="Berlin Sans FB Demi" panose="020E0802020502020306" pitchFamily="34" charset="0"/>
            </a:rPr>
            <a:t> value</a:t>
          </a:r>
          <a:endParaRPr lang="en-IN" sz="1800">
            <a:latin typeface="Berlin Sans FB Demi" panose="020E0802020502020306" pitchFamily="34" charset="0"/>
          </a:endParaRPr>
        </a:p>
      </xdr:txBody>
    </xdr:sp>
    <xdr:clientData/>
  </xdr:twoCellAnchor>
  <xdr:twoCellAnchor>
    <xdr:from>
      <xdr:col>4</xdr:col>
      <xdr:colOff>497683</xdr:colOff>
      <xdr:row>39</xdr:row>
      <xdr:rowOff>80964</xdr:rowOff>
    </xdr:from>
    <xdr:to>
      <xdr:col>8</xdr:col>
      <xdr:colOff>428625</xdr:colOff>
      <xdr:row>45</xdr:row>
      <xdr:rowOff>45243</xdr:rowOff>
    </xdr:to>
    <xdr:sp macro="" textlink="">
      <xdr:nvSpPr>
        <xdr:cNvPr id="27" name="Rectangle: Rounded Corners 26">
          <a:extLst>
            <a:ext uri="{FF2B5EF4-FFF2-40B4-BE49-F238E27FC236}">
              <a16:creationId xmlns:a16="http://schemas.microsoft.com/office/drawing/2014/main" id="{7C0FB7A4-B1F7-4C2C-A9A1-374DE584173A}"/>
            </a:ext>
          </a:extLst>
        </xdr:cNvPr>
        <xdr:cNvSpPr/>
      </xdr:nvSpPr>
      <xdr:spPr>
        <a:xfrm>
          <a:off x="2926558" y="7046120"/>
          <a:ext cx="2359817" cy="1035842"/>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erlin Sans FB Demi" panose="020E0802020502020306" pitchFamily="34" charset="0"/>
            </a:rPr>
            <a:t>Lowest pH</a:t>
          </a:r>
          <a:r>
            <a:rPr lang="en-IN" sz="1800" baseline="0">
              <a:latin typeface="Berlin Sans FB Demi" panose="020E0802020502020306" pitchFamily="34" charset="0"/>
            </a:rPr>
            <a:t> value</a:t>
          </a:r>
          <a:endParaRPr lang="en-IN" sz="1800">
            <a:latin typeface="Berlin Sans FB Demi" panose="020E0802020502020306" pitchFamily="34" charset="0"/>
          </a:endParaRPr>
        </a:p>
      </xdr:txBody>
    </xdr:sp>
    <xdr:clientData/>
  </xdr:twoCellAnchor>
  <xdr:twoCellAnchor>
    <xdr:from>
      <xdr:col>12</xdr:col>
      <xdr:colOff>485074</xdr:colOff>
      <xdr:row>33</xdr:row>
      <xdr:rowOff>57576</xdr:rowOff>
    </xdr:from>
    <xdr:to>
      <xdr:col>19</xdr:col>
      <xdr:colOff>166688</xdr:colOff>
      <xdr:row>45</xdr:row>
      <xdr:rowOff>35719</xdr:rowOff>
    </xdr:to>
    <xdr:sp macro="" textlink="">
      <xdr:nvSpPr>
        <xdr:cNvPr id="28" name="Rectangle: Rounded Corners 27">
          <a:extLst>
            <a:ext uri="{FF2B5EF4-FFF2-40B4-BE49-F238E27FC236}">
              <a16:creationId xmlns:a16="http://schemas.microsoft.com/office/drawing/2014/main" id="{F08F2E93-60E0-4C42-9212-C060B1D1F4A1}"/>
            </a:ext>
          </a:extLst>
        </xdr:cNvPr>
        <xdr:cNvSpPr/>
      </xdr:nvSpPr>
      <xdr:spPr>
        <a:xfrm>
          <a:off x="7771699" y="5951170"/>
          <a:ext cx="3932145" cy="2121268"/>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a:latin typeface="Berlin Sans FB Demi" panose="020E0802020502020306" pitchFamily="34" charset="0"/>
          </a:endParaRPr>
        </a:p>
      </xdr:txBody>
    </xdr:sp>
    <xdr:clientData/>
  </xdr:twoCellAnchor>
  <xdr:twoCellAnchor>
    <xdr:from>
      <xdr:col>8</xdr:col>
      <xdr:colOff>542927</xdr:colOff>
      <xdr:row>33</xdr:row>
      <xdr:rowOff>42863</xdr:rowOff>
    </xdr:from>
    <xdr:to>
      <xdr:col>12</xdr:col>
      <xdr:colOff>381000</xdr:colOff>
      <xdr:row>39</xdr:row>
      <xdr:rowOff>7143</xdr:rowOff>
    </xdr:to>
    <xdr:sp macro="" textlink="">
      <xdr:nvSpPr>
        <xdr:cNvPr id="29" name="Rectangle: Rounded Corners 28">
          <a:extLst>
            <a:ext uri="{FF2B5EF4-FFF2-40B4-BE49-F238E27FC236}">
              <a16:creationId xmlns:a16="http://schemas.microsoft.com/office/drawing/2014/main" id="{6A18731F-3598-4681-BF68-185CA86AAB4B}"/>
            </a:ext>
          </a:extLst>
        </xdr:cNvPr>
        <xdr:cNvSpPr/>
      </xdr:nvSpPr>
      <xdr:spPr>
        <a:xfrm>
          <a:off x="5400677" y="5936457"/>
          <a:ext cx="2266948" cy="1035842"/>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erlin Sans FB Demi" panose="020E0802020502020306" pitchFamily="34" charset="0"/>
            </a:rPr>
            <a:t>Most common</a:t>
          </a:r>
          <a:r>
            <a:rPr lang="en-IN" sz="1800" baseline="0">
              <a:latin typeface="Berlin Sans FB Demi" panose="020E0802020502020306" pitchFamily="34" charset="0"/>
            </a:rPr>
            <a:t> quality category</a:t>
          </a:r>
          <a:endParaRPr lang="en-IN" sz="1800">
            <a:latin typeface="Berlin Sans FB Demi" panose="020E0802020502020306" pitchFamily="34" charset="0"/>
          </a:endParaRPr>
        </a:p>
      </xdr:txBody>
    </xdr:sp>
    <xdr:clientData/>
  </xdr:twoCellAnchor>
  <xdr:twoCellAnchor>
    <xdr:from>
      <xdr:col>8</xdr:col>
      <xdr:colOff>554833</xdr:colOff>
      <xdr:row>39</xdr:row>
      <xdr:rowOff>78582</xdr:rowOff>
    </xdr:from>
    <xdr:to>
      <xdr:col>12</xdr:col>
      <xdr:colOff>392907</xdr:colOff>
      <xdr:row>45</xdr:row>
      <xdr:rowOff>42861</xdr:rowOff>
    </xdr:to>
    <xdr:sp macro="" textlink="">
      <xdr:nvSpPr>
        <xdr:cNvPr id="30" name="Rectangle: Rounded Corners 29">
          <a:extLst>
            <a:ext uri="{FF2B5EF4-FFF2-40B4-BE49-F238E27FC236}">
              <a16:creationId xmlns:a16="http://schemas.microsoft.com/office/drawing/2014/main" id="{8033EBD5-DD76-42F2-B209-03E737DBA75E}"/>
            </a:ext>
          </a:extLst>
        </xdr:cNvPr>
        <xdr:cNvSpPr/>
      </xdr:nvSpPr>
      <xdr:spPr>
        <a:xfrm>
          <a:off x="5412583" y="7043738"/>
          <a:ext cx="2266949" cy="1035842"/>
        </a:xfrm>
        <a:prstGeom prst="roundRect">
          <a:avLst/>
        </a:prstGeom>
        <a:solidFill>
          <a:schemeClr val="bg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erlin Sans FB Demi" panose="020E0802020502020306" pitchFamily="34" charset="0"/>
            </a:rPr>
            <a:t>Highest Quality score of wine</a:t>
          </a:r>
        </a:p>
      </xdr:txBody>
    </xdr:sp>
    <xdr:clientData/>
  </xdr:twoCellAnchor>
  <xdr:twoCellAnchor>
    <xdr:from>
      <xdr:col>12</xdr:col>
      <xdr:colOff>583405</xdr:colOff>
      <xdr:row>32</xdr:row>
      <xdr:rowOff>164733</xdr:rowOff>
    </xdr:from>
    <xdr:to>
      <xdr:col>18</xdr:col>
      <xdr:colOff>571499</xdr:colOff>
      <xdr:row>45</xdr:row>
      <xdr:rowOff>47625</xdr:rowOff>
    </xdr:to>
    <xdr:graphicFrame macro="">
      <xdr:nvGraphicFramePr>
        <xdr:cNvPr id="31" name="Chart 30">
          <a:extLst>
            <a:ext uri="{FF2B5EF4-FFF2-40B4-BE49-F238E27FC236}">
              <a16:creationId xmlns:a16="http://schemas.microsoft.com/office/drawing/2014/main" id="{50473E84-0080-4C7E-B2F6-A27A924CB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4763</xdr:colOff>
      <xdr:row>33</xdr:row>
      <xdr:rowOff>71437</xdr:rowOff>
    </xdr:from>
    <xdr:to>
      <xdr:col>19</xdr:col>
      <xdr:colOff>47624</xdr:colOff>
      <xdr:row>45</xdr:row>
      <xdr:rowOff>23811</xdr:rowOff>
    </xdr:to>
    <xdr:sp macro="" textlink="">
      <xdr:nvSpPr>
        <xdr:cNvPr id="32" name="Rectangle: Rounded Corners 31">
          <a:extLst>
            <a:ext uri="{FF2B5EF4-FFF2-40B4-BE49-F238E27FC236}">
              <a16:creationId xmlns:a16="http://schemas.microsoft.com/office/drawing/2014/main" id="{93B0E100-4B42-4140-974B-C6465759F0AD}"/>
            </a:ext>
          </a:extLst>
        </xdr:cNvPr>
        <xdr:cNvSpPr/>
      </xdr:nvSpPr>
      <xdr:spPr>
        <a:xfrm>
          <a:off x="7898607" y="5965031"/>
          <a:ext cx="3686173" cy="2095499"/>
        </a:xfrm>
        <a:prstGeom prst="roundRect">
          <a:avLst/>
        </a:prstGeom>
        <a:noFill/>
        <a:ln>
          <a:noFill/>
        </a:ln>
        <a:effectLst>
          <a:outerShdw blurRad="50800" dist="50800" dir="5400000" algn="ctr" rotWithShape="0">
            <a:schemeClr val="tx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a:latin typeface="Berlin Sans FB Demi" panose="020E0802020502020306" pitchFamily="34" charset="0"/>
          </a:endParaRPr>
        </a:p>
      </xdr:txBody>
    </xdr:sp>
    <xdr:clientData/>
  </xdr:twoCellAnchor>
  <xdr:oneCellAnchor>
    <xdr:from>
      <xdr:col>6</xdr:col>
      <xdr:colOff>95250</xdr:colOff>
      <xdr:row>36</xdr:row>
      <xdr:rowOff>71438</xdr:rowOff>
    </xdr:from>
    <xdr:ext cx="713850" cy="440531"/>
    <xdr:sp macro="" textlink="Sheet2!F12">
      <xdr:nvSpPr>
        <xdr:cNvPr id="33" name="TextBox 32">
          <a:extLst>
            <a:ext uri="{FF2B5EF4-FFF2-40B4-BE49-F238E27FC236}">
              <a16:creationId xmlns:a16="http://schemas.microsoft.com/office/drawing/2014/main" id="{EEFBB956-3B1F-27D1-1EF7-713360F14010}"/>
            </a:ext>
          </a:extLst>
        </xdr:cNvPr>
        <xdr:cNvSpPr txBox="1"/>
      </xdr:nvSpPr>
      <xdr:spPr>
        <a:xfrm>
          <a:off x="3738563" y="6500813"/>
          <a:ext cx="713850" cy="4405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A7E92BD-4F90-4DE5-B2A1-C9EF753FA533}" type="TxLink">
            <a:rPr lang="en-US" sz="2800" b="0" i="0" u="none" strike="noStrike">
              <a:solidFill>
                <a:schemeClr val="bg1"/>
              </a:solidFill>
              <a:latin typeface="Berlin Sans FB Demi" panose="020E0802020502020306" pitchFamily="34" charset="0"/>
              <a:ea typeface="Calibri"/>
              <a:cs typeface="Calibri"/>
            </a:rPr>
            <a:pPr/>
            <a:t>14.9</a:t>
          </a:fld>
          <a:endParaRPr lang="en-IN" sz="2800">
            <a:solidFill>
              <a:schemeClr val="bg1"/>
            </a:solidFill>
            <a:latin typeface="Berlin Sans FB Demi" panose="020E0802020502020306" pitchFamily="34" charset="0"/>
          </a:endParaRPr>
        </a:p>
      </xdr:txBody>
    </xdr:sp>
    <xdr:clientData/>
  </xdr:oneCellAnchor>
  <xdr:oneCellAnchor>
    <xdr:from>
      <xdr:col>6</xdr:col>
      <xdr:colOff>0</xdr:colOff>
      <xdr:row>41</xdr:row>
      <xdr:rowOff>130969</xdr:rowOff>
    </xdr:from>
    <xdr:ext cx="934615" cy="555601"/>
    <xdr:sp macro="" textlink="Sheet2!F13">
      <xdr:nvSpPr>
        <xdr:cNvPr id="34" name="TextBox 33">
          <a:extLst>
            <a:ext uri="{FF2B5EF4-FFF2-40B4-BE49-F238E27FC236}">
              <a16:creationId xmlns:a16="http://schemas.microsoft.com/office/drawing/2014/main" id="{D58DF9C2-7A8A-130A-19E8-678F637177DB}"/>
            </a:ext>
          </a:extLst>
        </xdr:cNvPr>
        <xdr:cNvSpPr txBox="1"/>
      </xdr:nvSpPr>
      <xdr:spPr>
        <a:xfrm>
          <a:off x="3657600" y="7420769"/>
          <a:ext cx="934615" cy="5556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E2D161C-EFB6-4604-9A43-DDB28C2D5B02}" type="TxLink">
            <a:rPr lang="en-US" sz="3200" b="0" i="0" u="none" strike="noStrike">
              <a:solidFill>
                <a:schemeClr val="bg1"/>
              </a:solidFill>
              <a:latin typeface="Berlin Sans FB Demi" panose="020E0802020502020306" pitchFamily="34" charset="0"/>
              <a:ea typeface="Calibri"/>
              <a:cs typeface="Calibri"/>
            </a:rPr>
            <a:pPr/>
            <a:t>2.74</a:t>
          </a:fld>
          <a:endParaRPr lang="en-IN" sz="3200">
            <a:solidFill>
              <a:schemeClr val="bg1"/>
            </a:solidFill>
            <a:latin typeface="Berlin Sans FB Demi" panose="020E0802020502020306" pitchFamily="34" charset="0"/>
          </a:endParaRPr>
        </a:p>
      </xdr:txBody>
    </xdr:sp>
    <xdr:clientData/>
  </xdr:oneCellAnchor>
  <xdr:oneCellAnchor>
    <xdr:from>
      <xdr:col>9</xdr:col>
      <xdr:colOff>345282</xdr:colOff>
      <xdr:row>36</xdr:row>
      <xdr:rowOff>83344</xdr:rowOff>
    </xdr:from>
    <xdr:ext cx="1491883" cy="497765"/>
    <xdr:sp macro="" textlink="Sheet2!F14">
      <xdr:nvSpPr>
        <xdr:cNvPr id="35" name="TextBox 34">
          <a:extLst>
            <a:ext uri="{FF2B5EF4-FFF2-40B4-BE49-F238E27FC236}">
              <a16:creationId xmlns:a16="http://schemas.microsoft.com/office/drawing/2014/main" id="{F65CEF1E-9499-79C3-B7B8-E00233D0B3FB}"/>
            </a:ext>
          </a:extLst>
        </xdr:cNvPr>
        <xdr:cNvSpPr txBox="1"/>
      </xdr:nvSpPr>
      <xdr:spPr>
        <a:xfrm>
          <a:off x="5810251" y="6512719"/>
          <a:ext cx="1491883" cy="497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7ACDCF4-4FE0-46EC-ABAF-B6E7AE9CDFA1}" type="TxLink">
            <a:rPr lang="en-US" sz="2800" b="0" i="0" u="none" strike="noStrike">
              <a:solidFill>
                <a:schemeClr val="bg1"/>
              </a:solidFill>
              <a:latin typeface="Berlin Sans FB Demi" panose="020E0802020502020306" pitchFamily="34" charset="0"/>
              <a:ea typeface="Calibri"/>
              <a:cs typeface="Calibri"/>
            </a:rPr>
            <a:pPr/>
            <a:t>Medium</a:t>
          </a:fld>
          <a:endParaRPr lang="en-IN" sz="2800">
            <a:solidFill>
              <a:schemeClr val="bg1"/>
            </a:solidFill>
            <a:latin typeface="Berlin Sans FB Demi" panose="020E0802020502020306" pitchFamily="34" charset="0"/>
          </a:endParaRPr>
        </a:p>
      </xdr:txBody>
    </xdr:sp>
    <xdr:clientData/>
  </xdr:oneCellAnchor>
  <xdr:oneCellAnchor>
    <xdr:from>
      <xdr:col>9</xdr:col>
      <xdr:colOff>565356</xdr:colOff>
      <xdr:row>42</xdr:row>
      <xdr:rowOff>73742</xdr:rowOff>
    </xdr:from>
    <xdr:ext cx="1059329" cy="497765"/>
    <xdr:sp macro="" textlink="Sheet2!Q8">
      <xdr:nvSpPr>
        <xdr:cNvPr id="36" name="TextBox 35">
          <a:extLst>
            <a:ext uri="{FF2B5EF4-FFF2-40B4-BE49-F238E27FC236}">
              <a16:creationId xmlns:a16="http://schemas.microsoft.com/office/drawing/2014/main" id="{CA3CC7DE-3375-DB7C-6D07-43B4B83919EF}"/>
            </a:ext>
          </a:extLst>
        </xdr:cNvPr>
        <xdr:cNvSpPr txBox="1"/>
      </xdr:nvSpPr>
      <xdr:spPr>
        <a:xfrm>
          <a:off x="6096001" y="7816645"/>
          <a:ext cx="1059329" cy="497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CBC471B-7134-433F-A559-6A80A7973E37}" type="TxLink">
            <a:rPr lang="en-US" sz="2800" b="0" i="0" u="none" strike="noStrike">
              <a:solidFill>
                <a:schemeClr val="bg1"/>
              </a:solidFill>
              <a:latin typeface="Berlin Sans FB Demi" panose="020E0802020502020306" pitchFamily="34" charset="0"/>
              <a:ea typeface="Calibri"/>
              <a:cs typeface="Calibri"/>
            </a:rPr>
            <a:pPr/>
            <a:t>30.34</a:t>
          </a:fld>
          <a:endParaRPr lang="en-IN" sz="2800">
            <a:solidFill>
              <a:schemeClr val="bg1"/>
            </a:solidFill>
            <a:latin typeface="Berlin Sans FB Demi" panose="020E0802020502020306" pitchFamily="34" charset="0"/>
          </a:endParaRPr>
        </a:p>
      </xdr:txBody>
    </xdr:sp>
    <xdr:clientData/>
  </xdr:oneCellAnchor>
  <xdr:twoCellAnchor>
    <xdr:from>
      <xdr:col>4</xdr:col>
      <xdr:colOff>344129</xdr:colOff>
      <xdr:row>0</xdr:row>
      <xdr:rowOff>172065</xdr:rowOff>
    </xdr:from>
    <xdr:to>
      <xdr:col>23</xdr:col>
      <xdr:colOff>294967</xdr:colOff>
      <xdr:row>5</xdr:row>
      <xdr:rowOff>135194</xdr:rowOff>
    </xdr:to>
    <xdr:sp macro="" textlink="">
      <xdr:nvSpPr>
        <xdr:cNvPr id="37" name="Rectangle: Rounded Corners 36">
          <a:extLst>
            <a:ext uri="{FF2B5EF4-FFF2-40B4-BE49-F238E27FC236}">
              <a16:creationId xmlns:a16="http://schemas.microsoft.com/office/drawing/2014/main" id="{3C8CC6E2-D6AF-2058-6721-B037D89BD6B2}"/>
            </a:ext>
          </a:extLst>
        </xdr:cNvPr>
        <xdr:cNvSpPr/>
      </xdr:nvSpPr>
      <xdr:spPr>
        <a:xfrm>
          <a:off x="2802194" y="172065"/>
          <a:ext cx="11626644" cy="884903"/>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a:latin typeface="Algerian" panose="04020705040A02060702" pitchFamily="82" charset="0"/>
            </a:rPr>
            <a:t>Wine Quality Analysis</a:t>
          </a:r>
        </a:p>
      </xdr:txBody>
    </xdr:sp>
    <xdr:clientData/>
  </xdr:twoCellAnchor>
  <xdr:twoCellAnchor editAs="oneCell">
    <xdr:from>
      <xdr:col>4</xdr:col>
      <xdr:colOff>427893</xdr:colOff>
      <xdr:row>1</xdr:row>
      <xdr:rowOff>147882</xdr:rowOff>
    </xdr:from>
    <xdr:to>
      <xdr:col>7</xdr:col>
      <xdr:colOff>203200</xdr:colOff>
      <xdr:row>5</xdr:row>
      <xdr:rowOff>26378</xdr:rowOff>
    </xdr:to>
    <xdr:pic>
      <xdr:nvPicPr>
        <xdr:cNvPr id="41" name="Picture 40">
          <a:extLst>
            <a:ext uri="{FF2B5EF4-FFF2-40B4-BE49-F238E27FC236}">
              <a16:creationId xmlns:a16="http://schemas.microsoft.com/office/drawing/2014/main" id="{55DD51AF-B9FC-C452-6A09-357514E8038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66293" y="325682"/>
          <a:ext cx="1604107" cy="589696"/>
        </a:xfrm>
        <a:prstGeom prst="rect">
          <a:avLst/>
        </a:prstGeom>
      </xdr:spPr>
    </xdr:pic>
    <xdr:clientData/>
  </xdr:twoCellAnchor>
  <xdr:twoCellAnchor editAs="oneCell">
    <xdr:from>
      <xdr:col>20</xdr:col>
      <xdr:colOff>390769</xdr:colOff>
      <xdr:row>1</xdr:row>
      <xdr:rowOff>159605</xdr:rowOff>
    </xdr:from>
    <xdr:to>
      <xdr:col>23</xdr:col>
      <xdr:colOff>166076</xdr:colOff>
      <xdr:row>5</xdr:row>
      <xdr:rowOff>38101</xdr:rowOff>
    </xdr:to>
    <xdr:pic>
      <xdr:nvPicPr>
        <xdr:cNvPr id="42" name="Picture 41">
          <a:extLst>
            <a:ext uri="{FF2B5EF4-FFF2-40B4-BE49-F238E27FC236}">
              <a16:creationId xmlns:a16="http://schemas.microsoft.com/office/drawing/2014/main" id="{4BFDBB3F-CC21-4BEB-A9CE-EC3E4192F0A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582769" y="337405"/>
          <a:ext cx="1604107" cy="58969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0.514559374998" createdVersion="8" refreshedVersion="8" minRefreshableVersion="3" recordCount="1599" xr:uid="{934BA96A-ECF0-422E-B599-617816A8EF28}">
  <cacheSource type="worksheet">
    <worksheetSource name="Table1"/>
  </cacheSource>
  <cacheFields count="19">
    <cacheField name="Wine_id" numFmtId="1">
      <sharedItems containsSemiMixedTypes="0" containsString="0" containsNumber="1" containsInteger="1" minValue="1" maxValue="1599" count="15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sharedItems>
    </cacheField>
    <cacheField name="fixed acidity" numFmtId="2">
      <sharedItems containsSemiMixedTypes="0" containsString="0" containsNumber="1" minValue="4.5999999999999996" maxValue="15.9"/>
    </cacheField>
    <cacheField name="volatile acidity" numFmtId="2">
      <sharedItems containsSemiMixedTypes="0" containsString="0" containsNumber="1" minValue="0.12" maxValue="1.58"/>
    </cacheField>
    <cacheField name="citric acid" numFmtId="2">
      <sharedItems containsSemiMixedTypes="0" containsString="0" containsNumber="1" minValue="0" maxValue="1"/>
    </cacheField>
    <cacheField name="residual sugar" numFmtId="2">
      <sharedItems containsSemiMixedTypes="0" containsString="0" containsNumber="1" minValue="0.9" maxValue="15.5"/>
    </cacheField>
    <cacheField name="chlorides" numFmtId="2">
      <sharedItems containsSemiMixedTypes="0" containsString="0" containsNumber="1" minValue="1.2E-2" maxValue="0.61099999999999999"/>
    </cacheField>
    <cacheField name="free sulfur dioxide" numFmtId="2">
      <sharedItems containsSemiMixedTypes="0" containsString="0" containsNumber="1" minValue="1" maxValue="72"/>
    </cacheField>
    <cacheField name="total sulfur dioxide" numFmtId="2">
      <sharedItems containsSemiMixedTypes="0" containsString="0" containsNumber="1" minValue="6" maxValue="289"/>
    </cacheField>
    <cacheField name="density" numFmtId="2">
      <sharedItems containsSemiMixedTypes="0" containsString="0" containsNumber="1" minValue="0.99007000000000001" maxValue="1.00369"/>
    </cacheField>
    <cacheField name="pH" numFmtId="2">
      <sharedItems containsSemiMixedTypes="0" containsString="0" containsNumber="1" minValue="2.74" maxValue="4.01"/>
    </cacheField>
    <cacheField name="sulphates" numFmtId="2">
      <sharedItems containsSemiMixedTypes="0" containsString="0" containsNumber="1" minValue="0.33" maxValue="2"/>
    </cacheField>
    <cacheField name="alcohol" numFmtId="2">
      <sharedItems containsSemiMixedTypes="0" containsString="0" containsNumber="1" minValue="8.4" maxValue="14.9"/>
    </cacheField>
    <cacheField name="quality" numFmtId="0">
      <sharedItems containsSemiMixedTypes="0" containsString="0" containsNumber="1" containsInteger="1" minValue="3" maxValue="8"/>
    </cacheField>
    <cacheField name="quality_category" numFmtId="0">
      <sharedItems count="3">
        <s v="Medium"/>
        <s v="High"/>
        <s v="Low"/>
      </sharedItems>
    </cacheField>
    <cacheField name="High_risk" numFmtId="0">
      <sharedItems/>
    </cacheField>
    <cacheField name="Quality_score_index" numFmtId="2">
      <sharedItems containsSemiMixedTypes="0" containsString="0" containsNumber="1" minValue="16.525000000000002" maxValue="30.340000000000003"/>
    </cacheField>
    <cacheField name="Rank" numFmtId="2">
      <sharedItems containsSemiMixedTypes="0" containsString="0" containsNumber="1" containsInteger="1" minValue="1" maxValue="1599"/>
    </cacheField>
    <cacheField name="Sulfur_diff" numFmtId="2">
      <sharedItems containsSemiMixedTypes="0" containsString="0" containsNumber="1" minValue="3" maxValue="251.5"/>
    </cacheField>
    <cacheField name="wine_name" numFmtId="2">
      <sharedItems count="2">
        <s v="Red wine"/>
        <s v="White wine"/>
      </sharedItems>
    </cacheField>
  </cacheFields>
  <extLst>
    <ext xmlns:x14="http://schemas.microsoft.com/office/spreadsheetml/2009/9/main" uri="{725AE2AE-9491-48be-B2B4-4EB974FC3084}">
      <x14:pivotCacheDefinition pivotCacheId="2077365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9">
  <r>
    <x v="0"/>
    <n v="7.4"/>
    <n v="0.7"/>
    <n v="0"/>
    <n v="1.9"/>
    <n v="7.5999999999999998E-2"/>
    <n v="11"/>
    <n v="34"/>
    <n v="0.99780000000000002"/>
    <n v="3.51"/>
    <n v="0.56000000000000005"/>
    <n v="9.4"/>
    <n v="5"/>
    <x v="0"/>
    <s v="Normal"/>
    <n v="18.240000000000002"/>
    <n v="1470"/>
    <n v="23"/>
    <x v="0"/>
  </r>
  <r>
    <x v="1"/>
    <n v="7.8"/>
    <n v="0.88"/>
    <n v="0"/>
    <n v="2.6"/>
    <n v="9.8000000000000004E-2"/>
    <n v="25"/>
    <n v="67"/>
    <n v="0.99680000000000002"/>
    <n v="3.2"/>
    <n v="0.68"/>
    <n v="9.8000000000000007"/>
    <n v="5"/>
    <x v="0"/>
    <s v="Normal"/>
    <n v="18.86"/>
    <n v="1222"/>
    <n v="42"/>
    <x v="0"/>
  </r>
  <r>
    <x v="2"/>
    <n v="7.8"/>
    <n v="0.76"/>
    <n v="0.04"/>
    <n v="2.2999999999999998"/>
    <n v="9.1999999999999998E-2"/>
    <n v="15"/>
    <n v="54"/>
    <n v="0.997"/>
    <n v="3.26"/>
    <n v="0.65"/>
    <n v="9.8000000000000007"/>
    <n v="5"/>
    <x v="0"/>
    <s v="Normal"/>
    <n v="19.055000000000003"/>
    <n v="1143"/>
    <n v="39"/>
    <x v="0"/>
  </r>
  <r>
    <x v="3"/>
    <n v="11.2"/>
    <n v="0.28000000000000003"/>
    <n v="0.56000000000000005"/>
    <n v="1.9"/>
    <n v="7.4999999999999997E-2"/>
    <n v="17"/>
    <n v="60"/>
    <n v="0.998"/>
    <n v="3.16"/>
    <n v="0.57999999999999996"/>
    <n v="9.8000000000000007"/>
    <n v="6"/>
    <x v="0"/>
    <s v="High"/>
    <n v="19.910000000000004"/>
    <n v="876"/>
    <n v="43"/>
    <x v="0"/>
  </r>
  <r>
    <x v="4"/>
    <n v="7.4"/>
    <n v="0.7"/>
    <n v="0"/>
    <n v="1.9"/>
    <n v="7.5999999999999998E-2"/>
    <n v="11"/>
    <n v="34"/>
    <n v="0.99780000000000002"/>
    <n v="3.51"/>
    <n v="0.56000000000000005"/>
    <n v="9.4"/>
    <n v="5"/>
    <x v="0"/>
    <s v="Normal"/>
    <n v="18.240000000000002"/>
    <n v="1470"/>
    <n v="23"/>
    <x v="0"/>
  </r>
  <r>
    <x v="5"/>
    <n v="7.4"/>
    <n v="0.66"/>
    <n v="0"/>
    <n v="1.8"/>
    <n v="7.4999999999999997E-2"/>
    <n v="13"/>
    <n v="40"/>
    <n v="0.99780000000000002"/>
    <n v="3.51"/>
    <n v="0.56000000000000005"/>
    <n v="9.4"/>
    <n v="5"/>
    <x v="0"/>
    <s v="Normal"/>
    <n v="18.32"/>
    <n v="1448"/>
    <n v="27"/>
    <x v="0"/>
  </r>
  <r>
    <x v="6"/>
    <n v="7.9"/>
    <n v="0.6"/>
    <n v="0.06"/>
    <n v="1.6"/>
    <n v="6.9000000000000006E-2"/>
    <n v="15"/>
    <n v="59"/>
    <n v="0.99639999999999995"/>
    <n v="3.3"/>
    <n v="0.46"/>
    <n v="9.4"/>
    <n v="5"/>
    <x v="0"/>
    <s v="Normal"/>
    <n v="18.290000000000003"/>
    <n v="1455"/>
    <n v="44"/>
    <x v="0"/>
  </r>
  <r>
    <x v="7"/>
    <n v="7.3"/>
    <n v="0.65"/>
    <n v="0"/>
    <n v="1.2"/>
    <n v="6.5000000000000002E-2"/>
    <n v="15"/>
    <n v="21"/>
    <n v="0.99460000000000004"/>
    <n v="3.39"/>
    <n v="0.47"/>
    <n v="10"/>
    <n v="7"/>
    <x v="1"/>
    <s v="Normal"/>
    <n v="19.404999999999998"/>
    <n v="1003"/>
    <n v="6"/>
    <x v="1"/>
  </r>
  <r>
    <x v="8"/>
    <n v="7.8"/>
    <n v="0.57999999999999996"/>
    <n v="0.02"/>
    <n v="2"/>
    <n v="7.2999999999999995E-2"/>
    <n v="9"/>
    <n v="18"/>
    <n v="0.99680000000000002"/>
    <n v="3.36"/>
    <n v="0.56999999999999995"/>
    <n v="9.5"/>
    <n v="7"/>
    <x v="1"/>
    <s v="Normal"/>
    <n v="18.695"/>
    <n v="1294"/>
    <n v="9"/>
    <x v="0"/>
  </r>
  <r>
    <x v="9"/>
    <n v="7.5"/>
    <n v="0.5"/>
    <n v="0.36"/>
    <n v="6.1"/>
    <n v="7.0999999999999994E-2"/>
    <n v="17"/>
    <n v="102"/>
    <n v="0.99780000000000002"/>
    <n v="3.35"/>
    <n v="0.8"/>
    <n v="10.5"/>
    <n v="5"/>
    <x v="0"/>
    <s v="Normal"/>
    <n v="21.2"/>
    <n v="602"/>
    <n v="85"/>
    <x v="1"/>
  </r>
  <r>
    <x v="10"/>
    <n v="6.7"/>
    <n v="0.57999999999999996"/>
    <n v="0.08"/>
    <n v="1.8"/>
    <n v="9.7000000000000003E-2"/>
    <n v="15"/>
    <n v="65"/>
    <n v="0.99590000000000001"/>
    <n v="3.28"/>
    <n v="0.54"/>
    <n v="9.1999999999999993"/>
    <n v="5"/>
    <x v="0"/>
    <s v="Normal"/>
    <n v="18.049999999999997"/>
    <n v="1513"/>
    <n v="50"/>
    <x v="0"/>
  </r>
  <r>
    <x v="11"/>
    <n v="7.5"/>
    <n v="0.5"/>
    <n v="0.36"/>
    <n v="6.1"/>
    <n v="7.0999999999999994E-2"/>
    <n v="17"/>
    <n v="102"/>
    <n v="0.99780000000000002"/>
    <n v="3.35"/>
    <n v="0.8"/>
    <n v="10.5"/>
    <n v="5"/>
    <x v="0"/>
    <s v="Normal"/>
    <n v="21.2"/>
    <n v="602"/>
    <n v="85"/>
    <x v="1"/>
  </r>
  <r>
    <x v="12"/>
    <n v="5.6"/>
    <n v="0.61499999999999999"/>
    <n v="0"/>
    <n v="1.6"/>
    <n v="8.8999999999999996E-2"/>
    <n v="16"/>
    <n v="59"/>
    <n v="0.99429999999999996"/>
    <n v="3.58"/>
    <n v="0.52"/>
    <n v="9.9"/>
    <n v="5"/>
    <x v="0"/>
    <s v="Normal"/>
    <n v="19.350000000000001"/>
    <n v="1024"/>
    <n v="43"/>
    <x v="0"/>
  </r>
  <r>
    <x v="13"/>
    <n v="7.8"/>
    <n v="0.61"/>
    <n v="0.28999999999999998"/>
    <n v="1.6"/>
    <n v="0.114"/>
    <n v="9"/>
    <n v="29"/>
    <n v="0.99739999999999995"/>
    <n v="3.26"/>
    <n v="1.56"/>
    <n v="9.1"/>
    <n v="5"/>
    <x v="0"/>
    <s v="Normal"/>
    <n v="19.32"/>
    <n v="1035"/>
    <n v="20"/>
    <x v="0"/>
  </r>
  <r>
    <x v="14"/>
    <n v="8.9"/>
    <n v="0.62"/>
    <n v="0.18"/>
    <n v="3.8"/>
    <n v="0.17599999999999999"/>
    <n v="52"/>
    <n v="145"/>
    <n v="0.99860000000000004"/>
    <n v="3.16"/>
    <n v="0.88"/>
    <n v="9.1999999999999993"/>
    <n v="5"/>
    <x v="0"/>
    <s v="High"/>
    <n v="18.48"/>
    <n v="1380"/>
    <n v="93"/>
    <x v="0"/>
  </r>
  <r>
    <x v="15"/>
    <n v="8.9"/>
    <n v="0.62"/>
    <n v="0.19"/>
    <n v="3.9"/>
    <n v="0.17"/>
    <n v="51"/>
    <n v="148"/>
    <n v="0.99860000000000004"/>
    <n v="3.17"/>
    <n v="0.93"/>
    <n v="9.1999999999999993"/>
    <n v="5"/>
    <x v="0"/>
    <s v="High"/>
    <n v="18.555"/>
    <n v="1358"/>
    <n v="97"/>
    <x v="0"/>
  </r>
  <r>
    <x v="16"/>
    <n v="8.5"/>
    <n v="0.28000000000000003"/>
    <n v="0.56000000000000005"/>
    <n v="1.8"/>
    <n v="9.1999999999999998E-2"/>
    <n v="35"/>
    <n v="103"/>
    <n v="0.99690000000000001"/>
    <n v="3.3"/>
    <n v="0.75"/>
    <n v="10.5"/>
    <n v="7"/>
    <x v="1"/>
    <s v="High"/>
    <n v="21.565000000000001"/>
    <n v="535"/>
    <n v="68"/>
    <x v="1"/>
  </r>
  <r>
    <x v="17"/>
    <n v="8.1"/>
    <n v="0.56000000000000005"/>
    <n v="0.28000000000000003"/>
    <n v="1.7"/>
    <n v="0.36799999999999999"/>
    <n v="16"/>
    <n v="56"/>
    <n v="0.99680000000000002"/>
    <n v="3.11"/>
    <n v="1.28"/>
    <n v="9.3000000000000007"/>
    <n v="5"/>
    <x v="0"/>
    <s v="Normal"/>
    <n v="19.400000000000002"/>
    <n v="1004"/>
    <n v="40"/>
    <x v="0"/>
  </r>
  <r>
    <x v="18"/>
    <n v="7.4"/>
    <n v="0.59"/>
    <n v="0.08"/>
    <n v="4.4000000000000004"/>
    <n v="8.5999999999999993E-2"/>
    <n v="6"/>
    <n v="29"/>
    <n v="0.99739999999999995"/>
    <n v="3.38"/>
    <n v="0.5"/>
    <n v="9"/>
    <n v="4"/>
    <x v="2"/>
    <s v="Normal"/>
    <n v="17.57"/>
    <n v="1581"/>
    <n v="23"/>
    <x v="0"/>
  </r>
  <r>
    <x v="19"/>
    <n v="7.9"/>
    <n v="0.32"/>
    <n v="0.51"/>
    <n v="1.8"/>
    <n v="0.34100000000000003"/>
    <n v="17"/>
    <n v="56"/>
    <n v="0.99690000000000001"/>
    <n v="3.04"/>
    <n v="1.08"/>
    <n v="9.1999999999999993"/>
    <n v="6"/>
    <x v="0"/>
    <s v="Normal"/>
    <n v="19.38"/>
    <n v="1015"/>
    <n v="39"/>
    <x v="0"/>
  </r>
  <r>
    <x v="20"/>
    <n v="8.9"/>
    <n v="0.22"/>
    <n v="0.48"/>
    <n v="1.8"/>
    <n v="7.6999999999999999E-2"/>
    <n v="29"/>
    <n v="60"/>
    <n v="0.99680000000000002"/>
    <n v="3.39"/>
    <n v="0.53"/>
    <n v="9.4"/>
    <n v="6"/>
    <x v="0"/>
    <s v="Normal"/>
    <n v="19.155000000000001"/>
    <n v="1104"/>
    <n v="31"/>
    <x v="0"/>
  </r>
  <r>
    <x v="21"/>
    <n v="7.6"/>
    <n v="0.39"/>
    <n v="0.31"/>
    <n v="2.2999999999999998"/>
    <n v="8.2000000000000003E-2"/>
    <n v="23"/>
    <n v="71"/>
    <n v="0.99819999999999998"/>
    <n v="3.52"/>
    <n v="0.65"/>
    <n v="9.6999999999999993"/>
    <n v="5"/>
    <x v="0"/>
    <s v="Normal"/>
    <n v="19.594999999999999"/>
    <n v="953"/>
    <n v="48"/>
    <x v="0"/>
  </r>
  <r>
    <x v="22"/>
    <n v="7.9"/>
    <n v="0.43"/>
    <n v="0.21"/>
    <n v="1.6"/>
    <n v="0.106"/>
    <n v="10"/>
    <n v="37"/>
    <n v="0.99660000000000004"/>
    <n v="3.17"/>
    <n v="0.91"/>
    <n v="9.5"/>
    <n v="5"/>
    <x v="0"/>
    <s v="Normal"/>
    <n v="19.504999999999999"/>
    <n v="971"/>
    <n v="27"/>
    <x v="0"/>
  </r>
  <r>
    <x v="23"/>
    <n v="8.5"/>
    <n v="0.49"/>
    <n v="0.11"/>
    <n v="2.2999999999999998"/>
    <n v="8.4000000000000005E-2"/>
    <n v="9"/>
    <n v="67"/>
    <n v="0.99680000000000002"/>
    <n v="3.17"/>
    <n v="0.53"/>
    <n v="9.4"/>
    <n v="5"/>
    <x v="0"/>
    <s v="High"/>
    <n v="18.615000000000002"/>
    <n v="1337"/>
    <n v="58"/>
    <x v="0"/>
  </r>
  <r>
    <x v="24"/>
    <n v="6.9"/>
    <n v="0.4"/>
    <n v="0.14000000000000001"/>
    <n v="2.4"/>
    <n v="8.5000000000000006E-2"/>
    <n v="21"/>
    <n v="40"/>
    <n v="0.99680000000000002"/>
    <n v="3.43"/>
    <n v="0.63"/>
    <n v="9.6999999999999993"/>
    <n v="6"/>
    <x v="0"/>
    <s v="Normal"/>
    <n v="19.544999999999998"/>
    <n v="965"/>
    <n v="19"/>
    <x v="0"/>
  </r>
  <r>
    <x v="25"/>
    <n v="6.3"/>
    <n v="0.39"/>
    <n v="0.16"/>
    <n v="1.4"/>
    <n v="0.08"/>
    <n v="11"/>
    <n v="23"/>
    <n v="0.99550000000000005"/>
    <n v="3.34"/>
    <n v="0.56000000000000005"/>
    <n v="9.3000000000000007"/>
    <n v="5"/>
    <x v="0"/>
    <s v="Normal"/>
    <n v="18.66"/>
    <n v="1312"/>
    <n v="12"/>
    <x v="0"/>
  </r>
  <r>
    <x v="26"/>
    <n v="7.6"/>
    <n v="0.41"/>
    <n v="0.24"/>
    <n v="1.8"/>
    <n v="0.08"/>
    <n v="4"/>
    <n v="11"/>
    <n v="0.99619999999999997"/>
    <n v="3.28"/>
    <n v="0.59"/>
    <n v="9.5"/>
    <n v="5"/>
    <x v="0"/>
    <s v="Normal"/>
    <n v="19.065000000000001"/>
    <n v="1140"/>
    <n v="7"/>
    <x v="0"/>
  </r>
  <r>
    <x v="27"/>
    <n v="7.9"/>
    <n v="0.43"/>
    <n v="0.21"/>
    <n v="1.6"/>
    <n v="0.106"/>
    <n v="10"/>
    <n v="37"/>
    <n v="0.99660000000000004"/>
    <n v="3.17"/>
    <n v="0.91"/>
    <n v="9.5"/>
    <n v="5"/>
    <x v="0"/>
    <s v="Normal"/>
    <n v="19.504999999999999"/>
    <n v="971"/>
    <n v="27"/>
    <x v="0"/>
  </r>
  <r>
    <x v="28"/>
    <n v="7.1"/>
    <n v="0.71"/>
    <n v="0"/>
    <n v="1.9"/>
    <n v="0.08"/>
    <n v="14"/>
    <n v="35"/>
    <n v="0.99719999999999998"/>
    <n v="3.47"/>
    <n v="0.55000000000000004"/>
    <n v="9.4"/>
    <n v="5"/>
    <x v="0"/>
    <s v="Normal"/>
    <n v="18.204999999999998"/>
    <n v="1481"/>
    <n v="21"/>
    <x v="0"/>
  </r>
  <r>
    <x v="29"/>
    <n v="7.8"/>
    <n v="0.64500000000000002"/>
    <n v="0"/>
    <n v="2"/>
    <n v="8.2000000000000003E-2"/>
    <n v="8"/>
    <n v="16"/>
    <n v="0.99639999999999995"/>
    <n v="3.38"/>
    <n v="0.59"/>
    <n v="9.8000000000000007"/>
    <n v="6"/>
    <x v="0"/>
    <s v="Normal"/>
    <n v="19.195000000000004"/>
    <n v="1083"/>
    <n v="8"/>
    <x v="0"/>
  </r>
  <r>
    <x v="30"/>
    <n v="6.7"/>
    <n v="0.67500000000000004"/>
    <n v="7.0000000000000007E-2"/>
    <n v="2.4"/>
    <n v="8.8999999999999996E-2"/>
    <n v="17"/>
    <n v="82"/>
    <n v="0.99580000000000002"/>
    <n v="3.35"/>
    <n v="0.54"/>
    <n v="10.1"/>
    <n v="5"/>
    <x v="0"/>
    <s v="Normal"/>
    <n v="19.659999999999997"/>
    <n v="935"/>
    <n v="65"/>
    <x v="1"/>
  </r>
  <r>
    <x v="31"/>
    <n v="6.9"/>
    <n v="0.68500000000000005"/>
    <n v="0"/>
    <n v="2.5"/>
    <n v="0.105"/>
    <n v="22"/>
    <n v="37"/>
    <n v="0.99660000000000004"/>
    <n v="3.46"/>
    <n v="0.56999999999999995"/>
    <n v="10.6"/>
    <n v="6"/>
    <x v="0"/>
    <s v="Normal"/>
    <n v="20.684999999999999"/>
    <n v="726"/>
    <n v="15"/>
    <x v="1"/>
  </r>
  <r>
    <x v="32"/>
    <n v="8.3000000000000007"/>
    <n v="0.65500000000000003"/>
    <n v="0.12"/>
    <n v="2.2999999999999998"/>
    <n v="8.3000000000000004E-2"/>
    <n v="15"/>
    <n v="113"/>
    <n v="0.99660000000000004"/>
    <n v="3.17"/>
    <n v="0.66"/>
    <n v="9.8000000000000007"/>
    <n v="5"/>
    <x v="0"/>
    <s v="Normal"/>
    <n v="19.28"/>
    <n v="1046"/>
    <n v="98"/>
    <x v="0"/>
  </r>
  <r>
    <x v="33"/>
    <n v="6.9"/>
    <n v="0.60499999999999998"/>
    <n v="0.12"/>
    <n v="10.7"/>
    <n v="7.2999999999999995E-2"/>
    <n v="40"/>
    <n v="83"/>
    <n v="0.99929999999999997"/>
    <n v="3.45"/>
    <n v="0.52"/>
    <n v="9.4"/>
    <n v="6"/>
    <x v="0"/>
    <s v="Normal"/>
    <n v="18.37"/>
    <n v="1429"/>
    <n v="43"/>
    <x v="0"/>
  </r>
  <r>
    <x v="34"/>
    <n v="5.2"/>
    <n v="0.32"/>
    <n v="0.25"/>
    <n v="1.8"/>
    <n v="0.10299999999999999"/>
    <n v="13"/>
    <n v="50"/>
    <n v="0.99570000000000003"/>
    <n v="3.38"/>
    <n v="0.55000000000000004"/>
    <n v="9.1999999999999993"/>
    <n v="5"/>
    <x v="0"/>
    <s v="Normal"/>
    <n v="18.584999999999997"/>
    <n v="1349"/>
    <n v="37"/>
    <x v="0"/>
  </r>
  <r>
    <x v="35"/>
    <n v="7.8"/>
    <n v="0.64500000000000002"/>
    <n v="0"/>
    <n v="5.5"/>
    <n v="8.5999999999999993E-2"/>
    <n v="5"/>
    <n v="18"/>
    <n v="0.99860000000000004"/>
    <n v="3.4"/>
    <n v="0.55000000000000004"/>
    <n v="9.6"/>
    <n v="6"/>
    <x v="0"/>
    <s v="Normal"/>
    <n v="18.734999999999999"/>
    <n v="1269"/>
    <n v="13"/>
    <x v="0"/>
  </r>
  <r>
    <x v="36"/>
    <n v="7.8"/>
    <n v="0.6"/>
    <n v="0.14000000000000001"/>
    <n v="2.4"/>
    <n v="8.5999999999999993E-2"/>
    <n v="3"/>
    <n v="15"/>
    <n v="0.99750000000000005"/>
    <n v="3.42"/>
    <n v="0.6"/>
    <n v="10.8"/>
    <n v="6"/>
    <x v="0"/>
    <s v="Normal"/>
    <n v="21.3"/>
    <n v="579"/>
    <n v="12"/>
    <x v="1"/>
  </r>
  <r>
    <x v="37"/>
    <n v="8.1"/>
    <n v="0.38"/>
    <n v="0.28000000000000003"/>
    <n v="2.1"/>
    <n v="6.6000000000000003E-2"/>
    <n v="13"/>
    <n v="30"/>
    <n v="0.99680000000000002"/>
    <n v="3.23"/>
    <n v="0.73"/>
    <n v="9.6999999999999993"/>
    <n v="7"/>
    <x v="1"/>
    <s v="Normal"/>
    <n v="19.734999999999996"/>
    <n v="921"/>
    <n v="17"/>
    <x v="0"/>
  </r>
  <r>
    <x v="38"/>
    <n v="5.7"/>
    <n v="1.1299999999999999"/>
    <n v="0.09"/>
    <n v="1.5"/>
    <n v="0.17199999999999999"/>
    <n v="7"/>
    <n v="19"/>
    <n v="0.99399999999999999"/>
    <n v="3.5"/>
    <n v="0.48"/>
    <n v="9.8000000000000007"/>
    <n v="4"/>
    <x v="2"/>
    <s v="Normal"/>
    <n v="18.060000000000002"/>
    <n v="1511"/>
    <n v="12"/>
    <x v="0"/>
  </r>
  <r>
    <x v="39"/>
    <n v="7.3"/>
    <n v="0.45"/>
    <n v="0.36"/>
    <n v="5.9"/>
    <n v="7.3999999999999996E-2"/>
    <n v="12"/>
    <n v="87"/>
    <n v="0.99780000000000002"/>
    <n v="3.33"/>
    <n v="0.83"/>
    <n v="10.5"/>
    <n v="5"/>
    <x v="0"/>
    <s v="Normal"/>
    <n v="21.345000000000002"/>
    <n v="570"/>
    <n v="75"/>
    <x v="1"/>
  </r>
  <r>
    <x v="40"/>
    <n v="7.3"/>
    <n v="0.45"/>
    <n v="0.36"/>
    <n v="5.9"/>
    <n v="7.3999999999999996E-2"/>
    <n v="12"/>
    <n v="87"/>
    <n v="0.99780000000000002"/>
    <n v="3.33"/>
    <n v="0.83"/>
    <n v="10.5"/>
    <n v="5"/>
    <x v="0"/>
    <s v="Normal"/>
    <n v="21.345000000000002"/>
    <n v="570"/>
    <n v="75"/>
    <x v="1"/>
  </r>
  <r>
    <x v="41"/>
    <n v="8.8000000000000007"/>
    <n v="0.61"/>
    <n v="0.3"/>
    <n v="2.8"/>
    <n v="8.7999999999999995E-2"/>
    <n v="17"/>
    <n v="46"/>
    <n v="0.99760000000000004"/>
    <n v="3.26"/>
    <n v="0.51"/>
    <n v="9.3000000000000007"/>
    <n v="4"/>
    <x v="2"/>
    <s v="High"/>
    <n v="18.145000000000003"/>
    <n v="1487"/>
    <n v="29"/>
    <x v="0"/>
  </r>
  <r>
    <x v="42"/>
    <n v="7.5"/>
    <n v="0.49"/>
    <n v="0.2"/>
    <n v="2.6"/>
    <n v="0.33200000000000002"/>
    <n v="8"/>
    <n v="14"/>
    <n v="0.99680000000000002"/>
    <n v="3.21"/>
    <n v="0.9"/>
    <n v="10.5"/>
    <n v="6"/>
    <x v="0"/>
    <s v="Normal"/>
    <n v="21.37"/>
    <n v="563"/>
    <n v="6"/>
    <x v="1"/>
  </r>
  <r>
    <x v="43"/>
    <n v="8.1"/>
    <n v="0.66"/>
    <n v="0.22"/>
    <n v="2.2000000000000002"/>
    <n v="6.9000000000000006E-2"/>
    <n v="9"/>
    <n v="23"/>
    <n v="0.99680000000000002"/>
    <n v="3.3"/>
    <n v="1.2"/>
    <n v="10.3"/>
    <n v="5"/>
    <x v="0"/>
    <s v="Normal"/>
    <n v="21.080000000000002"/>
    <n v="635"/>
    <n v="14"/>
    <x v="1"/>
  </r>
  <r>
    <x v="44"/>
    <n v="6.8"/>
    <n v="0.67"/>
    <n v="0.02"/>
    <n v="1.8"/>
    <n v="0.05"/>
    <n v="5"/>
    <n v="11"/>
    <n v="0.99619999999999997"/>
    <n v="3.48"/>
    <n v="0.52"/>
    <n v="9.5"/>
    <n v="5"/>
    <x v="0"/>
    <s v="Normal"/>
    <n v="18.440000000000001"/>
    <n v="1396"/>
    <n v="6"/>
    <x v="0"/>
  </r>
  <r>
    <x v="45"/>
    <n v="4.5999999999999996"/>
    <n v="0.52"/>
    <n v="0.15"/>
    <n v="2.1"/>
    <n v="5.3999999999999999E-2"/>
    <n v="8"/>
    <n v="65"/>
    <n v="0.99339999999999995"/>
    <n v="3.9"/>
    <n v="0.56000000000000005"/>
    <n v="13.1"/>
    <n v="4"/>
    <x v="2"/>
    <s v="Normal"/>
    <n v="26"/>
    <n v="33"/>
    <n v="57"/>
    <x v="1"/>
  </r>
  <r>
    <x v="46"/>
    <n v="7.7"/>
    <n v="0.93500000000000005"/>
    <n v="0.43"/>
    <n v="2.2000000000000002"/>
    <n v="0.114"/>
    <n v="22"/>
    <n v="114"/>
    <n v="0.997"/>
    <n v="3.25"/>
    <n v="0.73"/>
    <n v="9.1999999999999993"/>
    <n v="5"/>
    <x v="0"/>
    <s v="Normal"/>
    <n v="17.624999999999996"/>
    <n v="1575"/>
    <n v="92"/>
    <x v="0"/>
  </r>
  <r>
    <x v="47"/>
    <n v="8.6999999999999993"/>
    <n v="0.28999999999999998"/>
    <n v="0.52"/>
    <n v="1.6"/>
    <n v="0.113"/>
    <n v="12"/>
    <n v="37"/>
    <n v="0.99690000000000001"/>
    <n v="3.25"/>
    <n v="0.57999999999999996"/>
    <n v="9.5"/>
    <n v="5"/>
    <x v="0"/>
    <s v="High"/>
    <n v="19.290000000000003"/>
    <n v="1045"/>
    <n v="25"/>
    <x v="0"/>
  </r>
  <r>
    <x v="48"/>
    <n v="6.4"/>
    <n v="0.4"/>
    <n v="0.23"/>
    <n v="1.6"/>
    <n v="6.6000000000000003E-2"/>
    <n v="5"/>
    <n v="12"/>
    <n v="0.99580000000000002"/>
    <n v="3.34"/>
    <n v="0.56000000000000005"/>
    <n v="9.1999999999999993"/>
    <n v="5"/>
    <x v="0"/>
    <s v="Normal"/>
    <n v="18.439999999999998"/>
    <n v="1397"/>
    <n v="7"/>
    <x v="0"/>
  </r>
  <r>
    <x v="49"/>
    <n v="5.6"/>
    <n v="0.31"/>
    <n v="0.37"/>
    <n v="1.4"/>
    <n v="7.3999999999999996E-2"/>
    <n v="12"/>
    <n v="96"/>
    <n v="0.99539999999999995"/>
    <n v="3.32"/>
    <n v="0.57999999999999996"/>
    <n v="9.1999999999999993"/>
    <n v="5"/>
    <x v="0"/>
    <s v="Normal"/>
    <n v="18.649999999999999"/>
    <n v="1321"/>
    <n v="84"/>
    <x v="0"/>
  </r>
  <r>
    <x v="50"/>
    <n v="8.8000000000000007"/>
    <n v="0.66"/>
    <n v="0.26"/>
    <n v="1.7"/>
    <n v="7.3999999999999996E-2"/>
    <n v="4"/>
    <n v="23"/>
    <n v="0.99709999999999999"/>
    <n v="3.15"/>
    <n v="0.74"/>
    <n v="9.1999999999999993"/>
    <n v="5"/>
    <x v="0"/>
    <s v="High"/>
    <n v="18.189999999999998"/>
    <n v="1482"/>
    <n v="19"/>
    <x v="0"/>
  </r>
  <r>
    <x v="51"/>
    <n v="6.6"/>
    <n v="0.52"/>
    <n v="0.04"/>
    <n v="2.2000000000000002"/>
    <n v="6.9000000000000006E-2"/>
    <n v="8"/>
    <n v="15"/>
    <n v="0.99560000000000004"/>
    <n v="3.4"/>
    <n v="0.63"/>
    <n v="9.4"/>
    <n v="6"/>
    <x v="0"/>
    <s v="Normal"/>
    <n v="18.705000000000002"/>
    <n v="1288"/>
    <n v="7"/>
    <x v="0"/>
  </r>
  <r>
    <x v="52"/>
    <n v="6.6"/>
    <n v="0.5"/>
    <n v="0.04"/>
    <n v="2.1"/>
    <n v="6.8000000000000005E-2"/>
    <n v="6"/>
    <n v="14"/>
    <n v="0.99550000000000005"/>
    <n v="3.39"/>
    <n v="0.64"/>
    <n v="9.4"/>
    <n v="6"/>
    <x v="0"/>
    <s v="Normal"/>
    <n v="18.760000000000002"/>
    <n v="1258"/>
    <n v="8"/>
    <x v="0"/>
  </r>
  <r>
    <x v="53"/>
    <n v="8.6"/>
    <n v="0.38"/>
    <n v="0.36"/>
    <n v="3"/>
    <n v="8.1000000000000003E-2"/>
    <n v="30"/>
    <n v="119"/>
    <n v="0.997"/>
    <n v="3.2"/>
    <n v="0.56000000000000005"/>
    <n v="9.4"/>
    <n v="5"/>
    <x v="0"/>
    <s v="High"/>
    <n v="18.88"/>
    <n v="1211"/>
    <n v="89"/>
    <x v="0"/>
  </r>
  <r>
    <x v="54"/>
    <n v="7.6"/>
    <n v="0.51"/>
    <n v="0.15"/>
    <n v="2.8"/>
    <n v="0.11"/>
    <n v="33"/>
    <n v="73"/>
    <n v="0.99550000000000005"/>
    <n v="3.17"/>
    <n v="0.63"/>
    <n v="10.199999999999999"/>
    <n v="6"/>
    <x v="0"/>
    <s v="Normal"/>
    <n v="20.324999999999999"/>
    <n v="787"/>
    <n v="40"/>
    <x v="0"/>
  </r>
  <r>
    <x v="55"/>
    <n v="7.7"/>
    <n v="0.62"/>
    <n v="0.04"/>
    <n v="3.8"/>
    <n v="8.4000000000000005E-2"/>
    <n v="25"/>
    <n v="45"/>
    <n v="0.99780000000000002"/>
    <n v="3.34"/>
    <n v="0.53"/>
    <n v="9.5"/>
    <n v="5"/>
    <x v="0"/>
    <s v="Normal"/>
    <n v="18.555000000000003"/>
    <n v="1357"/>
    <n v="20"/>
    <x v="0"/>
  </r>
  <r>
    <x v="56"/>
    <n v="10.199999999999999"/>
    <n v="0.42"/>
    <n v="0.56999999999999995"/>
    <n v="3.4"/>
    <n v="7.0000000000000007E-2"/>
    <n v="4"/>
    <n v="10"/>
    <n v="0.99709999999999999"/>
    <n v="3.04"/>
    <n v="0.63"/>
    <n v="9.6"/>
    <n v="5"/>
    <x v="0"/>
    <s v="High"/>
    <n v="19.305"/>
    <n v="1042"/>
    <n v="6"/>
    <x v="0"/>
  </r>
  <r>
    <x v="57"/>
    <n v="7.5"/>
    <n v="0.63"/>
    <n v="0.12"/>
    <n v="5.0999999999999996"/>
    <n v="0.111"/>
    <n v="50"/>
    <n v="110"/>
    <n v="0.99829999999999997"/>
    <n v="3.26"/>
    <n v="0.77"/>
    <n v="9.4"/>
    <n v="5"/>
    <x v="0"/>
    <s v="Normal"/>
    <n v="18.695"/>
    <n v="1294"/>
    <n v="60"/>
    <x v="0"/>
  </r>
  <r>
    <x v="58"/>
    <n v="7.8"/>
    <n v="0.59"/>
    <n v="0.18"/>
    <n v="2.2999999999999998"/>
    <n v="7.5999999999999998E-2"/>
    <n v="17"/>
    <n v="54"/>
    <n v="0.99750000000000005"/>
    <n v="3.43"/>
    <n v="0.59"/>
    <n v="10"/>
    <n v="5"/>
    <x v="0"/>
    <s v="Normal"/>
    <n v="19.705000000000002"/>
    <n v="926"/>
    <n v="37"/>
    <x v="1"/>
  </r>
  <r>
    <x v="59"/>
    <n v="7.3"/>
    <n v="0.39"/>
    <n v="0.31"/>
    <n v="2.4"/>
    <n v="7.3999999999999996E-2"/>
    <n v="9"/>
    <n v="46"/>
    <n v="0.99619999999999997"/>
    <n v="3.41"/>
    <n v="0.54"/>
    <n v="9.4"/>
    <n v="6"/>
    <x v="0"/>
    <s v="Normal"/>
    <n v="18.829999999999998"/>
    <n v="1235"/>
    <n v="37"/>
    <x v="0"/>
  </r>
  <r>
    <x v="60"/>
    <n v="8.8000000000000007"/>
    <n v="0.4"/>
    <n v="0.4"/>
    <n v="2.2000000000000002"/>
    <n v="7.9000000000000001E-2"/>
    <n v="19"/>
    <n v="52"/>
    <n v="0.998"/>
    <n v="3.44"/>
    <n v="0.64"/>
    <n v="9.1999999999999993"/>
    <n v="5"/>
    <x v="0"/>
    <s v="Normal"/>
    <n v="18.559999999999999"/>
    <n v="1355"/>
    <n v="33"/>
    <x v="0"/>
  </r>
  <r>
    <x v="61"/>
    <n v="7.7"/>
    <n v="0.69"/>
    <n v="0.49"/>
    <n v="1.8"/>
    <n v="0.115"/>
    <n v="20"/>
    <n v="112"/>
    <n v="0.99680000000000002"/>
    <n v="3.21"/>
    <n v="0.71"/>
    <n v="9.3000000000000007"/>
    <n v="5"/>
    <x v="0"/>
    <s v="Normal"/>
    <n v="18.285000000000004"/>
    <n v="1456"/>
    <n v="92"/>
    <x v="0"/>
  </r>
  <r>
    <x v="62"/>
    <n v="7.5"/>
    <n v="0.52"/>
    <n v="0.16"/>
    <n v="1.9"/>
    <n v="8.5000000000000006E-2"/>
    <n v="12"/>
    <n v="35"/>
    <n v="0.99680000000000002"/>
    <n v="3.38"/>
    <n v="0.62"/>
    <n v="9.5"/>
    <n v="7"/>
    <x v="1"/>
    <s v="Normal"/>
    <n v="18.89"/>
    <n v="1208"/>
    <n v="23"/>
    <x v="0"/>
  </r>
  <r>
    <x v="63"/>
    <n v="7"/>
    <n v="0.73499999999999999"/>
    <n v="0.05"/>
    <n v="2"/>
    <n v="8.1000000000000003E-2"/>
    <n v="13"/>
    <n v="54"/>
    <n v="0.99660000000000004"/>
    <n v="3.39"/>
    <n v="0.56999999999999995"/>
    <n v="9.8000000000000007"/>
    <n v="5"/>
    <x v="0"/>
    <s v="Normal"/>
    <n v="18.985000000000003"/>
    <n v="1170"/>
    <n v="41"/>
    <x v="0"/>
  </r>
  <r>
    <x v="64"/>
    <n v="7.2"/>
    <n v="0.72499999999999998"/>
    <n v="0.05"/>
    <n v="4.6500000000000004"/>
    <n v="8.5999999999999993E-2"/>
    <n v="4"/>
    <n v="11"/>
    <n v="0.99619999999999997"/>
    <n v="3.41"/>
    <n v="0.39"/>
    <n v="10.9"/>
    <n v="5"/>
    <x v="0"/>
    <s v="Normal"/>
    <n v="20.935000000000002"/>
    <n v="665"/>
    <n v="7"/>
    <x v="1"/>
  </r>
  <r>
    <x v="65"/>
    <n v="7.2"/>
    <n v="0.72499999999999998"/>
    <n v="0.05"/>
    <n v="4.6500000000000004"/>
    <n v="8.5999999999999993E-2"/>
    <n v="4"/>
    <n v="11"/>
    <n v="0.99619999999999997"/>
    <n v="3.41"/>
    <n v="0.39"/>
    <n v="10.9"/>
    <n v="5"/>
    <x v="0"/>
    <s v="Normal"/>
    <n v="20.935000000000002"/>
    <n v="665"/>
    <n v="7"/>
    <x v="1"/>
  </r>
  <r>
    <x v="66"/>
    <n v="7.5"/>
    <n v="0.52"/>
    <n v="0.11"/>
    <n v="1.5"/>
    <n v="7.9000000000000001E-2"/>
    <n v="11"/>
    <n v="39"/>
    <n v="0.99680000000000002"/>
    <n v="3.42"/>
    <n v="0.57999999999999996"/>
    <n v="9.6"/>
    <n v="5"/>
    <x v="0"/>
    <s v="Normal"/>
    <n v="19.03"/>
    <n v="1152"/>
    <n v="28"/>
    <x v="0"/>
  </r>
  <r>
    <x v="67"/>
    <n v="6.6"/>
    <n v="0.70499999999999996"/>
    <n v="7.0000000000000007E-2"/>
    <n v="1.6"/>
    <n v="7.5999999999999998E-2"/>
    <n v="6"/>
    <n v="15"/>
    <n v="0.99619999999999997"/>
    <n v="3.44"/>
    <n v="0.57999999999999996"/>
    <n v="10.7"/>
    <n v="5"/>
    <x v="0"/>
    <s v="Normal"/>
    <n v="20.86"/>
    <n v="683"/>
    <n v="9"/>
    <x v="1"/>
  </r>
  <r>
    <x v="68"/>
    <n v="9.3000000000000007"/>
    <n v="0.32"/>
    <n v="0.56999999999999995"/>
    <n v="2"/>
    <n v="7.3999999999999996E-2"/>
    <n v="27"/>
    <n v="65"/>
    <n v="0.99690000000000001"/>
    <n v="3.28"/>
    <n v="0.79"/>
    <n v="10.7"/>
    <n v="5"/>
    <x v="0"/>
    <s v="High"/>
    <n v="21.944999999999997"/>
    <n v="464"/>
    <n v="38"/>
    <x v="1"/>
  </r>
  <r>
    <x v="69"/>
    <n v="8"/>
    <n v="0.70499999999999996"/>
    <n v="0.05"/>
    <n v="1.9"/>
    <n v="7.3999999999999996E-2"/>
    <n v="8"/>
    <n v="19"/>
    <n v="0.99619999999999997"/>
    <n v="3.34"/>
    <n v="0.95"/>
    <n v="10.5"/>
    <n v="6"/>
    <x v="0"/>
    <s v="Normal"/>
    <n v="21.015000000000001"/>
    <n v="649"/>
    <n v="11"/>
    <x v="1"/>
  </r>
  <r>
    <x v="70"/>
    <n v="7.7"/>
    <n v="0.63"/>
    <n v="0.08"/>
    <n v="1.9"/>
    <n v="7.5999999999999998E-2"/>
    <n v="15"/>
    <n v="27"/>
    <n v="0.99670000000000003"/>
    <n v="3.32"/>
    <n v="0.54"/>
    <n v="9.5"/>
    <n v="6"/>
    <x v="0"/>
    <s v="Normal"/>
    <n v="18.549999999999997"/>
    <n v="1361"/>
    <n v="12"/>
    <x v="0"/>
  </r>
  <r>
    <x v="71"/>
    <n v="7.7"/>
    <n v="0.67"/>
    <n v="0.23"/>
    <n v="2.1"/>
    <n v="8.7999999999999995E-2"/>
    <n v="17"/>
    <n v="96"/>
    <n v="0.99619999999999997"/>
    <n v="3.32"/>
    <n v="0.48"/>
    <n v="9.5"/>
    <n v="5"/>
    <x v="0"/>
    <s v="Normal"/>
    <n v="18.38"/>
    <n v="1424"/>
    <n v="79"/>
    <x v="0"/>
  </r>
  <r>
    <x v="72"/>
    <n v="7.7"/>
    <n v="0.69"/>
    <n v="0.22"/>
    <n v="1.9"/>
    <n v="8.4000000000000005E-2"/>
    <n v="18"/>
    <n v="94"/>
    <n v="0.99609999999999999"/>
    <n v="3.31"/>
    <n v="0.48"/>
    <n v="9.5"/>
    <n v="5"/>
    <x v="0"/>
    <s v="Normal"/>
    <n v="18.34"/>
    <n v="1440"/>
    <n v="76"/>
    <x v="0"/>
  </r>
  <r>
    <x v="73"/>
    <n v="8.3000000000000007"/>
    <n v="0.67500000000000004"/>
    <n v="0.26"/>
    <n v="2.1"/>
    <n v="8.4000000000000005E-2"/>
    <n v="11"/>
    <n v="43"/>
    <n v="0.99760000000000004"/>
    <n v="3.31"/>
    <n v="0.53"/>
    <n v="9.1999999999999993"/>
    <n v="4"/>
    <x v="2"/>
    <s v="Normal"/>
    <n v="17.844999999999999"/>
    <n v="1547"/>
    <n v="32"/>
    <x v="0"/>
  </r>
  <r>
    <x v="74"/>
    <n v="9.6999999999999993"/>
    <n v="0.32"/>
    <n v="0.54"/>
    <n v="2.5"/>
    <n v="9.4E-2"/>
    <n v="28"/>
    <n v="83"/>
    <n v="0.99839999999999995"/>
    <n v="3.28"/>
    <n v="0.82"/>
    <n v="9.6"/>
    <n v="5"/>
    <x v="0"/>
    <s v="High"/>
    <n v="19.79"/>
    <n v="907"/>
    <n v="55"/>
    <x v="0"/>
  </r>
  <r>
    <x v="75"/>
    <n v="8.8000000000000007"/>
    <n v="0.41"/>
    <n v="0.64"/>
    <n v="2.2000000000000002"/>
    <n v="9.2999999999999999E-2"/>
    <n v="9"/>
    <n v="42"/>
    <n v="0.99860000000000004"/>
    <n v="3.54"/>
    <n v="0.66"/>
    <n v="10.5"/>
    <n v="5"/>
    <x v="0"/>
    <s v="Normal"/>
    <n v="21.169999999999998"/>
    <n v="622"/>
    <n v="33"/>
    <x v="1"/>
  </r>
  <r>
    <x v="76"/>
    <n v="8.8000000000000007"/>
    <n v="0.41"/>
    <n v="0.64"/>
    <n v="2.2000000000000002"/>
    <n v="9.2999999999999999E-2"/>
    <n v="9"/>
    <n v="42"/>
    <n v="0.99860000000000004"/>
    <n v="3.54"/>
    <n v="0.66"/>
    <n v="10.5"/>
    <n v="5"/>
    <x v="0"/>
    <s v="Normal"/>
    <n v="21.169999999999998"/>
    <n v="622"/>
    <n v="33"/>
    <x v="1"/>
  </r>
  <r>
    <x v="77"/>
    <n v="6.8"/>
    <n v="0.78500000000000003"/>
    <n v="0"/>
    <n v="2.4"/>
    <n v="0.104"/>
    <n v="14"/>
    <n v="30"/>
    <n v="0.99660000000000004"/>
    <n v="3.52"/>
    <n v="0.55000000000000004"/>
    <n v="10.7"/>
    <n v="6"/>
    <x v="0"/>
    <s v="Normal"/>
    <n v="20.654999999999998"/>
    <n v="731"/>
    <n v="16"/>
    <x v="1"/>
  </r>
  <r>
    <x v="78"/>
    <n v="6.7"/>
    <n v="0.75"/>
    <n v="0.12"/>
    <n v="2"/>
    <n v="8.5999999999999993E-2"/>
    <n v="12"/>
    <n v="80"/>
    <n v="0.99580000000000002"/>
    <n v="3.38"/>
    <n v="0.52"/>
    <n v="10.1"/>
    <n v="5"/>
    <x v="0"/>
    <s v="Normal"/>
    <n v="19.48"/>
    <n v="983"/>
    <n v="68"/>
    <x v="1"/>
  </r>
  <r>
    <x v="79"/>
    <n v="8.3000000000000007"/>
    <n v="0.625"/>
    <n v="0.2"/>
    <n v="1.5"/>
    <n v="0.08"/>
    <n v="27"/>
    <n v="119"/>
    <n v="0.99719999999999998"/>
    <n v="3.16"/>
    <n v="1.1200000000000001"/>
    <n v="9.1"/>
    <n v="4"/>
    <x v="2"/>
    <s v="Normal"/>
    <n v="18.63"/>
    <n v="1332"/>
    <n v="92"/>
    <x v="0"/>
  </r>
  <r>
    <x v="80"/>
    <n v="6.2"/>
    <n v="0.45"/>
    <n v="0.2"/>
    <n v="1.6"/>
    <n v="6.9000000000000006E-2"/>
    <n v="3"/>
    <n v="15"/>
    <n v="0.99580000000000002"/>
    <n v="3.41"/>
    <n v="0.56000000000000005"/>
    <n v="9.1999999999999993"/>
    <n v="5"/>
    <x v="0"/>
    <s v="Normal"/>
    <n v="18.34"/>
    <n v="1440"/>
    <n v="12"/>
    <x v="0"/>
  </r>
  <r>
    <x v="81"/>
    <n v="7.8"/>
    <n v="0.43"/>
    <n v="0.7"/>
    <n v="1.9"/>
    <n v="0.46400000000000002"/>
    <n v="22"/>
    <n v="67"/>
    <n v="0.99739999999999995"/>
    <n v="3.13"/>
    <n v="1.28"/>
    <n v="9.4"/>
    <n v="5"/>
    <x v="0"/>
    <s v="Normal"/>
    <n v="19.86"/>
    <n v="893"/>
    <n v="45"/>
    <x v="0"/>
  </r>
  <r>
    <x v="82"/>
    <n v="7.4"/>
    <n v="0.5"/>
    <n v="0.47"/>
    <n v="2"/>
    <n v="8.5999999999999993E-2"/>
    <n v="21"/>
    <n v="73"/>
    <n v="0.997"/>
    <n v="3.36"/>
    <n v="0.56999999999999995"/>
    <n v="9.1"/>
    <n v="5"/>
    <x v="0"/>
    <s v="Normal"/>
    <n v="18.055"/>
    <n v="1512"/>
    <n v="52"/>
    <x v="0"/>
  </r>
  <r>
    <x v="83"/>
    <n v="7.3"/>
    <n v="0.67"/>
    <n v="0.26"/>
    <n v="1.8"/>
    <n v="0.40100000000000002"/>
    <n v="16"/>
    <n v="51"/>
    <n v="0.99690000000000001"/>
    <n v="3.16"/>
    <n v="1.1399999999999999"/>
    <n v="9.4"/>
    <n v="5"/>
    <x v="0"/>
    <s v="Normal"/>
    <n v="19.170000000000002"/>
    <n v="1098"/>
    <n v="35"/>
    <x v="0"/>
  </r>
  <r>
    <x v="84"/>
    <n v="6.3"/>
    <n v="0.3"/>
    <n v="0.48"/>
    <n v="1.8"/>
    <n v="6.9000000000000006E-2"/>
    <n v="18"/>
    <n v="61"/>
    <n v="0.99590000000000001"/>
    <n v="3.44"/>
    <n v="0.78"/>
    <n v="10.3"/>
    <n v="6"/>
    <x v="0"/>
    <s v="Normal"/>
    <n v="21.17"/>
    <n v="621"/>
    <n v="43"/>
    <x v="1"/>
  </r>
  <r>
    <x v="85"/>
    <n v="6.9"/>
    <n v="0.55000000000000004"/>
    <n v="0.15"/>
    <n v="2.2000000000000002"/>
    <n v="7.5999999999999998E-2"/>
    <n v="19"/>
    <n v="40"/>
    <n v="0.99609999999999999"/>
    <n v="3.41"/>
    <n v="0.59"/>
    <n v="10.1"/>
    <n v="5"/>
    <x v="0"/>
    <s v="Normal"/>
    <n v="19.984999999999999"/>
    <n v="856"/>
    <n v="21"/>
    <x v="1"/>
  </r>
  <r>
    <x v="86"/>
    <n v="8.6"/>
    <n v="0.49"/>
    <n v="0.28000000000000003"/>
    <n v="1.9"/>
    <n v="0.11"/>
    <n v="20"/>
    <n v="136"/>
    <n v="0.99719999999999998"/>
    <n v="2.93"/>
    <n v="1.95"/>
    <n v="9.9"/>
    <n v="6"/>
    <x v="0"/>
    <s v="High"/>
    <n v="21.745000000000001"/>
    <n v="495"/>
    <n v="116"/>
    <x v="0"/>
  </r>
  <r>
    <x v="87"/>
    <n v="7.7"/>
    <n v="0.49"/>
    <n v="0.26"/>
    <n v="1.9"/>
    <n v="6.2E-2"/>
    <n v="9"/>
    <n v="31"/>
    <n v="0.99660000000000004"/>
    <n v="3.39"/>
    <n v="0.64"/>
    <n v="9.6"/>
    <n v="5"/>
    <x v="0"/>
    <s v="Normal"/>
    <n v="19.18"/>
    <n v="1092"/>
    <n v="22"/>
    <x v="0"/>
  </r>
  <r>
    <x v="88"/>
    <n v="9.3000000000000007"/>
    <n v="0.39"/>
    <n v="0.44"/>
    <n v="2.1"/>
    <n v="0.107"/>
    <n v="34"/>
    <n v="125"/>
    <n v="0.99780000000000002"/>
    <n v="3.14"/>
    <n v="1.22"/>
    <n v="9.5"/>
    <n v="5"/>
    <x v="0"/>
    <s v="High"/>
    <n v="20.049999999999997"/>
    <n v="848"/>
    <n v="91"/>
    <x v="0"/>
  </r>
  <r>
    <x v="89"/>
    <n v="7"/>
    <n v="0.62"/>
    <n v="0.08"/>
    <n v="1.8"/>
    <n v="7.5999999999999998E-2"/>
    <n v="8"/>
    <n v="24"/>
    <n v="0.99780000000000002"/>
    <n v="3.48"/>
    <n v="0.53"/>
    <n v="9"/>
    <n v="5"/>
    <x v="0"/>
    <s v="Normal"/>
    <n v="17.555000000000003"/>
    <n v="1583"/>
    <n v="16"/>
    <x v="0"/>
  </r>
  <r>
    <x v="90"/>
    <n v="7.9"/>
    <n v="0.52"/>
    <n v="0.26"/>
    <n v="1.9"/>
    <n v="7.9000000000000001E-2"/>
    <n v="42"/>
    <n v="140"/>
    <n v="0.99639999999999995"/>
    <n v="3.23"/>
    <n v="0.54"/>
    <n v="9.5"/>
    <n v="5"/>
    <x v="0"/>
    <s v="Normal"/>
    <n v="18.77"/>
    <n v="1254"/>
    <n v="98"/>
    <x v="0"/>
  </r>
  <r>
    <x v="91"/>
    <n v="8.6"/>
    <n v="0.49"/>
    <n v="0.28000000000000003"/>
    <n v="1.9"/>
    <n v="0.11"/>
    <n v="20"/>
    <n v="136"/>
    <n v="0.99719999999999998"/>
    <n v="2.93"/>
    <n v="1.95"/>
    <n v="9.9"/>
    <n v="6"/>
    <x v="0"/>
    <s v="High"/>
    <n v="21.745000000000001"/>
    <n v="495"/>
    <n v="116"/>
    <x v="0"/>
  </r>
  <r>
    <x v="92"/>
    <n v="8.6"/>
    <n v="0.49"/>
    <n v="0.28999999999999998"/>
    <n v="2"/>
    <n v="0.11"/>
    <n v="19"/>
    <n v="133"/>
    <n v="0.99719999999999998"/>
    <n v="2.93"/>
    <n v="1.98"/>
    <n v="9.8000000000000007"/>
    <n v="5"/>
    <x v="0"/>
    <s v="High"/>
    <n v="21.59"/>
    <n v="528"/>
    <n v="114"/>
    <x v="0"/>
  </r>
  <r>
    <x v="93"/>
    <n v="7.7"/>
    <n v="0.49"/>
    <n v="0.26"/>
    <n v="1.9"/>
    <n v="6.2E-2"/>
    <n v="9"/>
    <n v="31"/>
    <n v="0.99660000000000004"/>
    <n v="3.39"/>
    <n v="0.64"/>
    <n v="9.6"/>
    <n v="5"/>
    <x v="0"/>
    <s v="Normal"/>
    <n v="19.18"/>
    <n v="1092"/>
    <n v="22"/>
    <x v="0"/>
  </r>
  <r>
    <x v="94"/>
    <n v="5"/>
    <n v="1.02"/>
    <n v="0.04"/>
    <n v="1.4"/>
    <n v="4.4999999999999998E-2"/>
    <n v="41"/>
    <n v="85"/>
    <n v="0.99380000000000002"/>
    <n v="3.75"/>
    <n v="0.48"/>
    <n v="10.5"/>
    <n v="4"/>
    <x v="2"/>
    <s v="Normal"/>
    <n v="19.68"/>
    <n v="929"/>
    <n v="44"/>
    <x v="1"/>
  </r>
  <r>
    <x v="95"/>
    <n v="4.7"/>
    <n v="0.6"/>
    <n v="0.17"/>
    <n v="2.2999999999999998"/>
    <n v="5.8000000000000003E-2"/>
    <n v="17"/>
    <n v="106"/>
    <n v="0.99319999999999997"/>
    <n v="3.85"/>
    <n v="0.6"/>
    <n v="12.9"/>
    <n v="6"/>
    <x v="0"/>
    <s v="Normal"/>
    <n v="25.5"/>
    <n v="53"/>
    <n v="89"/>
    <x v="1"/>
  </r>
  <r>
    <x v="96"/>
    <n v="6.8"/>
    <n v="0.77500000000000002"/>
    <n v="0"/>
    <n v="3"/>
    <n v="0.10199999999999999"/>
    <n v="8"/>
    <n v="23"/>
    <n v="0.99650000000000005"/>
    <n v="3.45"/>
    <n v="0.56000000000000005"/>
    <n v="10.7"/>
    <n v="5"/>
    <x v="0"/>
    <s v="Normal"/>
    <n v="20.689999999999998"/>
    <n v="725"/>
    <n v="15"/>
    <x v="1"/>
  </r>
  <r>
    <x v="97"/>
    <n v="7"/>
    <n v="0.5"/>
    <n v="0.25"/>
    <n v="2"/>
    <n v="7.0000000000000007E-2"/>
    <n v="3"/>
    <n v="22"/>
    <n v="0.99629999999999996"/>
    <n v="3.25"/>
    <n v="0.63"/>
    <n v="9.1999999999999993"/>
    <n v="5"/>
    <x v="0"/>
    <s v="Normal"/>
    <n v="18.344999999999999"/>
    <n v="1436"/>
    <n v="19"/>
    <x v="0"/>
  </r>
  <r>
    <x v="98"/>
    <n v="7.6"/>
    <n v="0.9"/>
    <n v="0.06"/>
    <n v="2.5"/>
    <n v="7.9000000000000001E-2"/>
    <n v="5"/>
    <n v="10"/>
    <n v="0.99670000000000003"/>
    <n v="3.39"/>
    <n v="0.56000000000000005"/>
    <n v="9.8000000000000007"/>
    <n v="5"/>
    <x v="0"/>
    <s v="Normal"/>
    <n v="18.64"/>
    <n v="1327"/>
    <n v="5"/>
    <x v="0"/>
  </r>
  <r>
    <x v="99"/>
    <n v="8.1"/>
    <n v="0.54500000000000004"/>
    <n v="0.18"/>
    <n v="1.9"/>
    <n v="0.08"/>
    <n v="13"/>
    <n v="35"/>
    <n v="0.99719999999999998"/>
    <n v="3.3"/>
    <n v="0.59"/>
    <n v="9"/>
    <n v="6"/>
    <x v="0"/>
    <s v="Normal"/>
    <n v="17.795000000000002"/>
    <n v="1556"/>
    <n v="22"/>
    <x v="0"/>
  </r>
  <r>
    <x v="100"/>
    <n v="8.3000000000000007"/>
    <n v="0.61"/>
    <n v="0.3"/>
    <n v="2.1"/>
    <n v="8.4000000000000005E-2"/>
    <n v="11"/>
    <n v="50"/>
    <n v="0.99719999999999998"/>
    <n v="3.4"/>
    <n v="0.61"/>
    <n v="10.199999999999999"/>
    <n v="6"/>
    <x v="0"/>
    <s v="Normal"/>
    <n v="20.094999999999999"/>
    <n v="840"/>
    <n v="39"/>
    <x v="1"/>
  </r>
  <r>
    <x v="101"/>
    <n v="7.8"/>
    <n v="0.5"/>
    <n v="0.3"/>
    <n v="1.9"/>
    <n v="7.4999999999999997E-2"/>
    <n v="8"/>
    <n v="22"/>
    <n v="0.99590000000000001"/>
    <n v="3.31"/>
    <n v="0.56000000000000005"/>
    <n v="10.4"/>
    <n v="6"/>
    <x v="0"/>
    <s v="Normal"/>
    <n v="20.64"/>
    <n v="733"/>
    <n v="14"/>
    <x v="1"/>
  </r>
  <r>
    <x v="102"/>
    <n v="8.1"/>
    <n v="0.54500000000000004"/>
    <n v="0.18"/>
    <n v="1.9"/>
    <n v="0.08"/>
    <n v="13"/>
    <n v="35"/>
    <n v="0.99719999999999998"/>
    <n v="3.3"/>
    <n v="0.59"/>
    <n v="9"/>
    <n v="6"/>
    <x v="0"/>
    <s v="Normal"/>
    <n v="17.795000000000002"/>
    <n v="1556"/>
    <n v="22"/>
    <x v="0"/>
  </r>
  <r>
    <x v="103"/>
    <n v="8.1"/>
    <n v="0.57499999999999996"/>
    <n v="0.22"/>
    <n v="2.1"/>
    <n v="7.6999999999999999E-2"/>
    <n v="12"/>
    <n v="65"/>
    <n v="0.99670000000000003"/>
    <n v="3.29"/>
    <n v="0.51"/>
    <n v="9.1999999999999993"/>
    <n v="5"/>
    <x v="0"/>
    <s v="Normal"/>
    <n v="18.015000000000001"/>
    <n v="1518"/>
    <n v="53"/>
    <x v="0"/>
  </r>
  <r>
    <x v="104"/>
    <n v="7.2"/>
    <n v="0.49"/>
    <n v="0.24"/>
    <n v="2.2000000000000002"/>
    <n v="7.0000000000000007E-2"/>
    <n v="5"/>
    <n v="36"/>
    <n v="0.996"/>
    <n v="3.33"/>
    <n v="0.48"/>
    <n v="9.4"/>
    <n v="5"/>
    <x v="0"/>
    <s v="Normal"/>
    <n v="18.54"/>
    <n v="1367"/>
    <n v="31"/>
    <x v="0"/>
  </r>
  <r>
    <x v="105"/>
    <n v="8.1"/>
    <n v="0.57499999999999996"/>
    <n v="0.22"/>
    <n v="2.1"/>
    <n v="7.6999999999999999E-2"/>
    <n v="12"/>
    <n v="65"/>
    <n v="0.99670000000000003"/>
    <n v="3.29"/>
    <n v="0.51"/>
    <n v="9.1999999999999993"/>
    <n v="5"/>
    <x v="0"/>
    <s v="Normal"/>
    <n v="18.015000000000001"/>
    <n v="1518"/>
    <n v="53"/>
    <x v="0"/>
  </r>
  <r>
    <x v="106"/>
    <n v="7.8"/>
    <n v="0.41"/>
    <n v="0.68"/>
    <n v="1.7"/>
    <n v="0.46700000000000003"/>
    <n v="18"/>
    <n v="69"/>
    <n v="0.99729999999999996"/>
    <n v="3.08"/>
    <n v="1.31"/>
    <n v="9.3000000000000007"/>
    <n v="5"/>
    <x v="0"/>
    <s v="Normal"/>
    <n v="19.745000000000001"/>
    <n v="917"/>
    <n v="51"/>
    <x v="0"/>
  </r>
  <r>
    <x v="107"/>
    <n v="6.2"/>
    <n v="0.63"/>
    <n v="0.31"/>
    <n v="1.7"/>
    <n v="8.7999999999999995E-2"/>
    <n v="15"/>
    <n v="64"/>
    <n v="0.99690000000000001"/>
    <n v="3.46"/>
    <n v="0.79"/>
    <n v="9.3000000000000007"/>
    <n v="5"/>
    <x v="0"/>
    <s v="Normal"/>
    <n v="18.524999999999999"/>
    <n v="1369"/>
    <n v="49"/>
    <x v="0"/>
  </r>
  <r>
    <x v="108"/>
    <n v="8"/>
    <n v="0.33"/>
    <n v="0.53"/>
    <n v="2.5"/>
    <n v="9.0999999999999998E-2"/>
    <n v="18"/>
    <n v="80"/>
    <n v="0.99760000000000004"/>
    <n v="3.37"/>
    <n v="0.8"/>
    <n v="9.6"/>
    <n v="6"/>
    <x v="0"/>
    <s v="Normal"/>
    <n v="19.739999999999998"/>
    <n v="919"/>
    <n v="62"/>
    <x v="0"/>
  </r>
  <r>
    <x v="109"/>
    <n v="8.1"/>
    <n v="0.78500000000000003"/>
    <n v="0.52"/>
    <n v="2"/>
    <n v="0.122"/>
    <n v="37"/>
    <n v="153"/>
    <n v="0.99690000000000001"/>
    <n v="3.21"/>
    <n v="0.69"/>
    <n v="9.3000000000000007"/>
    <n v="5"/>
    <x v="0"/>
    <s v="Normal"/>
    <n v="18.065000000000001"/>
    <n v="1509"/>
    <n v="116"/>
    <x v="0"/>
  </r>
  <r>
    <x v="110"/>
    <n v="7.8"/>
    <n v="0.56000000000000005"/>
    <n v="0.19"/>
    <n v="1.8"/>
    <n v="0.104"/>
    <n v="12"/>
    <n v="47"/>
    <n v="0.99639999999999995"/>
    <n v="3.19"/>
    <n v="0.93"/>
    <n v="9.5"/>
    <n v="5"/>
    <x v="0"/>
    <s v="Normal"/>
    <n v="19.274999999999999"/>
    <n v="1051"/>
    <n v="35"/>
    <x v="0"/>
  </r>
  <r>
    <x v="111"/>
    <n v="8.4"/>
    <n v="0.62"/>
    <n v="0.09"/>
    <n v="2.2000000000000002"/>
    <n v="8.4000000000000005E-2"/>
    <n v="11"/>
    <n v="108"/>
    <n v="0.99639999999999995"/>
    <n v="3.15"/>
    <n v="0.66"/>
    <n v="9.8000000000000007"/>
    <n v="5"/>
    <x v="0"/>
    <s v="High"/>
    <n v="19.350000000000001"/>
    <n v="1024"/>
    <n v="97"/>
    <x v="0"/>
  </r>
  <r>
    <x v="112"/>
    <n v="8.4"/>
    <n v="0.6"/>
    <n v="0.1"/>
    <n v="2.2000000000000002"/>
    <n v="8.5000000000000006E-2"/>
    <n v="14"/>
    <n v="111"/>
    <n v="0.99639999999999995"/>
    <n v="3.15"/>
    <n v="0.66"/>
    <n v="9.8000000000000007"/>
    <n v="5"/>
    <x v="0"/>
    <s v="High"/>
    <n v="19.39"/>
    <n v="1008"/>
    <n v="97"/>
    <x v="0"/>
  </r>
  <r>
    <x v="113"/>
    <n v="10.1"/>
    <n v="0.31"/>
    <n v="0.44"/>
    <n v="2.2999999999999998"/>
    <n v="0.08"/>
    <n v="22"/>
    <n v="46"/>
    <n v="0.99880000000000002"/>
    <n v="3.32"/>
    <n v="0.67"/>
    <n v="9.6999999999999993"/>
    <n v="6"/>
    <x v="0"/>
    <s v="Normal"/>
    <n v="19.784999999999997"/>
    <n v="909"/>
    <n v="24"/>
    <x v="0"/>
  </r>
  <r>
    <x v="114"/>
    <n v="7.8"/>
    <n v="0.56000000000000005"/>
    <n v="0.19"/>
    <n v="1.8"/>
    <n v="0.104"/>
    <n v="12"/>
    <n v="47"/>
    <n v="0.99639999999999995"/>
    <n v="3.19"/>
    <n v="0.93"/>
    <n v="9.5"/>
    <n v="5"/>
    <x v="0"/>
    <s v="Normal"/>
    <n v="19.274999999999999"/>
    <n v="1051"/>
    <n v="35"/>
    <x v="0"/>
  </r>
  <r>
    <x v="115"/>
    <n v="9.4"/>
    <n v="0.4"/>
    <n v="0.31"/>
    <n v="2.2000000000000002"/>
    <n v="0.09"/>
    <n v="13"/>
    <n v="62"/>
    <n v="0.99660000000000004"/>
    <n v="3.07"/>
    <n v="0.63"/>
    <n v="10.5"/>
    <n v="6"/>
    <x v="0"/>
    <s v="High"/>
    <n v="21.145"/>
    <n v="625"/>
    <n v="49"/>
    <x v="0"/>
  </r>
  <r>
    <x v="116"/>
    <n v="8.3000000000000007"/>
    <n v="0.54"/>
    <n v="0.28000000000000003"/>
    <n v="1.9"/>
    <n v="7.6999999999999999E-2"/>
    <n v="11"/>
    <n v="40"/>
    <n v="0.99780000000000002"/>
    <n v="3.39"/>
    <n v="0.61"/>
    <n v="10"/>
    <n v="6"/>
    <x v="0"/>
    <s v="Normal"/>
    <n v="19.835000000000001"/>
    <n v="897"/>
    <n v="29"/>
    <x v="1"/>
  </r>
  <r>
    <x v="117"/>
    <n v="7.8"/>
    <n v="0.56000000000000005"/>
    <n v="0.12"/>
    <n v="2"/>
    <n v="8.2000000000000003E-2"/>
    <n v="7"/>
    <n v="28"/>
    <n v="0.997"/>
    <n v="3.37"/>
    <n v="0.5"/>
    <n v="9.4"/>
    <n v="6"/>
    <x v="0"/>
    <s v="Normal"/>
    <n v="18.43"/>
    <n v="1399"/>
    <n v="21"/>
    <x v="0"/>
  </r>
  <r>
    <x v="118"/>
    <n v="8.8000000000000007"/>
    <n v="0.55000000000000004"/>
    <n v="0.04"/>
    <n v="2.2000000000000002"/>
    <n v="0.11899999999999999"/>
    <n v="14"/>
    <n v="56"/>
    <n v="0.99619999999999997"/>
    <n v="3.21"/>
    <n v="0.6"/>
    <n v="10.9"/>
    <n v="6"/>
    <x v="0"/>
    <s v="High"/>
    <n v="21.599999999999998"/>
    <n v="526"/>
    <n v="42"/>
    <x v="1"/>
  </r>
  <r>
    <x v="119"/>
    <n v="7"/>
    <n v="0.69"/>
    <n v="0.08"/>
    <n v="1.8"/>
    <n v="9.7000000000000003E-2"/>
    <n v="22"/>
    <n v="89"/>
    <n v="0.99590000000000001"/>
    <n v="3.34"/>
    <n v="0.54"/>
    <n v="9.1999999999999993"/>
    <n v="6"/>
    <x v="0"/>
    <s v="Normal"/>
    <n v="17.829999999999998"/>
    <n v="1549"/>
    <n v="67"/>
    <x v="0"/>
  </r>
  <r>
    <x v="120"/>
    <n v="7.3"/>
    <n v="1.07"/>
    <n v="0.09"/>
    <n v="1.7"/>
    <n v="0.17799999999999999"/>
    <n v="10"/>
    <n v="89"/>
    <n v="0.99619999999999997"/>
    <n v="3.3"/>
    <n v="0.56999999999999995"/>
    <n v="9"/>
    <n v="5"/>
    <x v="0"/>
    <s v="Normal"/>
    <n v="16.715"/>
    <n v="1598"/>
    <n v="79"/>
    <x v="0"/>
  </r>
  <r>
    <x v="121"/>
    <n v="8.8000000000000007"/>
    <n v="0.55000000000000004"/>
    <n v="0.04"/>
    <n v="2.2000000000000002"/>
    <n v="0.11899999999999999"/>
    <n v="14"/>
    <n v="56"/>
    <n v="0.99619999999999997"/>
    <n v="3.21"/>
    <n v="0.6"/>
    <n v="10.9"/>
    <n v="6"/>
    <x v="0"/>
    <s v="High"/>
    <n v="21.599999999999998"/>
    <n v="526"/>
    <n v="42"/>
    <x v="1"/>
  </r>
  <r>
    <x v="122"/>
    <n v="7.3"/>
    <n v="0.69499999999999995"/>
    <n v="0"/>
    <n v="2.5"/>
    <n v="7.4999999999999997E-2"/>
    <n v="3"/>
    <n v="13"/>
    <n v="0.998"/>
    <n v="3.49"/>
    <n v="0.52"/>
    <n v="9.1999999999999993"/>
    <n v="5"/>
    <x v="0"/>
    <s v="Normal"/>
    <n v="17.79"/>
    <n v="1558"/>
    <n v="10"/>
    <x v="0"/>
  </r>
  <r>
    <x v="123"/>
    <n v="8"/>
    <n v="0.71"/>
    <n v="0"/>
    <n v="2.6"/>
    <n v="0.08"/>
    <n v="11"/>
    <n v="34"/>
    <n v="0.99760000000000004"/>
    <n v="3.44"/>
    <n v="0.53"/>
    <n v="9.5"/>
    <n v="5"/>
    <x v="0"/>
    <s v="Normal"/>
    <n v="18.375"/>
    <n v="1428"/>
    <n v="23"/>
    <x v="0"/>
  </r>
  <r>
    <x v="124"/>
    <n v="7.8"/>
    <n v="0.5"/>
    <n v="0.17"/>
    <n v="1.6"/>
    <n v="8.2000000000000003E-2"/>
    <n v="21"/>
    <n v="102"/>
    <n v="0.996"/>
    <n v="3.39"/>
    <n v="0.48"/>
    <n v="9.5"/>
    <n v="5"/>
    <x v="0"/>
    <s v="Normal"/>
    <n v="18.72"/>
    <n v="1281"/>
    <n v="81"/>
    <x v="0"/>
  </r>
  <r>
    <x v="125"/>
    <n v="9"/>
    <n v="0.62"/>
    <n v="0.04"/>
    <n v="1.9"/>
    <n v="0.14599999999999999"/>
    <n v="27"/>
    <n v="90"/>
    <n v="0.99839999999999995"/>
    <n v="3.16"/>
    <n v="0.7"/>
    <n v="9.4"/>
    <n v="5"/>
    <x v="0"/>
    <s v="High"/>
    <n v="18.610000000000003"/>
    <n v="1340"/>
    <n v="63"/>
    <x v="0"/>
  </r>
  <r>
    <x v="126"/>
    <n v="8.1999999999999993"/>
    <n v="1.33"/>
    <n v="0"/>
    <n v="1.7"/>
    <n v="8.1000000000000003E-2"/>
    <n v="3"/>
    <n v="12"/>
    <n v="0.99639999999999995"/>
    <n v="3.53"/>
    <n v="0.49"/>
    <n v="10.9"/>
    <n v="5"/>
    <x v="0"/>
    <s v="Normal"/>
    <n v="19.875"/>
    <n v="886"/>
    <n v="9"/>
    <x v="1"/>
  </r>
  <r>
    <x v="127"/>
    <n v="8.1"/>
    <n v="1.33"/>
    <n v="0"/>
    <n v="1.8"/>
    <n v="8.2000000000000003E-2"/>
    <n v="3"/>
    <n v="12"/>
    <n v="0.99639999999999995"/>
    <n v="3.54"/>
    <n v="0.48"/>
    <n v="10.9"/>
    <n v="5"/>
    <x v="0"/>
    <s v="Normal"/>
    <n v="19.86"/>
    <n v="893"/>
    <n v="9"/>
    <x v="1"/>
  </r>
  <r>
    <x v="128"/>
    <n v="8"/>
    <n v="0.59"/>
    <n v="0.16"/>
    <n v="1.8"/>
    <n v="6.5000000000000002E-2"/>
    <n v="3"/>
    <n v="16"/>
    <n v="0.99619999999999997"/>
    <n v="3.42"/>
    <n v="0.92"/>
    <n v="10.5"/>
    <n v="7"/>
    <x v="1"/>
    <s v="Normal"/>
    <n v="21.2"/>
    <n v="602"/>
    <n v="13"/>
    <x v="1"/>
  </r>
  <r>
    <x v="129"/>
    <n v="6.1"/>
    <n v="0.38"/>
    <n v="0.15"/>
    <n v="1.8"/>
    <n v="7.1999999999999995E-2"/>
    <n v="6"/>
    <n v="19"/>
    <n v="0.99550000000000005"/>
    <n v="3.42"/>
    <n v="0.56999999999999995"/>
    <n v="9.4"/>
    <n v="5"/>
    <x v="0"/>
    <s v="Normal"/>
    <n v="18.895"/>
    <n v="1205"/>
    <n v="13"/>
    <x v="0"/>
  </r>
  <r>
    <x v="130"/>
    <n v="8"/>
    <n v="0.745"/>
    <n v="0.56000000000000005"/>
    <n v="2"/>
    <n v="0.11799999999999999"/>
    <n v="30"/>
    <n v="134"/>
    <n v="0.99680000000000002"/>
    <n v="3.24"/>
    <n v="0.66"/>
    <n v="9.4"/>
    <n v="5"/>
    <x v="0"/>
    <s v="Normal"/>
    <n v="18.3"/>
    <n v="1454"/>
    <n v="104"/>
    <x v="0"/>
  </r>
  <r>
    <x v="131"/>
    <n v="5.6"/>
    <n v="0.5"/>
    <n v="0.09"/>
    <n v="2.2999999999999998"/>
    <n v="4.9000000000000002E-2"/>
    <n v="17"/>
    <n v="99"/>
    <n v="0.99370000000000003"/>
    <n v="3.63"/>
    <n v="0.63"/>
    <n v="13"/>
    <n v="5"/>
    <x v="0"/>
    <s v="Normal"/>
    <n v="25.945"/>
    <n v="35"/>
    <n v="82"/>
    <x v="1"/>
  </r>
  <r>
    <x v="132"/>
    <n v="5.6"/>
    <n v="0.5"/>
    <n v="0.09"/>
    <n v="2.2999999999999998"/>
    <n v="4.9000000000000002E-2"/>
    <n v="17"/>
    <n v="99"/>
    <n v="0.99370000000000003"/>
    <n v="3.63"/>
    <n v="0.63"/>
    <n v="13"/>
    <n v="5"/>
    <x v="0"/>
    <s v="Normal"/>
    <n v="25.945"/>
    <n v="35"/>
    <n v="82"/>
    <x v="1"/>
  </r>
  <r>
    <x v="133"/>
    <n v="6.6"/>
    <n v="0.5"/>
    <n v="0.01"/>
    <n v="1.5"/>
    <n v="0.06"/>
    <n v="17"/>
    <n v="26"/>
    <n v="0.99519999999999997"/>
    <n v="3.4"/>
    <n v="0.57999999999999996"/>
    <n v="9.8000000000000007"/>
    <n v="6"/>
    <x v="0"/>
    <s v="Normal"/>
    <n v="19.470000000000002"/>
    <n v="988"/>
    <n v="9"/>
    <x v="0"/>
  </r>
  <r>
    <x v="134"/>
    <n v="7.9"/>
    <n v="1.04"/>
    <n v="0.05"/>
    <n v="2.2000000000000002"/>
    <n v="8.4000000000000005E-2"/>
    <n v="13"/>
    <n v="29"/>
    <n v="0.99590000000000001"/>
    <n v="3.22"/>
    <n v="0.55000000000000004"/>
    <n v="9.9"/>
    <n v="6"/>
    <x v="0"/>
    <s v="Normal"/>
    <n v="18.545000000000002"/>
    <n v="1362"/>
    <n v="16"/>
    <x v="0"/>
  </r>
  <r>
    <x v="135"/>
    <n v="8.4"/>
    <n v="0.745"/>
    <n v="0.11"/>
    <n v="1.9"/>
    <n v="0.09"/>
    <n v="16"/>
    <n v="63"/>
    <n v="0.99650000000000005"/>
    <n v="3.19"/>
    <n v="0.82"/>
    <n v="9.6"/>
    <n v="5"/>
    <x v="0"/>
    <s v="High"/>
    <n v="18.940000000000001"/>
    <n v="1184"/>
    <n v="47"/>
    <x v="0"/>
  </r>
  <r>
    <x v="136"/>
    <n v="8.3000000000000007"/>
    <n v="0.71499999999999997"/>
    <n v="0.15"/>
    <n v="1.8"/>
    <n v="8.8999999999999996E-2"/>
    <n v="10"/>
    <n v="52"/>
    <n v="0.99680000000000002"/>
    <n v="3.23"/>
    <n v="0.77"/>
    <n v="9.5"/>
    <n v="5"/>
    <x v="0"/>
    <s v="Normal"/>
    <n v="18.725000000000001"/>
    <n v="1274"/>
    <n v="42"/>
    <x v="0"/>
  </r>
  <r>
    <x v="137"/>
    <n v="7.2"/>
    <n v="0.41499999999999998"/>
    <n v="0.36"/>
    <n v="2"/>
    <n v="8.1000000000000003E-2"/>
    <n v="13"/>
    <n v="45"/>
    <n v="0.99719999999999998"/>
    <n v="3.48"/>
    <n v="0.64"/>
    <n v="9.1999999999999993"/>
    <n v="5"/>
    <x v="0"/>
    <s v="Normal"/>
    <n v="18.53"/>
    <n v="1368"/>
    <n v="32"/>
    <x v="0"/>
  </r>
  <r>
    <x v="138"/>
    <n v="7.8"/>
    <n v="0.56000000000000005"/>
    <n v="0.19"/>
    <n v="2.1"/>
    <n v="8.1000000000000003E-2"/>
    <n v="15"/>
    <n v="105"/>
    <n v="0.99619999999999997"/>
    <n v="3.33"/>
    <n v="0.54"/>
    <n v="9.5"/>
    <n v="5"/>
    <x v="0"/>
    <s v="Normal"/>
    <n v="18.689999999999998"/>
    <n v="1297"/>
    <n v="90"/>
    <x v="0"/>
  </r>
  <r>
    <x v="139"/>
    <n v="7.8"/>
    <n v="0.56000000000000005"/>
    <n v="0.19"/>
    <n v="2"/>
    <n v="8.1000000000000003E-2"/>
    <n v="17"/>
    <n v="108"/>
    <n v="0.99619999999999997"/>
    <n v="3.32"/>
    <n v="0.54"/>
    <n v="9.5"/>
    <n v="5"/>
    <x v="0"/>
    <s v="Normal"/>
    <n v="18.689999999999998"/>
    <n v="1297"/>
    <n v="91"/>
    <x v="0"/>
  </r>
  <r>
    <x v="140"/>
    <n v="8.4"/>
    <n v="0.745"/>
    <n v="0.11"/>
    <n v="1.9"/>
    <n v="0.09"/>
    <n v="16"/>
    <n v="63"/>
    <n v="0.99650000000000005"/>
    <n v="3.19"/>
    <n v="0.82"/>
    <n v="9.6"/>
    <n v="5"/>
    <x v="0"/>
    <s v="High"/>
    <n v="18.940000000000001"/>
    <n v="1184"/>
    <n v="47"/>
    <x v="0"/>
  </r>
  <r>
    <x v="141"/>
    <n v="8.3000000000000007"/>
    <n v="0.71499999999999997"/>
    <n v="0.15"/>
    <n v="1.8"/>
    <n v="8.8999999999999996E-2"/>
    <n v="10"/>
    <n v="52"/>
    <n v="0.99680000000000002"/>
    <n v="3.23"/>
    <n v="0.77"/>
    <n v="9.5"/>
    <n v="5"/>
    <x v="0"/>
    <s v="Normal"/>
    <n v="18.725000000000001"/>
    <n v="1274"/>
    <n v="42"/>
    <x v="0"/>
  </r>
  <r>
    <x v="142"/>
    <n v="5.2"/>
    <n v="0.34"/>
    <n v="0"/>
    <n v="1.8"/>
    <n v="0.05"/>
    <n v="27"/>
    <n v="63"/>
    <n v="0.99160000000000004"/>
    <n v="3.68"/>
    <n v="0.79"/>
    <n v="14"/>
    <n v="6"/>
    <x v="0"/>
    <s v="Normal"/>
    <n v="28.504999999999999"/>
    <n v="2"/>
    <n v="36"/>
    <x v="1"/>
  </r>
  <r>
    <x v="143"/>
    <n v="6.3"/>
    <n v="0.39"/>
    <n v="0.08"/>
    <n v="1.7"/>
    <n v="6.6000000000000003E-2"/>
    <n v="3"/>
    <n v="20"/>
    <n v="0.99539999999999995"/>
    <n v="3.34"/>
    <n v="0.57999999999999996"/>
    <n v="9.4"/>
    <n v="5"/>
    <x v="0"/>
    <s v="Normal"/>
    <n v="18.89"/>
    <n v="1208"/>
    <n v="17"/>
    <x v="0"/>
  </r>
  <r>
    <x v="144"/>
    <n v="5.2"/>
    <n v="0.34"/>
    <n v="0"/>
    <n v="1.8"/>
    <n v="0.05"/>
    <n v="27"/>
    <n v="63"/>
    <n v="0.99160000000000004"/>
    <n v="3.68"/>
    <n v="0.79"/>
    <n v="14"/>
    <n v="6"/>
    <x v="0"/>
    <s v="Normal"/>
    <n v="28.504999999999999"/>
    <n v="2"/>
    <n v="36"/>
    <x v="1"/>
  </r>
  <r>
    <x v="145"/>
    <n v="8.1"/>
    <n v="0.67"/>
    <n v="0.55000000000000004"/>
    <n v="1.8"/>
    <n v="0.11700000000000001"/>
    <n v="32"/>
    <n v="141"/>
    <n v="0.99680000000000002"/>
    <n v="3.17"/>
    <n v="0.62"/>
    <n v="9.4"/>
    <n v="5"/>
    <x v="0"/>
    <s v="Normal"/>
    <n v="18.39"/>
    <n v="1420"/>
    <n v="109"/>
    <x v="0"/>
  </r>
  <r>
    <x v="146"/>
    <n v="5.8"/>
    <n v="0.68"/>
    <n v="0.02"/>
    <n v="1.8"/>
    <n v="8.6999999999999994E-2"/>
    <n v="21"/>
    <n v="94"/>
    <n v="0.99439999999999995"/>
    <n v="3.54"/>
    <n v="0.52"/>
    <n v="10"/>
    <n v="5"/>
    <x v="0"/>
    <s v="Normal"/>
    <n v="19.420000000000002"/>
    <n v="999"/>
    <n v="73"/>
    <x v="1"/>
  </r>
  <r>
    <x v="147"/>
    <n v="7.6"/>
    <n v="0.49"/>
    <n v="0.26"/>
    <n v="1.6"/>
    <n v="0.23599999999999999"/>
    <n v="10"/>
    <n v="88"/>
    <n v="0.99680000000000002"/>
    <n v="3.11"/>
    <n v="0.8"/>
    <n v="9.3000000000000007"/>
    <n v="5"/>
    <x v="0"/>
    <s v="Normal"/>
    <n v="18.82"/>
    <n v="1240"/>
    <n v="78"/>
    <x v="0"/>
  </r>
  <r>
    <x v="148"/>
    <n v="6.9"/>
    <n v="0.49"/>
    <n v="0.1"/>
    <n v="2.2999999999999998"/>
    <n v="7.3999999999999996E-2"/>
    <n v="12"/>
    <n v="30"/>
    <n v="0.99590000000000001"/>
    <n v="3.42"/>
    <n v="0.57999999999999996"/>
    <n v="10.199999999999999"/>
    <n v="6"/>
    <x v="0"/>
    <s v="Normal"/>
    <n v="20.29"/>
    <n v="795"/>
    <n v="18"/>
    <x v="1"/>
  </r>
  <r>
    <x v="149"/>
    <n v="8.1999999999999993"/>
    <n v="0.4"/>
    <n v="0.44"/>
    <n v="2.8"/>
    <n v="8.8999999999999996E-2"/>
    <n v="11"/>
    <n v="43"/>
    <n v="0.99750000000000005"/>
    <n v="3.53"/>
    <n v="0.61"/>
    <n v="10.5"/>
    <n v="6"/>
    <x v="0"/>
    <s v="Normal"/>
    <n v="21.114999999999998"/>
    <n v="629"/>
    <n v="32"/>
    <x v="1"/>
  </r>
  <r>
    <x v="150"/>
    <n v="7.3"/>
    <n v="0.33"/>
    <n v="0.47"/>
    <n v="2.1"/>
    <n v="7.6999999999999999E-2"/>
    <n v="5"/>
    <n v="11"/>
    <n v="0.99580000000000002"/>
    <n v="3.33"/>
    <n v="0.53"/>
    <n v="10.3"/>
    <n v="6"/>
    <x v="0"/>
    <s v="Normal"/>
    <n v="20.735000000000003"/>
    <n v="719"/>
    <n v="6"/>
    <x v="1"/>
  </r>
  <r>
    <x v="151"/>
    <n v="9.1999999999999993"/>
    <n v="0.52"/>
    <n v="1"/>
    <n v="3.4"/>
    <n v="0.61"/>
    <n v="32"/>
    <n v="69"/>
    <n v="0.99960000000000004"/>
    <n v="2.74"/>
    <n v="2"/>
    <n v="9.4"/>
    <n v="4"/>
    <x v="2"/>
    <s v="High"/>
    <n v="20.76"/>
    <n v="713"/>
    <n v="37"/>
    <x v="0"/>
  </r>
  <r>
    <x v="152"/>
    <n v="7.5"/>
    <n v="0.6"/>
    <n v="0.03"/>
    <n v="1.8"/>
    <n v="9.5000000000000001E-2"/>
    <n v="25"/>
    <n v="99"/>
    <n v="0.995"/>
    <n v="3.35"/>
    <n v="0.54"/>
    <n v="10.1"/>
    <n v="5"/>
    <x v="0"/>
    <s v="Normal"/>
    <n v="19.809999999999999"/>
    <n v="903"/>
    <n v="74"/>
    <x v="1"/>
  </r>
  <r>
    <x v="153"/>
    <n v="7.5"/>
    <n v="0.6"/>
    <n v="0.03"/>
    <n v="1.8"/>
    <n v="9.5000000000000001E-2"/>
    <n v="25"/>
    <n v="99"/>
    <n v="0.995"/>
    <n v="3.35"/>
    <n v="0.54"/>
    <n v="10.1"/>
    <n v="5"/>
    <x v="0"/>
    <s v="Normal"/>
    <n v="19.809999999999999"/>
    <n v="903"/>
    <n v="74"/>
    <x v="1"/>
  </r>
  <r>
    <x v="154"/>
    <n v="7.1"/>
    <n v="0.43"/>
    <n v="0.42"/>
    <n v="5.5"/>
    <n v="7.0000000000000007E-2"/>
    <n v="29"/>
    <n v="129"/>
    <n v="0.99729999999999996"/>
    <n v="3.42"/>
    <n v="0.72"/>
    <n v="10.5"/>
    <n v="5"/>
    <x v="0"/>
    <s v="Normal"/>
    <n v="21.22"/>
    <n v="595"/>
    <n v="100"/>
    <x v="1"/>
  </r>
  <r>
    <x v="155"/>
    <n v="7.1"/>
    <n v="0.43"/>
    <n v="0.42"/>
    <n v="5.5"/>
    <n v="7.0999999999999994E-2"/>
    <n v="28"/>
    <n v="128"/>
    <n v="0.99729999999999996"/>
    <n v="3.42"/>
    <n v="0.71"/>
    <n v="10.5"/>
    <n v="5"/>
    <x v="0"/>
    <s v="Normal"/>
    <n v="21.205000000000002"/>
    <n v="600"/>
    <n v="100"/>
    <x v="1"/>
  </r>
  <r>
    <x v="156"/>
    <n v="7.1"/>
    <n v="0.43"/>
    <n v="0.42"/>
    <n v="5.5"/>
    <n v="7.0000000000000007E-2"/>
    <n v="29"/>
    <n v="129"/>
    <n v="0.99729999999999996"/>
    <n v="3.42"/>
    <n v="0.72"/>
    <n v="10.5"/>
    <n v="5"/>
    <x v="0"/>
    <s v="Normal"/>
    <n v="21.22"/>
    <n v="595"/>
    <n v="100"/>
    <x v="1"/>
  </r>
  <r>
    <x v="157"/>
    <n v="7.1"/>
    <n v="0.43"/>
    <n v="0.42"/>
    <n v="5.5"/>
    <n v="7.0999999999999994E-2"/>
    <n v="28"/>
    <n v="128"/>
    <n v="0.99729999999999996"/>
    <n v="3.42"/>
    <n v="0.71"/>
    <n v="10.5"/>
    <n v="5"/>
    <x v="0"/>
    <s v="Normal"/>
    <n v="21.205000000000002"/>
    <n v="600"/>
    <n v="100"/>
    <x v="1"/>
  </r>
  <r>
    <x v="158"/>
    <n v="7.1"/>
    <n v="0.68"/>
    <n v="0"/>
    <n v="2.2000000000000002"/>
    <n v="7.2999999999999995E-2"/>
    <n v="12"/>
    <n v="22"/>
    <n v="0.99690000000000001"/>
    <n v="3.48"/>
    <n v="0.5"/>
    <n v="9.3000000000000007"/>
    <n v="5"/>
    <x v="0"/>
    <s v="Normal"/>
    <n v="17.990000000000002"/>
    <n v="1522"/>
    <n v="10"/>
    <x v="0"/>
  </r>
  <r>
    <x v="159"/>
    <n v="6.8"/>
    <n v="0.6"/>
    <n v="0.18"/>
    <n v="1.9"/>
    <n v="7.9000000000000001E-2"/>
    <n v="18"/>
    <n v="86"/>
    <n v="0.99680000000000002"/>
    <n v="3.59"/>
    <n v="0.56999999999999995"/>
    <n v="9.3000000000000007"/>
    <n v="6"/>
    <x v="0"/>
    <s v="Normal"/>
    <n v="18.255000000000003"/>
    <n v="1464"/>
    <n v="68"/>
    <x v="0"/>
  </r>
  <r>
    <x v="160"/>
    <n v="7.6"/>
    <n v="0.95"/>
    <n v="0.03"/>
    <n v="2"/>
    <n v="0.09"/>
    <n v="7"/>
    <n v="20"/>
    <n v="0.99590000000000001"/>
    <n v="3.2"/>
    <n v="0.56000000000000005"/>
    <n v="9.6"/>
    <n v="5"/>
    <x v="0"/>
    <s v="Normal"/>
    <n v="18.14"/>
    <n v="1492"/>
    <n v="13"/>
    <x v="0"/>
  </r>
  <r>
    <x v="161"/>
    <n v="7.6"/>
    <n v="0.68"/>
    <n v="0.02"/>
    <n v="1.3"/>
    <n v="7.1999999999999995E-2"/>
    <n v="9"/>
    <n v="20"/>
    <n v="0.99650000000000005"/>
    <n v="3.17"/>
    <n v="1.08"/>
    <n v="9.1999999999999993"/>
    <n v="4"/>
    <x v="2"/>
    <s v="Normal"/>
    <n v="18.66"/>
    <n v="1312"/>
    <n v="11"/>
    <x v="0"/>
  </r>
  <r>
    <x v="162"/>
    <n v="7.8"/>
    <n v="0.53"/>
    <n v="0.04"/>
    <n v="1.7"/>
    <n v="7.5999999999999998E-2"/>
    <n v="17"/>
    <n v="31"/>
    <n v="0.99639999999999995"/>
    <n v="3.33"/>
    <n v="0.56000000000000005"/>
    <n v="10"/>
    <n v="6"/>
    <x v="0"/>
    <s v="Normal"/>
    <n v="19.78"/>
    <n v="910"/>
    <n v="14"/>
    <x v="1"/>
  </r>
  <r>
    <x v="163"/>
    <n v="7.4"/>
    <n v="0.6"/>
    <n v="0.26"/>
    <n v="7.3"/>
    <n v="7.0000000000000007E-2"/>
    <n v="36"/>
    <n v="121"/>
    <n v="0.99819999999999998"/>
    <n v="3.37"/>
    <n v="0.49"/>
    <n v="9.4"/>
    <n v="5"/>
    <x v="0"/>
    <s v="Normal"/>
    <n v="18.335000000000001"/>
    <n v="1444"/>
    <n v="85"/>
    <x v="0"/>
  </r>
  <r>
    <x v="164"/>
    <n v="7.3"/>
    <n v="0.59"/>
    <n v="0.26"/>
    <n v="7.2"/>
    <n v="7.0000000000000007E-2"/>
    <n v="35"/>
    <n v="121"/>
    <n v="0.99809999999999999"/>
    <n v="3.37"/>
    <n v="0.49"/>
    <n v="9.4"/>
    <n v="5"/>
    <x v="0"/>
    <s v="Normal"/>
    <n v="18.355"/>
    <n v="1432"/>
    <n v="86"/>
    <x v="0"/>
  </r>
  <r>
    <x v="165"/>
    <n v="7.8"/>
    <n v="0.63"/>
    <n v="0.48"/>
    <n v="1.7"/>
    <n v="0.1"/>
    <n v="14"/>
    <n v="96"/>
    <n v="0.99609999999999999"/>
    <n v="3.19"/>
    <n v="0.62"/>
    <n v="9.5"/>
    <n v="5"/>
    <x v="0"/>
    <s v="Normal"/>
    <n v="18.669999999999998"/>
    <n v="1308"/>
    <n v="82"/>
    <x v="0"/>
  </r>
  <r>
    <x v="166"/>
    <n v="6.8"/>
    <n v="0.64"/>
    <n v="0.1"/>
    <n v="2.1"/>
    <n v="8.5000000000000006E-2"/>
    <n v="18"/>
    <n v="101"/>
    <n v="0.99560000000000004"/>
    <n v="3.34"/>
    <n v="0.52"/>
    <n v="10.199999999999999"/>
    <n v="5"/>
    <x v="0"/>
    <s v="Normal"/>
    <n v="19.899999999999999"/>
    <n v="880"/>
    <n v="83"/>
    <x v="1"/>
  </r>
  <r>
    <x v="167"/>
    <n v="7.3"/>
    <n v="0.55000000000000004"/>
    <n v="0.03"/>
    <n v="1.6"/>
    <n v="7.1999999999999995E-2"/>
    <n v="17"/>
    <n v="42"/>
    <n v="0.99560000000000004"/>
    <n v="3.37"/>
    <n v="0.48"/>
    <n v="9"/>
    <n v="4"/>
    <x v="2"/>
    <s v="Normal"/>
    <n v="17.619999999999997"/>
    <n v="1576"/>
    <n v="25"/>
    <x v="0"/>
  </r>
  <r>
    <x v="168"/>
    <n v="6.8"/>
    <n v="0.63"/>
    <n v="7.0000000000000007E-2"/>
    <n v="2.1"/>
    <n v="8.8999999999999996E-2"/>
    <n v="11"/>
    <n v="44"/>
    <n v="0.99529999999999996"/>
    <n v="3.47"/>
    <n v="0.55000000000000004"/>
    <n v="10.4"/>
    <n v="6"/>
    <x v="0"/>
    <s v="Normal"/>
    <n v="20.364999999999998"/>
    <n v="779"/>
    <n v="33"/>
    <x v="1"/>
  </r>
  <r>
    <x v="169"/>
    <n v="7.5"/>
    <n v="0.70499999999999996"/>
    <n v="0.24"/>
    <n v="1.8"/>
    <n v="0.36"/>
    <n v="15"/>
    <n v="63"/>
    <n v="0.99639999999999995"/>
    <n v="3"/>
    <n v="1.59"/>
    <n v="9.5"/>
    <n v="5"/>
    <x v="0"/>
    <s v="Normal"/>
    <n v="19.975000000000001"/>
    <n v="858"/>
    <n v="48"/>
    <x v="0"/>
  </r>
  <r>
    <x v="170"/>
    <n v="7.9"/>
    <n v="0.88500000000000001"/>
    <n v="0.03"/>
    <n v="1.8"/>
    <n v="5.8000000000000003E-2"/>
    <n v="4"/>
    <n v="8"/>
    <n v="0.99719999999999998"/>
    <n v="3.36"/>
    <n v="0.33"/>
    <n v="9.1"/>
    <n v="4"/>
    <x v="2"/>
    <s v="Normal"/>
    <n v="16.925000000000001"/>
    <n v="1595"/>
    <n v="4"/>
    <x v="0"/>
  </r>
  <r>
    <x v="171"/>
    <n v="8"/>
    <n v="0.42"/>
    <n v="0.17"/>
    <n v="2"/>
    <n v="7.2999999999999995E-2"/>
    <n v="6"/>
    <n v="18"/>
    <n v="0.99719999999999998"/>
    <n v="3.29"/>
    <n v="0.61"/>
    <n v="9.1999999999999993"/>
    <n v="6"/>
    <x v="0"/>
    <s v="Normal"/>
    <n v="18.474999999999998"/>
    <n v="1381"/>
    <n v="12"/>
    <x v="0"/>
  </r>
  <r>
    <x v="172"/>
    <n v="8"/>
    <n v="0.42"/>
    <n v="0.17"/>
    <n v="2"/>
    <n v="7.2999999999999995E-2"/>
    <n v="6"/>
    <n v="18"/>
    <n v="0.99719999999999998"/>
    <n v="3.29"/>
    <n v="0.61"/>
    <n v="9.1999999999999993"/>
    <n v="6"/>
    <x v="0"/>
    <s v="Normal"/>
    <n v="18.474999999999998"/>
    <n v="1381"/>
    <n v="12"/>
    <x v="0"/>
  </r>
  <r>
    <x v="173"/>
    <n v="7.4"/>
    <n v="0.62"/>
    <n v="0.05"/>
    <n v="1.9"/>
    <n v="6.8000000000000005E-2"/>
    <n v="24"/>
    <n v="42"/>
    <n v="0.99609999999999999"/>
    <n v="3.42"/>
    <n v="0.56999999999999995"/>
    <n v="11.5"/>
    <n v="6"/>
    <x v="0"/>
    <s v="Normal"/>
    <n v="22.615000000000002"/>
    <n v="340"/>
    <n v="18"/>
    <x v="1"/>
  </r>
  <r>
    <x v="174"/>
    <n v="7.3"/>
    <n v="0.38"/>
    <n v="0.21"/>
    <n v="2"/>
    <n v="0.08"/>
    <n v="7"/>
    <n v="35"/>
    <n v="0.99609999999999999"/>
    <n v="3.33"/>
    <n v="0.47"/>
    <n v="9.5"/>
    <n v="5"/>
    <x v="0"/>
    <s v="Normal"/>
    <n v="18.944999999999997"/>
    <n v="1182"/>
    <n v="28"/>
    <x v="0"/>
  </r>
  <r>
    <x v="175"/>
    <n v="6.9"/>
    <n v="0.5"/>
    <n v="0.04"/>
    <n v="1.5"/>
    <n v="8.5000000000000006E-2"/>
    <n v="19"/>
    <n v="49"/>
    <n v="0.99580000000000002"/>
    <n v="3.35"/>
    <n v="0.78"/>
    <n v="9.5"/>
    <n v="5"/>
    <x v="0"/>
    <s v="Normal"/>
    <n v="19.170000000000002"/>
    <n v="1098"/>
    <n v="30"/>
    <x v="0"/>
  </r>
  <r>
    <x v="176"/>
    <n v="7.3"/>
    <n v="0.38"/>
    <n v="0.21"/>
    <n v="2"/>
    <n v="0.08"/>
    <n v="7"/>
    <n v="35"/>
    <n v="0.99609999999999999"/>
    <n v="3.33"/>
    <n v="0.47"/>
    <n v="9.5"/>
    <n v="5"/>
    <x v="0"/>
    <s v="Normal"/>
    <n v="18.944999999999997"/>
    <n v="1182"/>
    <n v="28"/>
    <x v="0"/>
  </r>
  <r>
    <x v="177"/>
    <n v="7.5"/>
    <n v="0.52"/>
    <n v="0.42"/>
    <n v="2.2999999999999998"/>
    <n v="8.6999999999999994E-2"/>
    <n v="8"/>
    <n v="38"/>
    <n v="0.99719999999999998"/>
    <n v="3.58"/>
    <n v="0.61"/>
    <n v="10.5"/>
    <n v="6"/>
    <x v="0"/>
    <s v="Normal"/>
    <n v="20.875"/>
    <n v="679"/>
    <n v="30"/>
    <x v="1"/>
  </r>
  <r>
    <x v="178"/>
    <n v="7"/>
    <n v="0.80500000000000005"/>
    <n v="0"/>
    <n v="2.5"/>
    <n v="6.8000000000000005E-2"/>
    <n v="7"/>
    <n v="20"/>
    <n v="0.99690000000000001"/>
    <n v="3.48"/>
    <n v="0.56000000000000005"/>
    <n v="9.6"/>
    <n v="5"/>
    <x v="0"/>
    <s v="Normal"/>
    <n v="18.43"/>
    <n v="1399"/>
    <n v="13"/>
    <x v="0"/>
  </r>
  <r>
    <x v="179"/>
    <n v="8.8000000000000007"/>
    <n v="0.61"/>
    <n v="0.14000000000000001"/>
    <n v="2.4"/>
    <n v="6.7000000000000004E-2"/>
    <n v="10"/>
    <n v="42"/>
    <n v="0.99690000000000001"/>
    <n v="3.19"/>
    <n v="0.59"/>
    <n v="9.5"/>
    <n v="5"/>
    <x v="0"/>
    <s v="High"/>
    <n v="18.665000000000003"/>
    <n v="1309"/>
    <n v="32"/>
    <x v="0"/>
  </r>
  <r>
    <x v="180"/>
    <n v="8.8000000000000007"/>
    <n v="0.61"/>
    <n v="0.14000000000000001"/>
    <n v="2.4"/>
    <n v="6.7000000000000004E-2"/>
    <n v="10"/>
    <n v="42"/>
    <n v="0.99690000000000001"/>
    <n v="3.19"/>
    <n v="0.59"/>
    <n v="9.5"/>
    <n v="5"/>
    <x v="0"/>
    <s v="High"/>
    <n v="18.665000000000003"/>
    <n v="1309"/>
    <n v="32"/>
    <x v="0"/>
  </r>
  <r>
    <x v="181"/>
    <n v="8.9"/>
    <n v="0.61"/>
    <n v="0.49"/>
    <n v="2"/>
    <n v="0.27"/>
    <n v="23"/>
    <n v="110"/>
    <n v="0.99719999999999998"/>
    <n v="3.12"/>
    <n v="1.02"/>
    <n v="9.3000000000000007"/>
    <n v="5"/>
    <x v="0"/>
    <s v="High"/>
    <n v="18.910000000000004"/>
    <n v="1202"/>
    <n v="87"/>
    <x v="0"/>
  </r>
  <r>
    <x v="182"/>
    <n v="7.2"/>
    <n v="0.73"/>
    <n v="0.02"/>
    <n v="2.5"/>
    <n v="7.5999999999999998E-2"/>
    <n v="16"/>
    <n v="42"/>
    <n v="0.99719999999999998"/>
    <n v="3.44"/>
    <n v="0.52"/>
    <n v="9.3000000000000007"/>
    <n v="5"/>
    <x v="0"/>
    <s v="Normal"/>
    <n v="17.920000000000002"/>
    <n v="1533"/>
    <n v="26"/>
    <x v="0"/>
  </r>
  <r>
    <x v="183"/>
    <n v="6.8"/>
    <n v="0.61"/>
    <n v="0.2"/>
    <n v="1.8"/>
    <n v="7.6999999999999999E-2"/>
    <n v="11"/>
    <n v="65"/>
    <n v="0.99709999999999999"/>
    <n v="3.54"/>
    <n v="0.57999999999999996"/>
    <n v="9.3000000000000007"/>
    <n v="5"/>
    <x v="0"/>
    <s v="Normal"/>
    <n v="18.250000000000004"/>
    <n v="1467"/>
    <n v="54"/>
    <x v="0"/>
  </r>
  <r>
    <x v="184"/>
    <n v="6.7"/>
    <n v="0.62"/>
    <n v="0.21"/>
    <n v="1.9"/>
    <n v="7.9000000000000001E-2"/>
    <n v="8"/>
    <n v="62"/>
    <n v="0.997"/>
    <n v="3.52"/>
    <n v="0.57999999999999996"/>
    <n v="9.3000000000000007"/>
    <n v="6"/>
    <x v="0"/>
    <s v="Normal"/>
    <n v="18.230000000000004"/>
    <n v="1476"/>
    <n v="54"/>
    <x v="0"/>
  </r>
  <r>
    <x v="185"/>
    <n v="8.9"/>
    <n v="0.31"/>
    <n v="0.56999999999999995"/>
    <n v="2"/>
    <n v="0.111"/>
    <n v="26"/>
    <n v="85"/>
    <n v="0.99709999999999999"/>
    <n v="3.26"/>
    <n v="0.53"/>
    <n v="9.6999999999999993"/>
    <n v="5"/>
    <x v="0"/>
    <s v="High"/>
    <n v="19.574999999999999"/>
    <n v="957"/>
    <n v="59"/>
    <x v="0"/>
  </r>
  <r>
    <x v="186"/>
    <n v="7.4"/>
    <n v="0.39"/>
    <n v="0.48"/>
    <n v="2"/>
    <n v="8.2000000000000003E-2"/>
    <n v="14"/>
    <n v="67"/>
    <n v="0.99719999999999998"/>
    <n v="3.34"/>
    <n v="0.55000000000000004"/>
    <n v="9.1999999999999993"/>
    <n v="5"/>
    <x v="0"/>
    <s v="Normal"/>
    <n v="18.444999999999997"/>
    <n v="1395"/>
    <n v="53"/>
    <x v="0"/>
  </r>
  <r>
    <x v="187"/>
    <n v="7.7"/>
    <n v="0.70499999999999996"/>
    <n v="0.1"/>
    <n v="2.6"/>
    <n v="8.4000000000000005E-2"/>
    <n v="9"/>
    <n v="26"/>
    <n v="0.99760000000000004"/>
    <n v="3.39"/>
    <n v="0.49"/>
    <n v="9.6999999999999993"/>
    <n v="5"/>
    <x v="0"/>
    <s v="Normal"/>
    <n v="18.724999999999998"/>
    <n v="1279"/>
    <n v="17"/>
    <x v="0"/>
  </r>
  <r>
    <x v="188"/>
    <n v="7.9"/>
    <n v="0.5"/>
    <n v="0.33"/>
    <n v="2"/>
    <n v="8.4000000000000005E-2"/>
    <n v="15"/>
    <n v="143"/>
    <n v="0.99680000000000002"/>
    <n v="3.2"/>
    <n v="0.55000000000000004"/>
    <n v="9.5"/>
    <n v="5"/>
    <x v="0"/>
    <s v="Normal"/>
    <n v="18.824999999999999"/>
    <n v="1238"/>
    <n v="128"/>
    <x v="0"/>
  </r>
  <r>
    <x v="189"/>
    <n v="7.9"/>
    <n v="0.49"/>
    <n v="0.32"/>
    <n v="1.9"/>
    <n v="8.2000000000000003E-2"/>
    <n v="17"/>
    <n v="144"/>
    <n v="0.99680000000000002"/>
    <n v="3.2"/>
    <n v="0.55000000000000004"/>
    <n v="9.5"/>
    <n v="5"/>
    <x v="0"/>
    <s v="Normal"/>
    <n v="18.844999999999999"/>
    <n v="1228"/>
    <n v="127"/>
    <x v="0"/>
  </r>
  <r>
    <x v="190"/>
    <n v="8.1999999999999993"/>
    <n v="0.5"/>
    <n v="0.35"/>
    <n v="2.9"/>
    <n v="7.6999999999999999E-2"/>
    <n v="21"/>
    <n v="127"/>
    <n v="0.99760000000000004"/>
    <n v="3.23"/>
    <n v="0.62"/>
    <n v="9.4"/>
    <n v="5"/>
    <x v="0"/>
    <s v="Normal"/>
    <n v="18.73"/>
    <n v="1270"/>
    <n v="106"/>
    <x v="0"/>
  </r>
  <r>
    <x v="191"/>
    <n v="6.4"/>
    <n v="0.37"/>
    <n v="0.25"/>
    <n v="1.9"/>
    <n v="7.3999999999999996E-2"/>
    <n v="21"/>
    <n v="49"/>
    <n v="0.99739999999999995"/>
    <n v="3.57"/>
    <n v="0.62"/>
    <n v="9.8000000000000007"/>
    <n v="6"/>
    <x v="0"/>
    <s v="Normal"/>
    <n v="19.790000000000003"/>
    <n v="906"/>
    <n v="28"/>
    <x v="0"/>
  </r>
  <r>
    <x v="192"/>
    <n v="6.8"/>
    <n v="0.63"/>
    <n v="0.12"/>
    <n v="3.8"/>
    <n v="9.9000000000000005E-2"/>
    <n v="16"/>
    <n v="126"/>
    <n v="0.99690000000000001"/>
    <n v="3.28"/>
    <n v="0.61"/>
    <n v="9.5"/>
    <n v="5"/>
    <x v="0"/>
    <s v="Normal"/>
    <n v="18.654999999999998"/>
    <n v="1319"/>
    <n v="110"/>
    <x v="0"/>
  </r>
  <r>
    <x v="193"/>
    <n v="7.6"/>
    <n v="0.55000000000000004"/>
    <n v="0.21"/>
    <n v="2.2000000000000002"/>
    <n v="7.0999999999999994E-2"/>
    <n v="7"/>
    <n v="28"/>
    <n v="0.99639999999999995"/>
    <n v="3.28"/>
    <n v="0.55000000000000004"/>
    <n v="9.6999999999999993"/>
    <n v="5"/>
    <x v="0"/>
    <s v="Normal"/>
    <n v="19.124999999999996"/>
    <n v="1113"/>
    <n v="21"/>
    <x v="0"/>
  </r>
  <r>
    <x v="194"/>
    <n v="7.6"/>
    <n v="0.55000000000000004"/>
    <n v="0.21"/>
    <n v="2.2000000000000002"/>
    <n v="7.0999999999999994E-2"/>
    <n v="7"/>
    <n v="28"/>
    <n v="0.99639999999999995"/>
    <n v="3.28"/>
    <n v="0.55000000000000004"/>
    <n v="9.6999999999999993"/>
    <n v="5"/>
    <x v="0"/>
    <s v="Normal"/>
    <n v="19.124999999999996"/>
    <n v="1113"/>
    <n v="21"/>
    <x v="0"/>
  </r>
  <r>
    <x v="195"/>
    <n v="7.8"/>
    <n v="0.59"/>
    <n v="0.33"/>
    <n v="2"/>
    <n v="7.3999999999999996E-2"/>
    <n v="24"/>
    <n v="120"/>
    <n v="0.99680000000000002"/>
    <n v="3.25"/>
    <n v="0.54"/>
    <n v="9.4"/>
    <n v="5"/>
    <x v="0"/>
    <s v="Normal"/>
    <n v="18.43"/>
    <n v="1399"/>
    <n v="96"/>
    <x v="0"/>
  </r>
  <r>
    <x v="196"/>
    <n v="7.3"/>
    <n v="0.57999999999999996"/>
    <n v="0.3"/>
    <n v="2.4"/>
    <n v="7.3999999999999996E-2"/>
    <n v="15"/>
    <n v="55"/>
    <n v="0.99680000000000002"/>
    <n v="3.46"/>
    <n v="0.59"/>
    <n v="10.199999999999999"/>
    <n v="5"/>
    <x v="0"/>
    <s v="Normal"/>
    <n v="20.125"/>
    <n v="832"/>
    <n v="40"/>
    <x v="1"/>
  </r>
  <r>
    <x v="197"/>
    <n v="11.5"/>
    <n v="0.3"/>
    <n v="0.6"/>
    <n v="2"/>
    <n v="6.7000000000000004E-2"/>
    <n v="12"/>
    <n v="27"/>
    <n v="0.99809999999999999"/>
    <n v="3.11"/>
    <n v="0.97"/>
    <n v="10.1"/>
    <n v="6"/>
    <x v="0"/>
    <s v="High"/>
    <n v="21.055"/>
    <n v="641"/>
    <n v="15"/>
    <x v="0"/>
  </r>
  <r>
    <x v="198"/>
    <n v="5.4"/>
    <n v="0.83499999999999996"/>
    <n v="0.08"/>
    <n v="1.2"/>
    <n v="4.5999999999999999E-2"/>
    <n v="13"/>
    <n v="93"/>
    <n v="0.99239999999999995"/>
    <n v="3.57"/>
    <n v="0.85"/>
    <n v="13"/>
    <n v="7"/>
    <x v="1"/>
    <s v="Normal"/>
    <n v="25.604999999999997"/>
    <n v="45"/>
    <n v="80"/>
    <x v="1"/>
  </r>
  <r>
    <x v="199"/>
    <n v="6.9"/>
    <n v="1.0900000000000001"/>
    <n v="0.06"/>
    <n v="2.1"/>
    <n v="6.0999999999999999E-2"/>
    <n v="12"/>
    <n v="31"/>
    <n v="0.99480000000000002"/>
    <n v="3.51"/>
    <n v="0.43"/>
    <n v="11.4"/>
    <n v="4"/>
    <x v="2"/>
    <s v="Normal"/>
    <n v="21.265000000000001"/>
    <n v="588"/>
    <n v="19"/>
    <x v="1"/>
  </r>
  <r>
    <x v="200"/>
    <n v="9.6"/>
    <n v="0.32"/>
    <n v="0.47"/>
    <n v="1.4"/>
    <n v="5.6000000000000001E-2"/>
    <n v="9"/>
    <n v="24"/>
    <n v="0.99695"/>
    <n v="3.22"/>
    <n v="0.82"/>
    <n v="10.3"/>
    <n v="7"/>
    <x v="1"/>
    <s v="High"/>
    <n v="21.19"/>
    <n v="605"/>
    <n v="15"/>
    <x v="1"/>
  </r>
  <r>
    <x v="201"/>
    <n v="8.8000000000000007"/>
    <n v="0.37"/>
    <n v="0.48"/>
    <n v="2.1"/>
    <n v="9.7000000000000003E-2"/>
    <n v="39"/>
    <n v="145"/>
    <n v="0.99750000000000005"/>
    <n v="3.04"/>
    <n v="1.03"/>
    <n v="9.3000000000000007"/>
    <n v="5"/>
    <x v="0"/>
    <s v="High"/>
    <n v="19.405000000000005"/>
    <n v="1001"/>
    <n v="106"/>
    <x v="0"/>
  </r>
  <r>
    <x v="202"/>
    <n v="6.8"/>
    <n v="0.5"/>
    <n v="0.11"/>
    <n v="1.5"/>
    <n v="7.4999999999999997E-2"/>
    <n v="16"/>
    <n v="49"/>
    <n v="0.99544999999999995"/>
    <n v="3.36"/>
    <n v="0.79"/>
    <n v="9.5"/>
    <n v="5"/>
    <x v="0"/>
    <s v="Normal"/>
    <n v="19.184999999999999"/>
    <n v="1090"/>
    <n v="33"/>
    <x v="0"/>
  </r>
  <r>
    <x v="203"/>
    <n v="7"/>
    <n v="0.42"/>
    <n v="0.35"/>
    <n v="1.6"/>
    <n v="8.7999999999999995E-2"/>
    <n v="16"/>
    <n v="39"/>
    <n v="0.99609999999999999"/>
    <n v="3.34"/>
    <n v="0.55000000000000004"/>
    <n v="9.1999999999999993"/>
    <n v="5"/>
    <x v="0"/>
    <s v="Normal"/>
    <n v="18.384999999999998"/>
    <n v="1423"/>
    <n v="23"/>
    <x v="0"/>
  </r>
  <r>
    <x v="204"/>
    <n v="7"/>
    <n v="0.43"/>
    <n v="0.36"/>
    <n v="1.6"/>
    <n v="8.8999999999999996E-2"/>
    <n v="14"/>
    <n v="37"/>
    <n v="0.99614999999999998"/>
    <n v="3.34"/>
    <n v="0.56000000000000005"/>
    <n v="9.1999999999999993"/>
    <n v="6"/>
    <x v="0"/>
    <s v="Normal"/>
    <n v="18.38"/>
    <n v="1424"/>
    <n v="23"/>
    <x v="0"/>
  </r>
  <r>
    <x v="205"/>
    <n v="12.8"/>
    <n v="0.3"/>
    <n v="0.74"/>
    <n v="2.6"/>
    <n v="9.5000000000000001E-2"/>
    <n v="9"/>
    <n v="28"/>
    <n v="0.99939999999999996"/>
    <n v="3.2"/>
    <n v="0.77"/>
    <n v="10.8"/>
    <n v="7"/>
    <x v="1"/>
    <s v="High"/>
    <n v="22.155000000000001"/>
    <n v="426"/>
    <n v="19"/>
    <x v="1"/>
  </r>
  <r>
    <x v="206"/>
    <n v="12.8"/>
    <n v="0.3"/>
    <n v="0.74"/>
    <n v="2.6"/>
    <n v="9.5000000000000001E-2"/>
    <n v="9"/>
    <n v="28"/>
    <n v="0.99939999999999996"/>
    <n v="3.2"/>
    <n v="0.77"/>
    <n v="10.8"/>
    <n v="7"/>
    <x v="1"/>
    <s v="High"/>
    <n v="22.155000000000001"/>
    <n v="426"/>
    <n v="19"/>
    <x v="1"/>
  </r>
  <r>
    <x v="207"/>
    <n v="7.8"/>
    <n v="0.56999999999999995"/>
    <n v="0.31"/>
    <n v="1.8"/>
    <n v="6.9000000000000006E-2"/>
    <n v="26"/>
    <n v="120"/>
    <n v="0.99624999999999997"/>
    <n v="3.29"/>
    <n v="0.53"/>
    <n v="9.3000000000000007"/>
    <n v="5"/>
    <x v="0"/>
    <s v="Normal"/>
    <n v="18.255000000000003"/>
    <n v="1464"/>
    <n v="94"/>
    <x v="0"/>
  </r>
  <r>
    <x v="208"/>
    <n v="7.8"/>
    <n v="0.44"/>
    <n v="0.28000000000000003"/>
    <n v="2.7"/>
    <n v="0.1"/>
    <n v="18"/>
    <n v="95"/>
    <n v="0.99660000000000004"/>
    <n v="3.22"/>
    <n v="0.67"/>
    <n v="9.4"/>
    <n v="5"/>
    <x v="0"/>
    <s v="Normal"/>
    <n v="18.925000000000001"/>
    <n v="1193"/>
    <n v="77"/>
    <x v="0"/>
  </r>
  <r>
    <x v="209"/>
    <n v="11"/>
    <n v="0.3"/>
    <n v="0.57999999999999996"/>
    <n v="2.1"/>
    <n v="5.3999999999999999E-2"/>
    <n v="7"/>
    <n v="19"/>
    <n v="0.998"/>
    <n v="3.31"/>
    <n v="0.88"/>
    <n v="10.5"/>
    <n v="7"/>
    <x v="1"/>
    <s v="High"/>
    <n v="21.72"/>
    <n v="502"/>
    <n v="12"/>
    <x v="1"/>
  </r>
  <r>
    <x v="210"/>
    <n v="9.6999999999999993"/>
    <n v="0.53"/>
    <n v="0.6"/>
    <n v="2"/>
    <n v="3.9E-2"/>
    <n v="5"/>
    <n v="19"/>
    <n v="0.99585000000000001"/>
    <n v="3.3"/>
    <n v="0.86"/>
    <n v="12.4"/>
    <n v="6"/>
    <x v="0"/>
    <s v="High"/>
    <n v="25.03"/>
    <n v="92"/>
    <n v="14"/>
    <x v="1"/>
  </r>
  <r>
    <x v="211"/>
    <n v="8"/>
    <n v="0.72499999999999998"/>
    <n v="0.24"/>
    <n v="2.8"/>
    <n v="8.3000000000000004E-2"/>
    <n v="10"/>
    <n v="62"/>
    <n v="0.99685000000000001"/>
    <n v="3.35"/>
    <n v="0.56000000000000005"/>
    <n v="10"/>
    <n v="6"/>
    <x v="0"/>
    <s v="Normal"/>
    <n v="19.39"/>
    <n v="1008"/>
    <n v="52"/>
    <x v="1"/>
  </r>
  <r>
    <x v="212"/>
    <n v="11.6"/>
    <n v="0.44"/>
    <n v="0.64"/>
    <n v="2.1"/>
    <n v="5.8999999999999997E-2"/>
    <n v="5"/>
    <n v="15"/>
    <n v="0.998"/>
    <n v="3.21"/>
    <n v="0.67"/>
    <n v="10.199999999999999"/>
    <n v="6"/>
    <x v="0"/>
    <s v="High"/>
    <n v="20.524999999999999"/>
    <n v="753"/>
    <n v="10"/>
    <x v="1"/>
  </r>
  <r>
    <x v="213"/>
    <n v="8.1999999999999993"/>
    <n v="0.56999999999999995"/>
    <n v="0.26"/>
    <n v="2.2000000000000002"/>
    <n v="0.06"/>
    <n v="28"/>
    <n v="65"/>
    <n v="0.99590000000000001"/>
    <n v="3.3"/>
    <n v="0.43"/>
    <n v="10.1"/>
    <n v="5"/>
    <x v="0"/>
    <s v="Normal"/>
    <n v="19.704999999999998"/>
    <n v="927"/>
    <n v="37"/>
    <x v="1"/>
  </r>
  <r>
    <x v="214"/>
    <n v="7.8"/>
    <n v="0.73499999999999999"/>
    <n v="0.08"/>
    <n v="2.4"/>
    <n v="9.1999999999999998E-2"/>
    <n v="10"/>
    <n v="41"/>
    <n v="0.99739999999999995"/>
    <n v="3.24"/>
    <n v="0.71"/>
    <n v="9.8000000000000007"/>
    <n v="6"/>
    <x v="0"/>
    <s v="Normal"/>
    <n v="19.195000000000004"/>
    <n v="1083"/>
    <n v="31"/>
    <x v="0"/>
  </r>
  <r>
    <x v="215"/>
    <n v="7"/>
    <n v="0.49"/>
    <n v="0.49"/>
    <n v="5.6"/>
    <n v="0.06"/>
    <n v="26"/>
    <n v="121"/>
    <n v="0.99739999999999995"/>
    <n v="3.34"/>
    <n v="0.76"/>
    <n v="10.5"/>
    <n v="5"/>
    <x v="0"/>
    <s v="Normal"/>
    <n v="21.16"/>
    <n v="624"/>
    <n v="95"/>
    <x v="1"/>
  </r>
  <r>
    <x v="216"/>
    <n v="8.6999999999999993"/>
    <n v="0.625"/>
    <n v="0.16"/>
    <n v="2"/>
    <n v="0.10100000000000001"/>
    <n v="13"/>
    <n v="49"/>
    <n v="0.99619999999999997"/>
    <n v="3.14"/>
    <n v="0.56999999999999995"/>
    <n v="11"/>
    <n v="5"/>
    <x v="0"/>
    <s v="High"/>
    <n v="21.605"/>
    <n v="524"/>
    <n v="36"/>
    <x v="0"/>
  </r>
  <r>
    <x v="217"/>
    <n v="8.1"/>
    <n v="0.72499999999999998"/>
    <n v="0.22"/>
    <n v="2.2000000000000002"/>
    <n v="7.1999999999999995E-2"/>
    <n v="11"/>
    <n v="41"/>
    <n v="0.99670000000000003"/>
    <n v="3.36"/>
    <n v="0.55000000000000004"/>
    <n v="9.1"/>
    <n v="5"/>
    <x v="0"/>
    <s v="Normal"/>
    <n v="17.574999999999999"/>
    <n v="1580"/>
    <n v="30"/>
    <x v="0"/>
  </r>
  <r>
    <x v="218"/>
    <n v="7.5"/>
    <n v="0.49"/>
    <n v="0.19"/>
    <n v="1.9"/>
    <n v="7.5999999999999998E-2"/>
    <n v="10"/>
    <n v="44"/>
    <n v="0.99570000000000003"/>
    <n v="3.39"/>
    <n v="0.54"/>
    <n v="9.6999999999999993"/>
    <n v="5"/>
    <x v="0"/>
    <s v="Normal"/>
    <n v="19.229999999999997"/>
    <n v="1070"/>
    <n v="34"/>
    <x v="0"/>
  </r>
  <r>
    <x v="219"/>
    <n v="7.8"/>
    <n v="0.53"/>
    <n v="0.33"/>
    <n v="2.4"/>
    <n v="0.08"/>
    <n v="24"/>
    <n v="144"/>
    <n v="0.99655000000000005"/>
    <n v="3.3"/>
    <n v="0.6"/>
    <n v="9.5"/>
    <n v="5"/>
    <x v="0"/>
    <s v="Normal"/>
    <n v="18.84"/>
    <n v="1229"/>
    <n v="120"/>
    <x v="0"/>
  </r>
  <r>
    <x v="220"/>
    <n v="7.8"/>
    <n v="0.34"/>
    <n v="0.37"/>
    <n v="2"/>
    <n v="8.2000000000000003E-2"/>
    <n v="24"/>
    <n v="58"/>
    <n v="0.99639999999999995"/>
    <n v="3.34"/>
    <n v="0.59"/>
    <n v="9.4"/>
    <n v="6"/>
    <x v="0"/>
    <s v="Normal"/>
    <n v="19.005000000000003"/>
    <n v="1163"/>
    <n v="34"/>
    <x v="0"/>
  </r>
  <r>
    <x v="221"/>
    <n v="7.4"/>
    <n v="0.53"/>
    <n v="0.26"/>
    <n v="2"/>
    <n v="0.10100000000000001"/>
    <n v="16"/>
    <n v="72"/>
    <n v="0.99570000000000003"/>
    <n v="3.15"/>
    <n v="0.56999999999999995"/>
    <n v="9.4"/>
    <n v="5"/>
    <x v="0"/>
    <s v="Normal"/>
    <n v="18.595000000000002"/>
    <n v="1345"/>
    <n v="56"/>
    <x v="0"/>
  </r>
  <r>
    <x v="222"/>
    <n v="6.8"/>
    <n v="0.61"/>
    <n v="0.04"/>
    <n v="1.5"/>
    <n v="5.7000000000000002E-2"/>
    <n v="5"/>
    <n v="10"/>
    <n v="0.99524999999999997"/>
    <n v="3.42"/>
    <n v="0.6"/>
    <n v="9.5"/>
    <n v="5"/>
    <x v="0"/>
    <s v="Normal"/>
    <n v="18.68"/>
    <n v="1301"/>
    <n v="5"/>
    <x v="0"/>
  </r>
  <r>
    <x v="223"/>
    <n v="8.6"/>
    <n v="0.64500000000000002"/>
    <n v="0.25"/>
    <n v="2"/>
    <n v="8.3000000000000004E-2"/>
    <n v="8"/>
    <n v="28"/>
    <n v="0.99814999999999998"/>
    <n v="3.28"/>
    <n v="0.6"/>
    <n v="10"/>
    <n v="6"/>
    <x v="0"/>
    <s v="High"/>
    <n v="19.61"/>
    <n v="951"/>
    <n v="20"/>
    <x v="1"/>
  </r>
  <r>
    <x v="224"/>
    <n v="8.4"/>
    <n v="0.63500000000000001"/>
    <n v="0.36"/>
    <n v="2"/>
    <n v="8.8999999999999996E-2"/>
    <n v="15"/>
    <n v="55"/>
    <n v="0.99744999999999995"/>
    <n v="3.31"/>
    <n v="0.56999999999999995"/>
    <n v="10.4"/>
    <n v="4"/>
    <x v="2"/>
    <s v="High"/>
    <n v="20.385000000000002"/>
    <n v="772"/>
    <n v="40"/>
    <x v="1"/>
  </r>
  <r>
    <x v="225"/>
    <n v="7.7"/>
    <n v="0.43"/>
    <n v="0.25"/>
    <n v="2.6"/>
    <n v="7.2999999999999995E-2"/>
    <n v="29"/>
    <n v="63"/>
    <n v="0.99614999999999998"/>
    <n v="3.37"/>
    <n v="0.57999999999999996"/>
    <n v="10.5"/>
    <n v="6"/>
    <x v="0"/>
    <s v="Normal"/>
    <n v="21.01"/>
    <n v="650"/>
    <n v="34"/>
    <x v="1"/>
  </r>
  <r>
    <x v="226"/>
    <n v="8.9"/>
    <n v="0.59"/>
    <n v="0.5"/>
    <n v="2"/>
    <n v="0.33700000000000002"/>
    <n v="27"/>
    <n v="81"/>
    <n v="0.99639999999999995"/>
    <n v="3.04"/>
    <n v="1.61"/>
    <n v="9.5"/>
    <n v="6"/>
    <x v="0"/>
    <s v="High"/>
    <n v="20.234999999999999"/>
    <n v="801"/>
    <n v="54"/>
    <x v="0"/>
  </r>
  <r>
    <x v="227"/>
    <n v="9"/>
    <n v="0.82"/>
    <n v="0.14000000000000001"/>
    <n v="2.6"/>
    <n v="8.8999999999999996E-2"/>
    <n v="9"/>
    <n v="23"/>
    <n v="0.99839999999999995"/>
    <n v="3.39"/>
    <n v="0.63"/>
    <n v="9.8000000000000007"/>
    <n v="5"/>
    <x v="0"/>
    <s v="Normal"/>
    <n v="18.905000000000001"/>
    <n v="1203"/>
    <n v="14"/>
    <x v="0"/>
  </r>
  <r>
    <x v="228"/>
    <n v="7.7"/>
    <n v="0.43"/>
    <n v="0.25"/>
    <n v="2.6"/>
    <n v="7.2999999999999995E-2"/>
    <n v="29"/>
    <n v="63"/>
    <n v="0.99614999999999998"/>
    <n v="3.37"/>
    <n v="0.57999999999999996"/>
    <n v="10.5"/>
    <n v="6"/>
    <x v="0"/>
    <s v="Normal"/>
    <n v="21.01"/>
    <n v="650"/>
    <n v="34"/>
    <x v="1"/>
  </r>
  <r>
    <x v="229"/>
    <n v="6.9"/>
    <n v="0.52"/>
    <n v="0.25"/>
    <n v="2.6"/>
    <n v="8.1000000000000003E-2"/>
    <n v="10"/>
    <n v="37"/>
    <n v="0.99685000000000001"/>
    <n v="3.46"/>
    <n v="0.5"/>
    <n v="11"/>
    <n v="5"/>
    <x v="0"/>
    <s v="Normal"/>
    <n v="21.71"/>
    <n v="503"/>
    <n v="27"/>
    <x v="1"/>
  </r>
  <r>
    <x v="230"/>
    <n v="5.2"/>
    <n v="0.48"/>
    <n v="0.04"/>
    <n v="1.6"/>
    <n v="5.3999999999999999E-2"/>
    <n v="19"/>
    <n v="106"/>
    <n v="0.99270000000000003"/>
    <n v="3.54"/>
    <n v="0.62"/>
    <n v="12.2"/>
    <n v="7"/>
    <x v="1"/>
    <s v="Normal"/>
    <n v="24.369999999999997"/>
    <n v="145"/>
    <n v="87"/>
    <x v="1"/>
  </r>
  <r>
    <x v="231"/>
    <n v="8"/>
    <n v="0.38"/>
    <n v="0.06"/>
    <n v="1.8"/>
    <n v="7.8E-2"/>
    <n v="12"/>
    <n v="49"/>
    <n v="0.99624999999999997"/>
    <n v="3.37"/>
    <n v="0.52"/>
    <n v="9.9"/>
    <n v="6"/>
    <x v="0"/>
    <s v="Normal"/>
    <n v="19.82"/>
    <n v="900"/>
    <n v="37"/>
    <x v="0"/>
  </r>
  <r>
    <x v="232"/>
    <n v="8.5"/>
    <n v="0.37"/>
    <n v="0.2"/>
    <n v="2.8"/>
    <n v="0.09"/>
    <n v="18"/>
    <n v="58"/>
    <n v="0.998"/>
    <n v="3.34"/>
    <n v="0.7"/>
    <n v="9.6"/>
    <n v="6"/>
    <x v="0"/>
    <s v="Normal"/>
    <n v="19.510000000000002"/>
    <n v="970"/>
    <n v="40"/>
    <x v="0"/>
  </r>
  <r>
    <x v="233"/>
    <n v="6.9"/>
    <n v="0.52"/>
    <n v="0.25"/>
    <n v="2.6"/>
    <n v="8.1000000000000003E-2"/>
    <n v="10"/>
    <n v="37"/>
    <n v="0.99685000000000001"/>
    <n v="3.46"/>
    <n v="0.5"/>
    <n v="11"/>
    <n v="5"/>
    <x v="0"/>
    <s v="Normal"/>
    <n v="21.71"/>
    <n v="503"/>
    <n v="27"/>
    <x v="1"/>
  </r>
  <r>
    <x v="234"/>
    <n v="8.1999999999999993"/>
    <n v="1"/>
    <n v="0.09"/>
    <n v="2.2999999999999998"/>
    <n v="6.5000000000000002E-2"/>
    <n v="7"/>
    <n v="37"/>
    <n v="0.99685000000000001"/>
    <n v="3.32"/>
    <n v="0.55000000000000004"/>
    <n v="9"/>
    <n v="6"/>
    <x v="0"/>
    <s v="Normal"/>
    <n v="16.824999999999999"/>
    <n v="1596"/>
    <n v="30"/>
    <x v="0"/>
  </r>
  <r>
    <x v="235"/>
    <n v="7.2"/>
    <n v="0.63"/>
    <n v="0"/>
    <n v="1.9"/>
    <n v="9.7000000000000003E-2"/>
    <n v="14"/>
    <n v="38"/>
    <n v="0.99675000000000002"/>
    <n v="3.37"/>
    <n v="0.57999999999999996"/>
    <n v="9"/>
    <n v="6"/>
    <x v="0"/>
    <s v="Normal"/>
    <n v="17.61"/>
    <n v="1577"/>
    <n v="24"/>
    <x v="0"/>
  </r>
  <r>
    <x v="236"/>
    <n v="7.2"/>
    <n v="0.63"/>
    <n v="0"/>
    <n v="1.9"/>
    <n v="9.7000000000000003E-2"/>
    <n v="14"/>
    <n v="38"/>
    <n v="0.99675000000000002"/>
    <n v="3.37"/>
    <n v="0.57999999999999996"/>
    <n v="9"/>
    <n v="6"/>
    <x v="0"/>
    <s v="Normal"/>
    <n v="17.61"/>
    <n v="1577"/>
    <n v="24"/>
    <x v="0"/>
  </r>
  <r>
    <x v="237"/>
    <n v="7.2"/>
    <n v="0.64500000000000002"/>
    <n v="0"/>
    <n v="1.9"/>
    <n v="9.7000000000000003E-2"/>
    <n v="15"/>
    <n v="39"/>
    <n v="0.99675000000000002"/>
    <n v="3.37"/>
    <n v="0.57999999999999996"/>
    <n v="9.1999999999999993"/>
    <n v="6"/>
    <x v="0"/>
    <s v="Normal"/>
    <n v="17.98"/>
    <n v="1524"/>
    <n v="24"/>
    <x v="0"/>
  </r>
  <r>
    <x v="238"/>
    <n v="7.2"/>
    <n v="0.63"/>
    <n v="0"/>
    <n v="1.9"/>
    <n v="9.7000000000000003E-2"/>
    <n v="14"/>
    <n v="38"/>
    <n v="0.99675000000000002"/>
    <n v="3.37"/>
    <n v="0.57999999999999996"/>
    <n v="9"/>
    <n v="6"/>
    <x v="0"/>
    <s v="Normal"/>
    <n v="17.61"/>
    <n v="1577"/>
    <n v="24"/>
    <x v="0"/>
  </r>
  <r>
    <x v="239"/>
    <n v="8.1999999999999993"/>
    <n v="1"/>
    <n v="0.09"/>
    <n v="2.2999999999999998"/>
    <n v="6.5000000000000002E-2"/>
    <n v="7"/>
    <n v="37"/>
    <n v="0.99685000000000001"/>
    <n v="3.32"/>
    <n v="0.55000000000000004"/>
    <n v="9"/>
    <n v="6"/>
    <x v="0"/>
    <s v="Normal"/>
    <n v="16.824999999999999"/>
    <n v="1596"/>
    <n v="30"/>
    <x v="0"/>
  </r>
  <r>
    <x v="240"/>
    <n v="8.9"/>
    <n v="0.63500000000000001"/>
    <n v="0.37"/>
    <n v="1.7"/>
    <n v="0.26300000000000001"/>
    <n v="5"/>
    <n v="62"/>
    <n v="0.99709999999999999"/>
    <n v="3"/>
    <n v="1.0900000000000001"/>
    <n v="9.3000000000000007"/>
    <n v="5"/>
    <x v="0"/>
    <s v="High"/>
    <n v="18.965000000000003"/>
    <n v="1174"/>
    <n v="57"/>
    <x v="0"/>
  </r>
  <r>
    <x v="241"/>
    <n v="12"/>
    <n v="0.38"/>
    <n v="0.56000000000000005"/>
    <n v="2.1"/>
    <n v="9.2999999999999999E-2"/>
    <n v="6"/>
    <n v="24"/>
    <n v="0.99924999999999997"/>
    <n v="3.14"/>
    <n v="0.71"/>
    <n v="10.9"/>
    <n v="6"/>
    <x v="0"/>
    <s v="High"/>
    <n v="22.105"/>
    <n v="440"/>
    <n v="18"/>
    <x v="0"/>
  </r>
  <r>
    <x v="242"/>
    <n v="7.7"/>
    <n v="0.57999999999999996"/>
    <n v="0.1"/>
    <n v="1.8"/>
    <n v="0.10199999999999999"/>
    <n v="28"/>
    <n v="109"/>
    <n v="0.99565000000000003"/>
    <n v="3.08"/>
    <n v="0.49"/>
    <n v="9.8000000000000007"/>
    <n v="6"/>
    <x v="0"/>
    <s v="Normal"/>
    <n v="19.175000000000001"/>
    <n v="1096"/>
    <n v="81"/>
    <x v="0"/>
  </r>
  <r>
    <x v="243"/>
    <n v="15"/>
    <n v="0.21"/>
    <n v="0.44"/>
    <n v="2.2000000000000002"/>
    <n v="7.4999999999999997E-2"/>
    <n v="10"/>
    <n v="24"/>
    <n v="1.0000500000000001"/>
    <n v="3.07"/>
    <n v="0.84"/>
    <n v="9.1999999999999993"/>
    <n v="7"/>
    <x v="1"/>
    <s v="High"/>
    <n v="19.239999999999998"/>
    <n v="1062"/>
    <n v="14"/>
    <x v="0"/>
  </r>
  <r>
    <x v="244"/>
    <n v="15"/>
    <n v="0.21"/>
    <n v="0.44"/>
    <n v="2.2000000000000002"/>
    <n v="7.4999999999999997E-2"/>
    <n v="10"/>
    <n v="24"/>
    <n v="1.0000500000000001"/>
    <n v="3.07"/>
    <n v="0.84"/>
    <n v="9.1999999999999993"/>
    <n v="7"/>
    <x v="1"/>
    <s v="High"/>
    <n v="19.239999999999998"/>
    <n v="1062"/>
    <n v="14"/>
    <x v="0"/>
  </r>
  <r>
    <x v="245"/>
    <n v="7.3"/>
    <n v="0.66"/>
    <n v="0"/>
    <n v="2"/>
    <n v="8.4000000000000005E-2"/>
    <n v="6"/>
    <n v="23"/>
    <n v="0.99829999999999997"/>
    <n v="3.61"/>
    <n v="0.96"/>
    <n v="9.9"/>
    <n v="6"/>
    <x v="0"/>
    <s v="Normal"/>
    <n v="19.920000000000002"/>
    <n v="871"/>
    <n v="17"/>
    <x v="0"/>
  </r>
  <r>
    <x v="246"/>
    <n v="7.1"/>
    <n v="0.68"/>
    <n v="7.0000000000000007E-2"/>
    <n v="1.9"/>
    <n v="7.4999999999999997E-2"/>
    <n v="16"/>
    <n v="51"/>
    <n v="0.99685000000000001"/>
    <n v="3.38"/>
    <n v="0.52"/>
    <n v="9.5"/>
    <n v="5"/>
    <x v="0"/>
    <s v="Normal"/>
    <n v="18.420000000000002"/>
    <n v="1407"/>
    <n v="35"/>
    <x v="0"/>
  </r>
  <r>
    <x v="247"/>
    <n v="8.1999999999999993"/>
    <n v="0.6"/>
    <n v="0.17"/>
    <n v="2.2999999999999998"/>
    <n v="7.1999999999999995E-2"/>
    <n v="11"/>
    <n v="73"/>
    <n v="0.99629999999999996"/>
    <n v="3.2"/>
    <n v="0.45"/>
    <n v="9.3000000000000007"/>
    <n v="5"/>
    <x v="0"/>
    <s v="Normal"/>
    <n v="18.075000000000003"/>
    <n v="1505"/>
    <n v="62"/>
    <x v="0"/>
  </r>
  <r>
    <x v="248"/>
    <n v="7.7"/>
    <n v="0.53"/>
    <n v="0.06"/>
    <n v="1.7"/>
    <n v="7.3999999999999996E-2"/>
    <n v="9"/>
    <n v="39"/>
    <n v="0.99614999999999998"/>
    <n v="3.35"/>
    <n v="0.48"/>
    <n v="9.8000000000000007"/>
    <n v="6"/>
    <x v="0"/>
    <s v="Normal"/>
    <n v="19.260000000000002"/>
    <n v="1056"/>
    <n v="30"/>
    <x v="0"/>
  </r>
  <r>
    <x v="249"/>
    <n v="7.3"/>
    <n v="0.66"/>
    <n v="0"/>
    <n v="2"/>
    <n v="8.4000000000000005E-2"/>
    <n v="6"/>
    <n v="23"/>
    <n v="0.99829999999999997"/>
    <n v="3.61"/>
    <n v="0.96"/>
    <n v="9.9"/>
    <n v="6"/>
    <x v="0"/>
    <s v="Normal"/>
    <n v="19.920000000000002"/>
    <n v="871"/>
    <n v="17"/>
    <x v="0"/>
  </r>
  <r>
    <x v="250"/>
    <n v="10.8"/>
    <n v="0.32"/>
    <n v="0.44"/>
    <n v="1.6"/>
    <n v="6.3E-2"/>
    <n v="16"/>
    <n v="37"/>
    <n v="0.99850000000000005"/>
    <n v="3.22"/>
    <n v="0.78"/>
    <n v="10"/>
    <n v="6"/>
    <x v="0"/>
    <s v="High"/>
    <n v="20.53"/>
    <n v="751"/>
    <n v="21"/>
    <x v="1"/>
  </r>
  <r>
    <x v="251"/>
    <n v="7.1"/>
    <n v="0.6"/>
    <n v="0"/>
    <n v="1.8"/>
    <n v="7.3999999999999996E-2"/>
    <n v="16"/>
    <n v="34"/>
    <n v="0.99719999999999998"/>
    <n v="3.47"/>
    <n v="0.7"/>
    <n v="9.9"/>
    <n v="6"/>
    <x v="0"/>
    <s v="Normal"/>
    <n v="19.650000000000002"/>
    <n v="940"/>
    <n v="18"/>
    <x v="0"/>
  </r>
  <r>
    <x v="252"/>
    <n v="11.1"/>
    <n v="0.35"/>
    <n v="0.48"/>
    <n v="3.1"/>
    <n v="0.09"/>
    <n v="5"/>
    <n v="21"/>
    <n v="0.99860000000000004"/>
    <n v="3.17"/>
    <n v="0.53"/>
    <n v="10.5"/>
    <n v="5"/>
    <x v="0"/>
    <s v="High"/>
    <n v="21.095000000000002"/>
    <n v="631"/>
    <n v="16"/>
    <x v="0"/>
  </r>
  <r>
    <x v="253"/>
    <n v="7.7"/>
    <n v="0.77500000000000002"/>
    <n v="0.42"/>
    <n v="1.9"/>
    <n v="9.1999999999999998E-2"/>
    <n v="8"/>
    <n v="86"/>
    <n v="0.99590000000000001"/>
    <n v="3.23"/>
    <n v="0.59"/>
    <n v="9.5"/>
    <n v="5"/>
    <x v="0"/>
    <s v="Normal"/>
    <n v="18.335000000000001"/>
    <n v="1444"/>
    <n v="78"/>
    <x v="0"/>
  </r>
  <r>
    <x v="254"/>
    <n v="7.1"/>
    <n v="0.6"/>
    <n v="0"/>
    <n v="1.8"/>
    <n v="7.3999999999999996E-2"/>
    <n v="16"/>
    <n v="34"/>
    <n v="0.99719999999999998"/>
    <n v="3.47"/>
    <n v="0.7"/>
    <n v="9.9"/>
    <n v="6"/>
    <x v="0"/>
    <s v="Normal"/>
    <n v="19.650000000000002"/>
    <n v="940"/>
    <n v="18"/>
    <x v="0"/>
  </r>
  <r>
    <x v="255"/>
    <n v="8"/>
    <n v="0.56999999999999995"/>
    <n v="0.23"/>
    <n v="3.2"/>
    <n v="7.2999999999999995E-2"/>
    <n v="17"/>
    <n v="119"/>
    <n v="0.99675000000000002"/>
    <n v="3.26"/>
    <n v="0.56999999999999995"/>
    <n v="9.3000000000000007"/>
    <n v="5"/>
    <x v="0"/>
    <s v="Normal"/>
    <n v="18.315000000000001"/>
    <n v="1452"/>
    <n v="102"/>
    <x v="0"/>
  </r>
  <r>
    <x v="256"/>
    <n v="9.4"/>
    <n v="0.34"/>
    <n v="0.37"/>
    <n v="2.2000000000000002"/>
    <n v="7.4999999999999997E-2"/>
    <n v="5"/>
    <n v="13"/>
    <n v="0.998"/>
    <n v="3.22"/>
    <n v="0.62"/>
    <n v="9.1999999999999993"/>
    <n v="5"/>
    <x v="0"/>
    <s v="High"/>
    <n v="18.649999999999999"/>
    <n v="1321"/>
    <n v="8"/>
    <x v="0"/>
  </r>
  <r>
    <x v="257"/>
    <n v="6.6"/>
    <n v="0.69499999999999995"/>
    <n v="0"/>
    <n v="2.1"/>
    <n v="7.4999999999999997E-2"/>
    <n v="12"/>
    <n v="56"/>
    <n v="0.99680000000000002"/>
    <n v="3.49"/>
    <n v="0.67"/>
    <n v="9.1999999999999993"/>
    <n v="5"/>
    <x v="0"/>
    <s v="Normal"/>
    <n v="18.014999999999997"/>
    <n v="1521"/>
    <n v="44"/>
    <x v="0"/>
  </r>
  <r>
    <x v="258"/>
    <n v="7.7"/>
    <n v="0.41"/>
    <n v="0.76"/>
    <n v="1.8"/>
    <n v="0.61099999999999999"/>
    <n v="8"/>
    <n v="45"/>
    <n v="0.99680000000000002"/>
    <n v="3.06"/>
    <n v="1.26"/>
    <n v="9.4"/>
    <n v="5"/>
    <x v="0"/>
    <s v="Normal"/>
    <n v="19.87"/>
    <n v="887"/>
    <n v="37"/>
    <x v="0"/>
  </r>
  <r>
    <x v="259"/>
    <n v="10"/>
    <n v="0.31"/>
    <n v="0.47"/>
    <n v="2.6"/>
    <n v="8.5000000000000006E-2"/>
    <n v="14"/>
    <n v="33"/>
    <n v="0.99965000000000004"/>
    <n v="3.36"/>
    <n v="0.8"/>
    <n v="10.5"/>
    <n v="7"/>
    <x v="1"/>
    <s v="Normal"/>
    <n v="21.58"/>
    <n v="531"/>
    <n v="19"/>
    <x v="1"/>
  </r>
  <r>
    <x v="260"/>
    <n v="7.9"/>
    <n v="0.33"/>
    <n v="0.23"/>
    <n v="1.7"/>
    <n v="7.6999999999999999E-2"/>
    <n v="18"/>
    <n v="45"/>
    <n v="0.99624999999999997"/>
    <n v="3.29"/>
    <n v="0.65"/>
    <n v="9.3000000000000007"/>
    <n v="5"/>
    <x v="0"/>
    <s v="Normal"/>
    <n v="18.915000000000003"/>
    <n v="1200"/>
    <n v="27"/>
    <x v="0"/>
  </r>
  <r>
    <x v="261"/>
    <n v="7"/>
    <n v="0.97499999999999998"/>
    <n v="0.04"/>
    <n v="2"/>
    <n v="8.6999999999999994E-2"/>
    <n v="12"/>
    <n v="67"/>
    <n v="0.99565000000000003"/>
    <n v="3.35"/>
    <n v="0.6"/>
    <n v="9.4"/>
    <n v="4"/>
    <x v="2"/>
    <s v="Normal"/>
    <n v="17.75"/>
    <n v="1563"/>
    <n v="55"/>
    <x v="0"/>
  </r>
  <r>
    <x v="262"/>
    <n v="8"/>
    <n v="0.52"/>
    <n v="0.03"/>
    <n v="1.7"/>
    <n v="7.0000000000000007E-2"/>
    <n v="10"/>
    <n v="35"/>
    <n v="0.99575000000000002"/>
    <n v="3.34"/>
    <n v="0.56999999999999995"/>
    <n v="10"/>
    <n v="5"/>
    <x v="0"/>
    <s v="Normal"/>
    <n v="19.815000000000001"/>
    <n v="901"/>
    <n v="25"/>
    <x v="1"/>
  </r>
  <r>
    <x v="263"/>
    <n v="7.9"/>
    <n v="0.37"/>
    <n v="0.23"/>
    <n v="1.8"/>
    <n v="7.6999999999999999E-2"/>
    <n v="23"/>
    <n v="49"/>
    <n v="0.99629999999999996"/>
    <n v="3.28"/>
    <n v="0.67"/>
    <n v="9.3000000000000007"/>
    <n v="5"/>
    <x v="0"/>
    <s v="Normal"/>
    <n v="18.865000000000002"/>
    <n v="1221"/>
    <n v="26"/>
    <x v="0"/>
  </r>
  <r>
    <x v="264"/>
    <n v="12.5"/>
    <n v="0.56000000000000005"/>
    <n v="0.49"/>
    <n v="2.4"/>
    <n v="6.4000000000000001E-2"/>
    <n v="5"/>
    <n v="27"/>
    <n v="0.99990000000000001"/>
    <n v="3.08"/>
    <n v="0.87"/>
    <n v="10.9"/>
    <n v="5"/>
    <x v="0"/>
    <s v="High"/>
    <n v="21.984999999999999"/>
    <n v="458"/>
    <n v="22"/>
    <x v="0"/>
  </r>
  <r>
    <x v="265"/>
    <n v="11.8"/>
    <n v="0.26"/>
    <n v="0.52"/>
    <n v="1.8"/>
    <n v="7.0999999999999994E-2"/>
    <n v="6"/>
    <n v="10"/>
    <n v="0.99680000000000002"/>
    <n v="3.2"/>
    <n v="0.72"/>
    <n v="10.199999999999999"/>
    <n v="7"/>
    <x v="1"/>
    <s v="High"/>
    <n v="20.959999999999997"/>
    <n v="658"/>
    <n v="4"/>
    <x v="1"/>
  </r>
  <r>
    <x v="266"/>
    <n v="8.1"/>
    <n v="0.87"/>
    <n v="0"/>
    <n v="3.3"/>
    <n v="9.6000000000000002E-2"/>
    <n v="26"/>
    <n v="61"/>
    <n v="1.0002500000000001"/>
    <n v="3.6"/>
    <n v="0.72"/>
    <n v="9.8000000000000007"/>
    <n v="4"/>
    <x v="2"/>
    <s v="Normal"/>
    <n v="18.940000000000001"/>
    <n v="1184"/>
    <n v="35"/>
    <x v="0"/>
  </r>
  <r>
    <x v="267"/>
    <n v="7.9"/>
    <n v="0.35"/>
    <n v="0.46"/>
    <n v="3.6"/>
    <n v="7.8E-2"/>
    <n v="15"/>
    <n v="37"/>
    <n v="0.99729999999999996"/>
    <n v="3.35"/>
    <n v="0.86"/>
    <n v="12.8"/>
    <n v="8"/>
    <x v="1"/>
    <s v="Normal"/>
    <n v="26.19"/>
    <n v="23"/>
    <n v="22"/>
    <x v="1"/>
  </r>
  <r>
    <x v="268"/>
    <n v="6.9"/>
    <n v="0.54"/>
    <n v="0.04"/>
    <n v="3"/>
    <n v="7.6999999999999999E-2"/>
    <n v="7"/>
    <n v="27"/>
    <n v="0.99870000000000003"/>
    <n v="3.69"/>
    <n v="0.91"/>
    <n v="9.4"/>
    <n v="6"/>
    <x v="0"/>
    <s v="Normal"/>
    <n v="19.085000000000001"/>
    <n v="1127"/>
    <n v="20"/>
    <x v="0"/>
  </r>
  <r>
    <x v="269"/>
    <n v="11.5"/>
    <n v="0.18"/>
    <n v="0.51"/>
    <n v="4"/>
    <n v="0.104"/>
    <n v="4"/>
    <n v="23"/>
    <n v="0.99960000000000004"/>
    <n v="3.28"/>
    <n v="0.97"/>
    <n v="10.1"/>
    <n v="6"/>
    <x v="0"/>
    <s v="High"/>
    <n v="21.295000000000002"/>
    <n v="580"/>
    <n v="19"/>
    <x v="1"/>
  </r>
  <r>
    <x v="270"/>
    <n v="7.9"/>
    <n v="0.54500000000000004"/>
    <n v="0.06"/>
    <n v="4"/>
    <n v="8.6999999999999994E-2"/>
    <n v="27"/>
    <n v="61"/>
    <n v="0.99650000000000005"/>
    <n v="3.36"/>
    <n v="0.67"/>
    <n v="10.7"/>
    <n v="6"/>
    <x v="0"/>
    <s v="Normal"/>
    <n v="21.314999999999998"/>
    <n v="575"/>
    <n v="34"/>
    <x v="1"/>
  </r>
  <r>
    <x v="271"/>
    <n v="11.5"/>
    <n v="0.18"/>
    <n v="0.51"/>
    <n v="4"/>
    <n v="0.104"/>
    <n v="4"/>
    <n v="23"/>
    <n v="0.99960000000000004"/>
    <n v="3.28"/>
    <n v="0.97"/>
    <n v="10.1"/>
    <n v="6"/>
    <x v="0"/>
    <s v="High"/>
    <n v="21.295000000000002"/>
    <n v="580"/>
    <n v="19"/>
    <x v="1"/>
  </r>
  <r>
    <x v="272"/>
    <n v="10.9"/>
    <n v="0.37"/>
    <n v="0.57999999999999996"/>
    <n v="4"/>
    <n v="7.0999999999999994E-2"/>
    <n v="17"/>
    <n v="65"/>
    <n v="0.99934999999999996"/>
    <n v="3.22"/>
    <n v="0.78"/>
    <n v="10.1"/>
    <n v="5"/>
    <x v="0"/>
    <s v="High"/>
    <n v="20.63"/>
    <n v="734"/>
    <n v="48"/>
    <x v="1"/>
  </r>
  <r>
    <x v="273"/>
    <n v="8.4"/>
    <n v="0.71499999999999997"/>
    <n v="0.2"/>
    <n v="2.4"/>
    <n v="7.5999999999999998E-2"/>
    <n v="10"/>
    <n v="38"/>
    <n v="0.99734999999999996"/>
    <n v="3.31"/>
    <n v="0.64"/>
    <n v="9.4"/>
    <n v="5"/>
    <x v="0"/>
    <s v="High"/>
    <n v="18.330000000000002"/>
    <n v="1446"/>
    <n v="28"/>
    <x v="0"/>
  </r>
  <r>
    <x v="274"/>
    <n v="7.5"/>
    <n v="0.65"/>
    <n v="0.18"/>
    <n v="7"/>
    <n v="8.7999999999999995E-2"/>
    <n v="27"/>
    <n v="94"/>
    <n v="0.99914999999999998"/>
    <n v="3.38"/>
    <n v="0.77"/>
    <n v="9.4"/>
    <n v="5"/>
    <x v="0"/>
    <s v="Normal"/>
    <n v="18.655000000000001"/>
    <n v="1316"/>
    <n v="67"/>
    <x v="0"/>
  </r>
  <r>
    <x v="275"/>
    <n v="7.9"/>
    <n v="0.54500000000000004"/>
    <n v="0.06"/>
    <n v="4"/>
    <n v="8.6999999999999994E-2"/>
    <n v="27"/>
    <n v="61"/>
    <n v="0.99650000000000005"/>
    <n v="3.36"/>
    <n v="0.67"/>
    <n v="10.7"/>
    <n v="6"/>
    <x v="0"/>
    <s v="Normal"/>
    <n v="21.314999999999998"/>
    <n v="575"/>
    <n v="34"/>
    <x v="1"/>
  </r>
  <r>
    <x v="276"/>
    <n v="6.9"/>
    <n v="0.54"/>
    <n v="0.04"/>
    <n v="3"/>
    <n v="7.6999999999999999E-2"/>
    <n v="7"/>
    <n v="27"/>
    <n v="0.99870000000000003"/>
    <n v="3.69"/>
    <n v="0.91"/>
    <n v="9.4"/>
    <n v="6"/>
    <x v="0"/>
    <s v="Normal"/>
    <n v="19.085000000000001"/>
    <n v="1127"/>
    <n v="20"/>
    <x v="0"/>
  </r>
  <r>
    <x v="277"/>
    <n v="11.5"/>
    <n v="0.18"/>
    <n v="0.51"/>
    <n v="4"/>
    <n v="0.104"/>
    <n v="4"/>
    <n v="23"/>
    <n v="0.99960000000000004"/>
    <n v="3.28"/>
    <n v="0.97"/>
    <n v="10.1"/>
    <n v="6"/>
    <x v="0"/>
    <s v="High"/>
    <n v="21.295000000000002"/>
    <n v="580"/>
    <n v="19"/>
    <x v="1"/>
  </r>
  <r>
    <x v="278"/>
    <n v="10.3"/>
    <n v="0.32"/>
    <n v="0.45"/>
    <n v="6.4"/>
    <n v="7.2999999999999995E-2"/>
    <n v="5"/>
    <n v="13"/>
    <n v="0.99760000000000004"/>
    <n v="3.23"/>
    <n v="0.82"/>
    <n v="12.6"/>
    <n v="8"/>
    <x v="1"/>
    <s v="High"/>
    <n v="25.79"/>
    <n v="39"/>
    <n v="8"/>
    <x v="1"/>
  </r>
  <r>
    <x v="279"/>
    <n v="8.9"/>
    <n v="0.4"/>
    <n v="0.32"/>
    <n v="5.6"/>
    <n v="8.6999999999999994E-2"/>
    <n v="10"/>
    <n v="47"/>
    <n v="0.99909999999999999"/>
    <n v="3.38"/>
    <n v="0.77"/>
    <n v="10.5"/>
    <n v="7"/>
    <x v="1"/>
    <s v="Normal"/>
    <n v="21.355"/>
    <n v="567"/>
    <n v="37"/>
    <x v="1"/>
  </r>
  <r>
    <x v="280"/>
    <n v="11.4"/>
    <n v="0.26"/>
    <n v="0.44"/>
    <n v="3.6"/>
    <n v="7.0999999999999994E-2"/>
    <n v="6"/>
    <n v="19"/>
    <n v="0.99860000000000004"/>
    <n v="3.12"/>
    <n v="0.82"/>
    <n v="9.3000000000000007"/>
    <n v="6"/>
    <x v="0"/>
    <s v="High"/>
    <n v="19.310000000000002"/>
    <n v="1036"/>
    <n v="13"/>
    <x v="0"/>
  </r>
  <r>
    <x v="281"/>
    <n v="7.7"/>
    <n v="0.27"/>
    <n v="0.68"/>
    <n v="3.5"/>
    <n v="0.35799999999999998"/>
    <n v="5"/>
    <n v="10"/>
    <n v="0.99719999999999998"/>
    <n v="3.25"/>
    <n v="1.08"/>
    <n v="9.9"/>
    <n v="7"/>
    <x v="1"/>
    <s v="Normal"/>
    <n v="20.880000000000003"/>
    <n v="678"/>
    <n v="5"/>
    <x v="0"/>
  </r>
  <r>
    <x v="282"/>
    <n v="7.6"/>
    <n v="0.52"/>
    <n v="0.12"/>
    <n v="3"/>
    <n v="6.7000000000000004E-2"/>
    <n v="12"/>
    <n v="53"/>
    <n v="0.99709999999999999"/>
    <n v="3.36"/>
    <n v="0.56999999999999995"/>
    <n v="9.1"/>
    <n v="5"/>
    <x v="0"/>
    <s v="Normal"/>
    <n v="18.015000000000001"/>
    <n v="1518"/>
    <n v="41"/>
    <x v="0"/>
  </r>
  <r>
    <x v="283"/>
    <n v="8.9"/>
    <n v="0.4"/>
    <n v="0.32"/>
    <n v="5.6"/>
    <n v="8.6999999999999994E-2"/>
    <n v="10"/>
    <n v="47"/>
    <n v="0.99909999999999999"/>
    <n v="3.38"/>
    <n v="0.77"/>
    <n v="10.5"/>
    <n v="7"/>
    <x v="1"/>
    <s v="Normal"/>
    <n v="21.355"/>
    <n v="567"/>
    <n v="37"/>
    <x v="1"/>
  </r>
  <r>
    <x v="284"/>
    <n v="9.9"/>
    <n v="0.59"/>
    <n v="7.0000000000000007E-2"/>
    <n v="3.4"/>
    <n v="0.10199999999999999"/>
    <n v="32"/>
    <n v="71"/>
    <n v="1.0001500000000001"/>
    <n v="3.31"/>
    <n v="0.71"/>
    <n v="9.8000000000000007"/>
    <n v="5"/>
    <x v="0"/>
    <s v="High"/>
    <n v="19.485000000000003"/>
    <n v="979"/>
    <n v="39"/>
    <x v="0"/>
  </r>
  <r>
    <x v="285"/>
    <n v="9.9"/>
    <n v="0.59"/>
    <n v="7.0000000000000007E-2"/>
    <n v="3.4"/>
    <n v="0.10199999999999999"/>
    <n v="32"/>
    <n v="71"/>
    <n v="1.0001500000000001"/>
    <n v="3.31"/>
    <n v="0.71"/>
    <n v="9.8000000000000007"/>
    <n v="5"/>
    <x v="0"/>
    <s v="High"/>
    <n v="19.485000000000003"/>
    <n v="979"/>
    <n v="39"/>
    <x v="0"/>
  </r>
  <r>
    <x v="286"/>
    <n v="12"/>
    <n v="0.45"/>
    <n v="0.55000000000000004"/>
    <n v="2"/>
    <n v="7.2999999999999995E-2"/>
    <n v="25"/>
    <n v="49"/>
    <n v="0.99970000000000003"/>
    <n v="3.1"/>
    <n v="0.76"/>
    <n v="10.3"/>
    <n v="6"/>
    <x v="0"/>
    <s v="High"/>
    <n v="20.840000000000003"/>
    <n v="690"/>
    <n v="24"/>
    <x v="0"/>
  </r>
  <r>
    <x v="287"/>
    <n v="7.5"/>
    <n v="0.4"/>
    <n v="0.12"/>
    <n v="3"/>
    <n v="9.1999999999999998E-2"/>
    <n v="29"/>
    <n v="53"/>
    <n v="0.99670000000000003"/>
    <n v="3.37"/>
    <n v="0.7"/>
    <n v="10.3"/>
    <n v="6"/>
    <x v="0"/>
    <s v="Normal"/>
    <n v="20.85"/>
    <n v="685"/>
    <n v="24"/>
    <x v="1"/>
  </r>
  <r>
    <x v="288"/>
    <n v="8.6999999999999993"/>
    <n v="0.52"/>
    <n v="0.09"/>
    <n v="2.5"/>
    <n v="9.0999999999999998E-2"/>
    <n v="20"/>
    <n v="49"/>
    <n v="0.99760000000000004"/>
    <n v="3.34"/>
    <n v="0.86"/>
    <n v="10.6"/>
    <n v="7"/>
    <x v="1"/>
    <s v="Normal"/>
    <n v="21.45"/>
    <n v="548"/>
    <n v="29"/>
    <x v="1"/>
  </r>
  <r>
    <x v="289"/>
    <n v="11.6"/>
    <n v="0.42"/>
    <n v="0.53"/>
    <n v="3.3"/>
    <n v="0.105"/>
    <n v="33"/>
    <n v="98"/>
    <n v="1.0009999999999999"/>
    <n v="3.2"/>
    <n v="0.95"/>
    <n v="9.1999999999999993"/>
    <n v="5"/>
    <x v="0"/>
    <s v="High"/>
    <n v="18.984999999999999"/>
    <n v="1171"/>
    <n v="65"/>
    <x v="0"/>
  </r>
  <r>
    <x v="290"/>
    <n v="8.6999999999999993"/>
    <n v="0.52"/>
    <n v="0.09"/>
    <n v="2.5"/>
    <n v="9.0999999999999998E-2"/>
    <n v="20"/>
    <n v="49"/>
    <n v="0.99760000000000004"/>
    <n v="3.34"/>
    <n v="0.86"/>
    <n v="10.6"/>
    <n v="7"/>
    <x v="1"/>
    <s v="Normal"/>
    <n v="21.45"/>
    <n v="548"/>
    <n v="29"/>
    <x v="1"/>
  </r>
  <r>
    <x v="291"/>
    <n v="11"/>
    <n v="0.2"/>
    <n v="0.48"/>
    <n v="2"/>
    <n v="0.34300000000000003"/>
    <n v="6"/>
    <n v="18"/>
    <n v="0.99790000000000001"/>
    <n v="3.3"/>
    <n v="0.71"/>
    <n v="10.5"/>
    <n v="5"/>
    <x v="0"/>
    <s v="High"/>
    <n v="21.665000000000003"/>
    <n v="510"/>
    <n v="12"/>
    <x v="1"/>
  </r>
  <r>
    <x v="292"/>
    <n v="10.4"/>
    <n v="0.55000000000000004"/>
    <n v="0.23"/>
    <n v="2.7"/>
    <n v="9.0999999999999998E-2"/>
    <n v="18"/>
    <n v="48"/>
    <n v="0.99939999999999996"/>
    <n v="3.22"/>
    <n v="0.64"/>
    <n v="10.3"/>
    <n v="6"/>
    <x v="0"/>
    <s v="High"/>
    <n v="20.46"/>
    <n v="759"/>
    <n v="30"/>
    <x v="1"/>
  </r>
  <r>
    <x v="293"/>
    <n v="6.9"/>
    <n v="0.36"/>
    <n v="0.25"/>
    <n v="2.4"/>
    <n v="9.8000000000000004E-2"/>
    <n v="5"/>
    <n v="16"/>
    <n v="0.99639999999999995"/>
    <n v="3.41"/>
    <n v="0.6"/>
    <n v="10.1"/>
    <n v="6"/>
    <x v="0"/>
    <s v="Normal"/>
    <n v="20.38"/>
    <n v="773"/>
    <n v="11"/>
    <x v="1"/>
  </r>
  <r>
    <x v="294"/>
    <n v="13.3"/>
    <n v="0.34"/>
    <n v="0.52"/>
    <n v="3.2"/>
    <n v="9.4E-2"/>
    <n v="17"/>
    <n v="53"/>
    <n v="1.0014000000000001"/>
    <n v="3.05"/>
    <n v="0.81"/>
    <n v="9.5"/>
    <n v="6"/>
    <x v="0"/>
    <s v="High"/>
    <n v="19.535"/>
    <n v="966"/>
    <n v="36"/>
    <x v="0"/>
  </r>
  <r>
    <x v="295"/>
    <n v="10.8"/>
    <n v="0.5"/>
    <n v="0.46"/>
    <n v="2.5"/>
    <n v="7.2999999999999995E-2"/>
    <n v="5"/>
    <n v="27"/>
    <n v="1.0001"/>
    <n v="3.05"/>
    <n v="0.64"/>
    <n v="9.5"/>
    <n v="5"/>
    <x v="0"/>
    <s v="High"/>
    <n v="18.96"/>
    <n v="1178"/>
    <n v="22"/>
    <x v="0"/>
  </r>
  <r>
    <x v="296"/>
    <n v="10.6"/>
    <n v="0.83"/>
    <n v="0.37"/>
    <n v="2.6"/>
    <n v="8.5999999999999993E-2"/>
    <n v="26"/>
    <n v="70"/>
    <n v="0.99809999999999999"/>
    <n v="3.16"/>
    <n v="0.52"/>
    <n v="9.9"/>
    <n v="5"/>
    <x v="0"/>
    <s v="High"/>
    <n v="18.920000000000002"/>
    <n v="1195"/>
    <n v="44"/>
    <x v="0"/>
  </r>
  <r>
    <x v="297"/>
    <n v="7.1"/>
    <n v="0.63"/>
    <n v="0.06"/>
    <n v="2"/>
    <n v="8.3000000000000004E-2"/>
    <n v="8"/>
    <n v="29"/>
    <n v="0.99855000000000005"/>
    <n v="3.67"/>
    <n v="0.73"/>
    <n v="9.6"/>
    <n v="5"/>
    <x v="0"/>
    <s v="Normal"/>
    <n v="19.034999999999997"/>
    <n v="1151"/>
    <n v="21"/>
    <x v="0"/>
  </r>
  <r>
    <x v="298"/>
    <n v="7.2"/>
    <n v="0.65"/>
    <n v="0.02"/>
    <n v="2.2999999999999998"/>
    <n v="9.4E-2"/>
    <n v="5"/>
    <n v="31"/>
    <n v="0.99929999999999997"/>
    <n v="3.67"/>
    <n v="0.8"/>
    <n v="9.6999999999999993"/>
    <n v="5"/>
    <x v="0"/>
    <s v="Normal"/>
    <n v="19.299999999999997"/>
    <n v="1043"/>
    <n v="26"/>
    <x v="0"/>
  </r>
  <r>
    <x v="299"/>
    <n v="6.9"/>
    <n v="0.67"/>
    <n v="0.06"/>
    <n v="2.1"/>
    <n v="0.08"/>
    <n v="8"/>
    <n v="33"/>
    <n v="0.99844999999999995"/>
    <n v="3.68"/>
    <n v="0.71"/>
    <n v="9.6"/>
    <n v="5"/>
    <x v="0"/>
    <s v="Normal"/>
    <n v="18.925000000000001"/>
    <n v="1193"/>
    <n v="25"/>
    <x v="0"/>
  </r>
  <r>
    <x v="300"/>
    <n v="7.5"/>
    <n v="0.53"/>
    <n v="0.06"/>
    <n v="2.6"/>
    <n v="8.5999999999999993E-2"/>
    <n v="20"/>
    <n v="44"/>
    <n v="0.99650000000000005"/>
    <n v="3.38"/>
    <n v="0.59"/>
    <n v="10.7"/>
    <n v="6"/>
    <x v="0"/>
    <s v="Normal"/>
    <n v="21.225000000000001"/>
    <n v="593"/>
    <n v="24"/>
    <x v="1"/>
  </r>
  <r>
    <x v="301"/>
    <n v="11.1"/>
    <n v="0.18"/>
    <n v="0.48"/>
    <n v="1.5"/>
    <n v="6.8000000000000005E-2"/>
    <n v="7"/>
    <n v="15"/>
    <n v="0.99729999999999996"/>
    <n v="3.22"/>
    <n v="0.64"/>
    <n v="10.1"/>
    <n v="6"/>
    <x v="0"/>
    <s v="High"/>
    <n v="20.8"/>
    <n v="696"/>
    <n v="8"/>
    <x v="1"/>
  </r>
  <r>
    <x v="302"/>
    <n v="8.3000000000000007"/>
    <n v="0.70499999999999996"/>
    <n v="0.12"/>
    <n v="2.6"/>
    <n v="9.1999999999999998E-2"/>
    <n v="12"/>
    <n v="28"/>
    <n v="0.99939999999999996"/>
    <n v="3.51"/>
    <n v="0.72"/>
    <n v="10"/>
    <n v="5"/>
    <x v="0"/>
    <s v="Normal"/>
    <n v="19.669999999999998"/>
    <n v="933"/>
    <n v="16"/>
    <x v="1"/>
  </r>
  <r>
    <x v="303"/>
    <n v="7.4"/>
    <n v="0.67"/>
    <n v="0.12"/>
    <n v="1.6"/>
    <n v="0.186"/>
    <n v="5"/>
    <n v="21"/>
    <n v="0.996"/>
    <n v="3.39"/>
    <n v="0.54"/>
    <n v="9.5"/>
    <n v="5"/>
    <x v="0"/>
    <s v="Normal"/>
    <n v="18.47"/>
    <n v="1384"/>
    <n v="16"/>
    <x v="0"/>
  </r>
  <r>
    <x v="304"/>
    <n v="8.4"/>
    <n v="0.65"/>
    <n v="0.6"/>
    <n v="2.1"/>
    <n v="0.112"/>
    <n v="12"/>
    <n v="90"/>
    <n v="0.99729999999999996"/>
    <n v="3.2"/>
    <n v="0.52"/>
    <n v="9.1999999999999993"/>
    <n v="5"/>
    <x v="0"/>
    <s v="High"/>
    <n v="17.88"/>
    <n v="1541"/>
    <n v="78"/>
    <x v="0"/>
  </r>
  <r>
    <x v="305"/>
    <n v="10.3"/>
    <n v="0.53"/>
    <n v="0.48"/>
    <n v="2.5"/>
    <n v="6.3E-2"/>
    <n v="6"/>
    <n v="25"/>
    <n v="0.99980000000000002"/>
    <n v="3.12"/>
    <n v="0.59"/>
    <n v="9.3000000000000007"/>
    <n v="6"/>
    <x v="0"/>
    <s v="High"/>
    <n v="18.425000000000004"/>
    <n v="1405"/>
    <n v="19"/>
    <x v="0"/>
  </r>
  <r>
    <x v="306"/>
    <n v="7.6"/>
    <n v="0.62"/>
    <n v="0.32"/>
    <n v="2.2000000000000002"/>
    <n v="8.2000000000000003E-2"/>
    <n v="7"/>
    <n v="54"/>
    <n v="0.99660000000000004"/>
    <n v="3.36"/>
    <n v="0.52"/>
    <n v="9.4"/>
    <n v="5"/>
    <x v="0"/>
    <s v="Normal"/>
    <n v="18.340000000000003"/>
    <n v="1438"/>
    <n v="47"/>
    <x v="0"/>
  </r>
  <r>
    <x v="307"/>
    <n v="10.3"/>
    <n v="0.41"/>
    <n v="0.42"/>
    <n v="2.4"/>
    <n v="0.21299999999999999"/>
    <n v="6"/>
    <n v="14"/>
    <n v="0.99939999999999996"/>
    <n v="3.19"/>
    <n v="0.62"/>
    <n v="9.5"/>
    <n v="6"/>
    <x v="0"/>
    <s v="High"/>
    <n v="19.11"/>
    <n v="1116"/>
    <n v="8"/>
    <x v="0"/>
  </r>
  <r>
    <x v="308"/>
    <n v="10.3"/>
    <n v="0.43"/>
    <n v="0.44"/>
    <n v="2.4"/>
    <n v="0.214"/>
    <n v="5"/>
    <n v="12"/>
    <n v="0.99939999999999996"/>
    <n v="3.19"/>
    <n v="0.63"/>
    <n v="9.5"/>
    <n v="6"/>
    <x v="0"/>
    <s v="High"/>
    <n v="19.085000000000001"/>
    <n v="1127"/>
    <n v="7"/>
    <x v="0"/>
  </r>
  <r>
    <x v="309"/>
    <n v="7.4"/>
    <n v="0.28999999999999998"/>
    <n v="0.38"/>
    <n v="1.7"/>
    <n v="6.2E-2"/>
    <n v="9"/>
    <n v="30"/>
    <n v="0.99680000000000002"/>
    <n v="3.41"/>
    <n v="0.53"/>
    <n v="9.5"/>
    <n v="6"/>
    <x v="0"/>
    <s v="Normal"/>
    <n v="19.215000000000003"/>
    <n v="1074"/>
    <n v="21"/>
    <x v="0"/>
  </r>
  <r>
    <x v="310"/>
    <n v="10.3"/>
    <n v="0.53"/>
    <n v="0.48"/>
    <n v="2.5"/>
    <n v="6.3E-2"/>
    <n v="6"/>
    <n v="25"/>
    <n v="0.99980000000000002"/>
    <n v="3.12"/>
    <n v="0.59"/>
    <n v="9.3000000000000007"/>
    <n v="6"/>
    <x v="0"/>
    <s v="High"/>
    <n v="18.425000000000004"/>
    <n v="1405"/>
    <n v="19"/>
    <x v="0"/>
  </r>
  <r>
    <x v="311"/>
    <n v="7.9"/>
    <n v="0.53"/>
    <n v="0.24"/>
    <n v="2"/>
    <n v="7.1999999999999995E-2"/>
    <n v="15"/>
    <n v="105"/>
    <n v="0.996"/>
    <n v="3.27"/>
    <n v="0.54"/>
    <n v="9.4"/>
    <n v="6"/>
    <x v="0"/>
    <s v="Normal"/>
    <n v="18.55"/>
    <n v="1359"/>
    <n v="90"/>
    <x v="0"/>
  </r>
  <r>
    <x v="312"/>
    <n v="9"/>
    <n v="0.46"/>
    <n v="0.31"/>
    <n v="2.8"/>
    <n v="9.2999999999999999E-2"/>
    <n v="19"/>
    <n v="98"/>
    <n v="0.99814999999999998"/>
    <n v="3.32"/>
    <n v="0.63"/>
    <n v="9.5"/>
    <n v="6"/>
    <x v="0"/>
    <s v="Normal"/>
    <n v="19.024999999999999"/>
    <n v="1156"/>
    <n v="79"/>
    <x v="0"/>
  </r>
  <r>
    <x v="313"/>
    <n v="8.6"/>
    <n v="0.47"/>
    <n v="0.3"/>
    <n v="3"/>
    <n v="7.5999999999999998E-2"/>
    <n v="30"/>
    <n v="135"/>
    <n v="0.99760000000000004"/>
    <n v="3.3"/>
    <n v="0.53"/>
    <n v="9.4"/>
    <n v="5"/>
    <x v="0"/>
    <s v="High"/>
    <n v="18.655000000000001"/>
    <n v="1316"/>
    <n v="105"/>
    <x v="0"/>
  </r>
  <r>
    <x v="314"/>
    <n v="7.4"/>
    <n v="0.36"/>
    <n v="0.28999999999999998"/>
    <n v="2.6"/>
    <n v="8.6999999999999994E-2"/>
    <n v="26"/>
    <n v="72"/>
    <n v="0.99644999999999995"/>
    <n v="3.39"/>
    <n v="0.68"/>
    <n v="11"/>
    <n v="5"/>
    <x v="0"/>
    <s v="Normal"/>
    <n v="22.3"/>
    <n v="406"/>
    <n v="46"/>
    <x v="1"/>
  </r>
  <r>
    <x v="315"/>
    <n v="7.1"/>
    <n v="0.35"/>
    <n v="0.28999999999999998"/>
    <n v="2.5"/>
    <n v="9.6000000000000002E-2"/>
    <n v="20"/>
    <n v="53"/>
    <n v="0.99619999999999997"/>
    <n v="3.42"/>
    <n v="0.65"/>
    <n v="11"/>
    <n v="6"/>
    <x v="0"/>
    <s v="Normal"/>
    <n v="22.275000000000002"/>
    <n v="407"/>
    <n v="33"/>
    <x v="1"/>
  </r>
  <r>
    <x v="316"/>
    <n v="9.6"/>
    <n v="0.56000000000000005"/>
    <n v="0.23"/>
    <n v="3.4"/>
    <n v="0.10199999999999999"/>
    <n v="37"/>
    <n v="92"/>
    <n v="0.99960000000000004"/>
    <n v="3.3"/>
    <n v="0.65"/>
    <n v="10.1"/>
    <n v="5"/>
    <x v="0"/>
    <s v="High"/>
    <n v="20.055"/>
    <n v="847"/>
    <n v="55"/>
    <x v="1"/>
  </r>
  <r>
    <x v="317"/>
    <n v="9.6"/>
    <n v="0.77"/>
    <n v="0.12"/>
    <n v="2.9"/>
    <n v="8.2000000000000003E-2"/>
    <n v="30"/>
    <n v="74"/>
    <n v="0.99865000000000004"/>
    <n v="3.3"/>
    <n v="0.64"/>
    <n v="10.4"/>
    <n v="6"/>
    <x v="0"/>
    <s v="High"/>
    <n v="20.220000000000002"/>
    <n v="807"/>
    <n v="44"/>
    <x v="1"/>
  </r>
  <r>
    <x v="318"/>
    <n v="9.8000000000000007"/>
    <n v="0.66"/>
    <n v="0.39"/>
    <n v="3.2"/>
    <n v="8.3000000000000004E-2"/>
    <n v="21"/>
    <n v="59"/>
    <n v="0.99890000000000001"/>
    <n v="3.37"/>
    <n v="0.71"/>
    <n v="11.5"/>
    <n v="7"/>
    <x v="1"/>
    <s v="Normal"/>
    <n v="22.745000000000001"/>
    <n v="320"/>
    <n v="38"/>
    <x v="1"/>
  </r>
  <r>
    <x v="319"/>
    <n v="9.6"/>
    <n v="0.77"/>
    <n v="0.12"/>
    <n v="2.9"/>
    <n v="8.2000000000000003E-2"/>
    <n v="30"/>
    <n v="74"/>
    <n v="0.99865000000000004"/>
    <n v="3.3"/>
    <n v="0.64"/>
    <n v="10.4"/>
    <n v="6"/>
    <x v="0"/>
    <s v="High"/>
    <n v="20.220000000000002"/>
    <n v="807"/>
    <n v="44"/>
    <x v="1"/>
  </r>
  <r>
    <x v="320"/>
    <n v="9.8000000000000007"/>
    <n v="0.66"/>
    <n v="0.39"/>
    <n v="3.2"/>
    <n v="8.3000000000000004E-2"/>
    <n v="21"/>
    <n v="59"/>
    <n v="0.99890000000000001"/>
    <n v="3.37"/>
    <n v="0.71"/>
    <n v="11.5"/>
    <n v="7"/>
    <x v="1"/>
    <s v="Normal"/>
    <n v="22.745000000000001"/>
    <n v="320"/>
    <n v="38"/>
    <x v="1"/>
  </r>
  <r>
    <x v="321"/>
    <n v="9.3000000000000007"/>
    <n v="0.61"/>
    <n v="0.26"/>
    <n v="3.4"/>
    <n v="0.09"/>
    <n v="25"/>
    <n v="87"/>
    <n v="0.99975000000000003"/>
    <n v="3.24"/>
    <n v="0.62"/>
    <n v="9.6999999999999993"/>
    <n v="5"/>
    <x v="0"/>
    <s v="High"/>
    <n v="19.11"/>
    <n v="1116"/>
    <n v="62"/>
    <x v="0"/>
  </r>
  <r>
    <x v="322"/>
    <n v="7.8"/>
    <n v="0.62"/>
    <n v="0.05"/>
    <n v="2.2999999999999998"/>
    <n v="7.9000000000000001E-2"/>
    <n v="6"/>
    <n v="18"/>
    <n v="0.99734999999999996"/>
    <n v="3.29"/>
    <n v="0.63"/>
    <n v="9.3000000000000007"/>
    <n v="5"/>
    <x v="0"/>
    <s v="Normal"/>
    <n v="18.305000000000003"/>
    <n v="1453"/>
    <n v="12"/>
    <x v="0"/>
  </r>
  <r>
    <x v="323"/>
    <n v="10.3"/>
    <n v="0.59"/>
    <n v="0.42"/>
    <n v="2.8"/>
    <n v="0.09"/>
    <n v="35"/>
    <n v="73"/>
    <n v="0.999"/>
    <n v="3.28"/>
    <n v="0.7"/>
    <n v="9.5"/>
    <n v="6"/>
    <x v="0"/>
    <s v="High"/>
    <n v="18.87"/>
    <n v="1218"/>
    <n v="38"/>
    <x v="0"/>
  </r>
  <r>
    <x v="324"/>
    <n v="10"/>
    <n v="0.49"/>
    <n v="0.2"/>
    <n v="11"/>
    <n v="7.0999999999999994E-2"/>
    <n v="13"/>
    <n v="50"/>
    <n v="1.0015000000000001"/>
    <n v="3.16"/>
    <n v="0.69"/>
    <n v="9.1999999999999993"/>
    <n v="6"/>
    <x v="0"/>
    <s v="High"/>
    <n v="18.454999999999998"/>
    <n v="1391"/>
    <n v="37"/>
    <x v="0"/>
  </r>
  <r>
    <x v="325"/>
    <n v="10"/>
    <n v="0.49"/>
    <n v="0.2"/>
    <n v="11"/>
    <n v="7.0999999999999994E-2"/>
    <n v="13"/>
    <n v="50"/>
    <n v="1.0015000000000001"/>
    <n v="3.16"/>
    <n v="0.69"/>
    <n v="9.1999999999999993"/>
    <n v="6"/>
    <x v="0"/>
    <s v="High"/>
    <n v="18.454999999999998"/>
    <n v="1391"/>
    <n v="37"/>
    <x v="0"/>
  </r>
  <r>
    <x v="326"/>
    <n v="11.6"/>
    <n v="0.53"/>
    <n v="0.66"/>
    <n v="3.65"/>
    <n v="0.121"/>
    <n v="6"/>
    <n v="14"/>
    <n v="0.99780000000000002"/>
    <n v="3.05"/>
    <n v="0.74"/>
    <n v="11.5"/>
    <n v="7"/>
    <x v="1"/>
    <s v="High"/>
    <n v="23.05"/>
    <n v="264"/>
    <n v="8"/>
    <x v="0"/>
  </r>
  <r>
    <x v="327"/>
    <n v="10.3"/>
    <n v="0.44"/>
    <n v="0.5"/>
    <n v="4.5"/>
    <n v="0.107"/>
    <n v="5"/>
    <n v="13"/>
    <n v="0.998"/>
    <n v="3.28"/>
    <n v="0.83"/>
    <n v="11.5"/>
    <n v="5"/>
    <x v="0"/>
    <s v="High"/>
    <n v="23.365000000000002"/>
    <n v="232"/>
    <n v="8"/>
    <x v="1"/>
  </r>
  <r>
    <x v="328"/>
    <n v="13.4"/>
    <n v="0.27"/>
    <n v="0.62"/>
    <n v="2.6"/>
    <n v="8.2000000000000003E-2"/>
    <n v="6"/>
    <n v="21"/>
    <n v="1.0002"/>
    <n v="3.16"/>
    <n v="0.67"/>
    <n v="9.6999999999999993"/>
    <n v="6"/>
    <x v="0"/>
    <s v="High"/>
    <n v="19.864999999999998"/>
    <n v="890"/>
    <n v="15"/>
    <x v="0"/>
  </r>
  <r>
    <x v="329"/>
    <n v="10.7"/>
    <n v="0.46"/>
    <n v="0.39"/>
    <n v="2"/>
    <n v="6.0999999999999999E-2"/>
    <n v="7"/>
    <n v="15"/>
    <n v="0.99809999999999999"/>
    <n v="3.18"/>
    <n v="0.62"/>
    <n v="9.5"/>
    <n v="5"/>
    <x v="0"/>
    <s v="High"/>
    <n v="19.009999999999998"/>
    <n v="1162"/>
    <n v="8"/>
    <x v="0"/>
  </r>
  <r>
    <x v="330"/>
    <n v="10.199999999999999"/>
    <n v="0.36"/>
    <n v="0.64"/>
    <n v="2.9"/>
    <n v="0.122"/>
    <n v="10"/>
    <n v="41"/>
    <n v="0.998"/>
    <n v="3.23"/>
    <n v="0.66"/>
    <n v="12.5"/>
    <n v="6"/>
    <x v="0"/>
    <s v="High"/>
    <n v="25.27"/>
    <n v="72"/>
    <n v="31"/>
    <x v="1"/>
  </r>
  <r>
    <x v="331"/>
    <n v="10.199999999999999"/>
    <n v="0.36"/>
    <n v="0.64"/>
    <n v="2.9"/>
    <n v="0.122"/>
    <n v="10"/>
    <n v="41"/>
    <n v="0.998"/>
    <n v="3.23"/>
    <n v="0.66"/>
    <n v="12.5"/>
    <n v="6"/>
    <x v="0"/>
    <s v="High"/>
    <n v="25.27"/>
    <n v="72"/>
    <n v="31"/>
    <x v="1"/>
  </r>
  <r>
    <x v="332"/>
    <n v="8"/>
    <n v="0.57999999999999996"/>
    <n v="0.28000000000000003"/>
    <n v="3.2"/>
    <n v="6.6000000000000003E-2"/>
    <n v="21"/>
    <n v="114"/>
    <n v="0.99729999999999996"/>
    <n v="3.22"/>
    <n v="0.54"/>
    <n v="9.4"/>
    <n v="6"/>
    <x v="0"/>
    <s v="Normal"/>
    <n v="18.45"/>
    <n v="1394"/>
    <n v="93"/>
    <x v="0"/>
  </r>
  <r>
    <x v="333"/>
    <n v="8.4"/>
    <n v="0.56000000000000005"/>
    <n v="0.08"/>
    <n v="2.1"/>
    <n v="0.105"/>
    <n v="16"/>
    <n v="44"/>
    <n v="0.99580000000000002"/>
    <n v="3.13"/>
    <n v="0.52"/>
    <n v="11"/>
    <n v="5"/>
    <x v="0"/>
    <s v="High"/>
    <n v="21.66"/>
    <n v="513"/>
    <n v="28"/>
    <x v="0"/>
  </r>
  <r>
    <x v="334"/>
    <n v="7.9"/>
    <n v="0.65"/>
    <n v="0.01"/>
    <n v="2.5"/>
    <n v="7.8E-2"/>
    <n v="17"/>
    <n v="38"/>
    <n v="0.99629999999999996"/>
    <n v="3.34"/>
    <n v="0.74"/>
    <n v="11.7"/>
    <n v="7"/>
    <x v="1"/>
    <s v="Normal"/>
    <n v="23.209999999999997"/>
    <n v="244"/>
    <n v="21"/>
    <x v="1"/>
  </r>
  <r>
    <x v="335"/>
    <n v="11.9"/>
    <n v="0.69499999999999995"/>
    <n v="0.53"/>
    <n v="3.4"/>
    <n v="0.128"/>
    <n v="7"/>
    <n v="21"/>
    <n v="0.99919999999999998"/>
    <n v="3.17"/>
    <n v="0.84"/>
    <n v="12.2"/>
    <n v="7"/>
    <x v="1"/>
    <s v="High"/>
    <n v="24.27"/>
    <n v="154"/>
    <n v="14"/>
    <x v="0"/>
  </r>
  <r>
    <x v="336"/>
    <n v="8.9"/>
    <n v="0.43"/>
    <n v="0.45"/>
    <n v="1.9"/>
    <n v="5.1999999999999998E-2"/>
    <n v="6"/>
    <n v="16"/>
    <n v="0.99480000000000002"/>
    <n v="3.35"/>
    <n v="0.7"/>
    <n v="12.5"/>
    <n v="6"/>
    <x v="0"/>
    <s v="Normal"/>
    <n v="25.19"/>
    <n v="82"/>
    <n v="10"/>
    <x v="1"/>
  </r>
  <r>
    <x v="337"/>
    <n v="7.8"/>
    <n v="0.43"/>
    <n v="0.32"/>
    <n v="2.8"/>
    <n v="0.08"/>
    <n v="29"/>
    <n v="58"/>
    <n v="0.99739999999999995"/>
    <n v="3.31"/>
    <n v="0.64"/>
    <n v="10.3"/>
    <n v="5"/>
    <x v="0"/>
    <s v="Normal"/>
    <n v="20.700000000000003"/>
    <n v="723"/>
    <n v="29"/>
    <x v="1"/>
  </r>
  <r>
    <x v="338"/>
    <n v="12.4"/>
    <n v="0.49"/>
    <n v="0.57999999999999996"/>
    <n v="3"/>
    <n v="0.10299999999999999"/>
    <n v="28"/>
    <n v="99"/>
    <n v="1.0007999999999999"/>
    <n v="3.16"/>
    <n v="1"/>
    <n v="11.5"/>
    <n v="6"/>
    <x v="0"/>
    <s v="High"/>
    <n v="23.52"/>
    <n v="217"/>
    <n v="71"/>
    <x v="0"/>
  </r>
  <r>
    <x v="339"/>
    <n v="12.5"/>
    <n v="0.28000000000000003"/>
    <n v="0.54"/>
    <n v="2.2999999999999998"/>
    <n v="8.2000000000000003E-2"/>
    <n v="12"/>
    <n v="29"/>
    <n v="0.99970000000000003"/>
    <n v="3.11"/>
    <n v="1.36"/>
    <n v="9.8000000000000007"/>
    <n v="7"/>
    <x v="1"/>
    <s v="High"/>
    <n v="21.080000000000002"/>
    <n v="635"/>
    <n v="17"/>
    <x v="0"/>
  </r>
  <r>
    <x v="340"/>
    <n v="12.2"/>
    <n v="0.34"/>
    <n v="0.5"/>
    <n v="2.4"/>
    <n v="6.6000000000000003E-2"/>
    <n v="10"/>
    <n v="21"/>
    <n v="1"/>
    <n v="3.12"/>
    <n v="1.18"/>
    <n v="9.1999999999999993"/>
    <n v="6"/>
    <x v="0"/>
    <s v="High"/>
    <n v="19.489999999999998"/>
    <n v="974"/>
    <n v="11"/>
    <x v="0"/>
  </r>
  <r>
    <x v="341"/>
    <n v="10.6"/>
    <n v="0.42"/>
    <n v="0.48"/>
    <n v="2.7"/>
    <n v="6.5000000000000002E-2"/>
    <n v="5"/>
    <n v="18"/>
    <n v="0.99719999999999998"/>
    <n v="3.21"/>
    <n v="0.87"/>
    <n v="11.3"/>
    <n v="6"/>
    <x v="0"/>
    <s v="High"/>
    <n v="23.065000000000001"/>
    <n v="262"/>
    <n v="13"/>
    <x v="1"/>
  </r>
  <r>
    <x v="342"/>
    <n v="10.9"/>
    <n v="0.39"/>
    <n v="0.47"/>
    <n v="1.8"/>
    <n v="0.11799999999999999"/>
    <n v="6"/>
    <n v="14"/>
    <n v="0.99819999999999998"/>
    <n v="3.3"/>
    <n v="0.75"/>
    <n v="9.8000000000000007"/>
    <n v="6"/>
    <x v="0"/>
    <s v="High"/>
    <n v="19.945"/>
    <n v="863"/>
    <n v="8"/>
    <x v="0"/>
  </r>
  <r>
    <x v="343"/>
    <n v="10.9"/>
    <n v="0.39"/>
    <n v="0.47"/>
    <n v="1.8"/>
    <n v="0.11799999999999999"/>
    <n v="6"/>
    <n v="14"/>
    <n v="0.99819999999999998"/>
    <n v="3.3"/>
    <n v="0.75"/>
    <n v="9.8000000000000007"/>
    <n v="6"/>
    <x v="0"/>
    <s v="High"/>
    <n v="19.945"/>
    <n v="863"/>
    <n v="8"/>
    <x v="0"/>
  </r>
  <r>
    <x v="344"/>
    <n v="11.9"/>
    <n v="0.56999999999999995"/>
    <n v="0.5"/>
    <n v="2.6"/>
    <n v="8.2000000000000003E-2"/>
    <n v="6"/>
    <n v="32"/>
    <n v="1.0005999999999999"/>
    <n v="3.12"/>
    <n v="0.78"/>
    <n v="10.7"/>
    <n v="6"/>
    <x v="0"/>
    <s v="High"/>
    <n v="21.43"/>
    <n v="555"/>
    <n v="26"/>
    <x v="0"/>
  </r>
  <r>
    <x v="345"/>
    <n v="7"/>
    <n v="0.68500000000000005"/>
    <n v="0"/>
    <n v="1.9"/>
    <n v="6.7000000000000004E-2"/>
    <n v="40"/>
    <n v="63"/>
    <n v="0.99790000000000001"/>
    <n v="3.6"/>
    <n v="0.81"/>
    <n v="9.9"/>
    <n v="5"/>
    <x v="0"/>
    <s v="Normal"/>
    <n v="19.645"/>
    <n v="942"/>
    <n v="23"/>
    <x v="0"/>
  </r>
  <r>
    <x v="346"/>
    <n v="6.6"/>
    <n v="0.81499999999999995"/>
    <n v="0.02"/>
    <n v="2.7"/>
    <n v="7.1999999999999995E-2"/>
    <n v="17"/>
    <n v="34"/>
    <n v="0.99550000000000005"/>
    <n v="3.58"/>
    <n v="0.89"/>
    <n v="12.3"/>
    <n v="7"/>
    <x v="1"/>
    <s v="Normal"/>
    <n v="24.305000000000003"/>
    <n v="152"/>
    <n v="17"/>
    <x v="1"/>
  </r>
  <r>
    <x v="347"/>
    <n v="13.8"/>
    <n v="0.49"/>
    <n v="0.67"/>
    <n v="3"/>
    <n v="9.2999999999999999E-2"/>
    <n v="6"/>
    <n v="15"/>
    <n v="0.99860000000000004"/>
    <n v="3.02"/>
    <n v="0.93"/>
    <n v="12"/>
    <n v="6"/>
    <x v="0"/>
    <s v="High"/>
    <n v="24.414999999999999"/>
    <n v="135"/>
    <n v="9"/>
    <x v="0"/>
  </r>
  <r>
    <x v="348"/>
    <n v="9.6"/>
    <n v="0.56000000000000005"/>
    <n v="0.31"/>
    <n v="2.8"/>
    <n v="8.8999999999999996E-2"/>
    <n v="15"/>
    <n v="46"/>
    <n v="0.99790000000000001"/>
    <n v="3.11"/>
    <n v="0.92"/>
    <n v="10"/>
    <n v="6"/>
    <x v="0"/>
    <s v="High"/>
    <n v="20.259999999999998"/>
    <n v="800"/>
    <n v="31"/>
    <x v="0"/>
  </r>
  <r>
    <x v="349"/>
    <n v="9.1"/>
    <n v="0.78500000000000003"/>
    <n v="0"/>
    <n v="2.6"/>
    <n v="9.2999999999999999E-2"/>
    <n v="11"/>
    <n v="28"/>
    <n v="0.99939999999999996"/>
    <n v="3.36"/>
    <n v="0.86"/>
    <n v="9.4"/>
    <n v="6"/>
    <x v="0"/>
    <s v="Normal"/>
    <n v="18.52"/>
    <n v="1374"/>
    <n v="17"/>
    <x v="0"/>
  </r>
  <r>
    <x v="350"/>
    <n v="10.7"/>
    <n v="0.67"/>
    <n v="0.22"/>
    <n v="2.7"/>
    <n v="0.107"/>
    <n v="17"/>
    <n v="34"/>
    <n v="1.0004"/>
    <n v="3.28"/>
    <n v="0.98"/>
    <n v="9.9"/>
    <n v="6"/>
    <x v="0"/>
    <s v="High"/>
    <n v="19.93"/>
    <n v="868"/>
    <n v="17"/>
    <x v="0"/>
  </r>
  <r>
    <x v="351"/>
    <n v="9.1"/>
    <n v="0.79500000000000004"/>
    <n v="0"/>
    <n v="2.6"/>
    <n v="9.6000000000000002E-2"/>
    <n v="11"/>
    <n v="26"/>
    <n v="0.99939999999999996"/>
    <n v="3.35"/>
    <n v="0.83"/>
    <n v="9.4"/>
    <n v="6"/>
    <x v="0"/>
    <s v="Normal"/>
    <n v="18.455000000000002"/>
    <n v="1390"/>
    <n v="15"/>
    <x v="0"/>
  </r>
  <r>
    <x v="352"/>
    <n v="7.7"/>
    <n v="0.66500000000000004"/>
    <n v="0"/>
    <n v="2.4"/>
    <n v="0.09"/>
    <n v="8"/>
    <n v="19"/>
    <n v="0.99739999999999995"/>
    <n v="3.27"/>
    <n v="0.73"/>
    <n v="9.3000000000000007"/>
    <n v="5"/>
    <x v="0"/>
    <s v="Normal"/>
    <n v="18.365000000000002"/>
    <n v="1430"/>
    <n v="11"/>
    <x v="0"/>
  </r>
  <r>
    <x v="353"/>
    <n v="13.5"/>
    <n v="0.53"/>
    <n v="0.79"/>
    <n v="4.8"/>
    <n v="0.12"/>
    <n v="23"/>
    <n v="77"/>
    <n v="1.0018"/>
    <n v="3.18"/>
    <n v="0.77"/>
    <n v="13"/>
    <n v="5"/>
    <x v="0"/>
    <s v="High"/>
    <n v="26.095000000000002"/>
    <n v="26"/>
    <n v="54"/>
    <x v="0"/>
  </r>
  <r>
    <x v="354"/>
    <n v="6.1"/>
    <n v="0.21"/>
    <n v="0.4"/>
    <n v="1.4"/>
    <n v="6.6000000000000003E-2"/>
    <n v="40.5"/>
    <n v="165"/>
    <n v="0.99119999999999997"/>
    <n v="3.25"/>
    <n v="0.59"/>
    <n v="11.9"/>
    <n v="6"/>
    <x v="0"/>
    <s v="Normal"/>
    <n v="24.265000000000001"/>
    <n v="155"/>
    <n v="124.5"/>
    <x v="1"/>
  </r>
  <r>
    <x v="355"/>
    <n v="6.7"/>
    <n v="0.75"/>
    <n v="0.01"/>
    <n v="2.4"/>
    <n v="7.8E-2"/>
    <n v="17"/>
    <n v="32"/>
    <n v="0.99550000000000005"/>
    <n v="3.55"/>
    <n v="0.61"/>
    <n v="12.8"/>
    <n v="6"/>
    <x v="0"/>
    <s v="Normal"/>
    <n v="25.015000000000001"/>
    <n v="94"/>
    <n v="15"/>
    <x v="1"/>
  </r>
  <r>
    <x v="356"/>
    <n v="11.5"/>
    <n v="0.41"/>
    <n v="0.52"/>
    <n v="3"/>
    <n v="0.08"/>
    <n v="29"/>
    <n v="55"/>
    <n v="1.0001"/>
    <n v="3.26"/>
    <n v="0.88"/>
    <n v="11"/>
    <n v="5"/>
    <x v="0"/>
    <s v="High"/>
    <n v="22.5"/>
    <n v="370"/>
    <n v="26"/>
    <x v="1"/>
  </r>
  <r>
    <x v="357"/>
    <n v="10.5"/>
    <n v="0.42"/>
    <n v="0.66"/>
    <n v="2.95"/>
    <n v="0.11600000000000001"/>
    <n v="12"/>
    <n v="29"/>
    <n v="0.997"/>
    <n v="3.24"/>
    <n v="0.75"/>
    <n v="11.7"/>
    <n v="7"/>
    <x v="1"/>
    <s v="High"/>
    <n v="23.684999999999999"/>
    <n v="203"/>
    <n v="17"/>
    <x v="1"/>
  </r>
  <r>
    <x v="358"/>
    <n v="11.9"/>
    <n v="0.43"/>
    <n v="0.66"/>
    <n v="3.1"/>
    <n v="0.109"/>
    <n v="10"/>
    <n v="23"/>
    <n v="1"/>
    <n v="3.15"/>
    <n v="0.85"/>
    <n v="10.4"/>
    <n v="7"/>
    <x v="1"/>
    <s v="High"/>
    <n v="21.215"/>
    <n v="597"/>
    <n v="13"/>
    <x v="0"/>
  </r>
  <r>
    <x v="359"/>
    <n v="12.6"/>
    <n v="0.38"/>
    <n v="0.66"/>
    <n v="2.6"/>
    <n v="8.7999999999999995E-2"/>
    <n v="10"/>
    <n v="41"/>
    <n v="1.0009999999999999"/>
    <n v="3.17"/>
    <n v="0.68"/>
    <n v="9.8000000000000007"/>
    <n v="6"/>
    <x v="0"/>
    <s v="High"/>
    <n v="19.86"/>
    <n v="893"/>
    <n v="31"/>
    <x v="0"/>
  </r>
  <r>
    <x v="360"/>
    <n v="8.1999999999999993"/>
    <n v="0.7"/>
    <n v="0.23"/>
    <n v="2"/>
    <n v="9.9000000000000005E-2"/>
    <n v="14"/>
    <n v="81"/>
    <n v="0.99729999999999996"/>
    <n v="3.19"/>
    <n v="0.7"/>
    <n v="9.4"/>
    <n v="5"/>
    <x v="0"/>
    <s v="Normal"/>
    <n v="18.450000000000003"/>
    <n v="1393"/>
    <n v="67"/>
    <x v="0"/>
  </r>
  <r>
    <x v="361"/>
    <n v="8.6"/>
    <n v="0.45"/>
    <n v="0.31"/>
    <n v="2.6"/>
    <n v="8.5999999999999993E-2"/>
    <n v="21"/>
    <n v="50"/>
    <n v="0.99819999999999998"/>
    <n v="3.37"/>
    <n v="0.91"/>
    <n v="9.9"/>
    <n v="6"/>
    <x v="0"/>
    <s v="Normal"/>
    <n v="20.265000000000001"/>
    <n v="799"/>
    <n v="29"/>
    <x v="0"/>
  </r>
  <r>
    <x v="362"/>
    <n v="11.9"/>
    <n v="0.57999999999999996"/>
    <n v="0.66"/>
    <n v="2.5"/>
    <n v="7.1999999999999995E-2"/>
    <n v="6"/>
    <n v="37"/>
    <n v="0.99919999999999998"/>
    <n v="3.05"/>
    <n v="0.56000000000000005"/>
    <n v="10"/>
    <n v="5"/>
    <x v="0"/>
    <s v="High"/>
    <n v="19.68"/>
    <n v="929"/>
    <n v="31"/>
    <x v="0"/>
  </r>
  <r>
    <x v="363"/>
    <n v="12.5"/>
    <n v="0.46"/>
    <n v="0.63"/>
    <n v="2"/>
    <n v="7.0999999999999994E-2"/>
    <n v="6"/>
    <n v="15"/>
    <n v="0.99880000000000002"/>
    <n v="2.99"/>
    <n v="0.87"/>
    <n v="10.199999999999999"/>
    <n v="5"/>
    <x v="0"/>
    <s v="High"/>
    <n v="20.784999999999997"/>
    <n v="707"/>
    <n v="9"/>
    <x v="0"/>
  </r>
  <r>
    <x v="364"/>
    <n v="12.8"/>
    <n v="0.61499999999999999"/>
    <n v="0.66"/>
    <n v="5.8"/>
    <n v="8.3000000000000004E-2"/>
    <n v="7"/>
    <n v="42"/>
    <n v="1.0022"/>
    <n v="3.07"/>
    <n v="0.73"/>
    <n v="10"/>
    <n v="7"/>
    <x v="1"/>
    <s v="High"/>
    <n v="19.864999999999998"/>
    <n v="890"/>
    <n v="35"/>
    <x v="0"/>
  </r>
  <r>
    <x v="365"/>
    <n v="10"/>
    <n v="0.42"/>
    <n v="0.5"/>
    <n v="3.4"/>
    <n v="0.107"/>
    <n v="7"/>
    <n v="21"/>
    <n v="0.99790000000000001"/>
    <n v="3.26"/>
    <n v="0.93"/>
    <n v="11.8"/>
    <n v="6"/>
    <x v="0"/>
    <s v="High"/>
    <n v="24.155000000000001"/>
    <n v="162"/>
    <n v="14"/>
    <x v="1"/>
  </r>
  <r>
    <x v="366"/>
    <n v="12.8"/>
    <n v="0.61499999999999999"/>
    <n v="0.66"/>
    <n v="5.8"/>
    <n v="8.3000000000000004E-2"/>
    <n v="7"/>
    <n v="42"/>
    <n v="1.0022"/>
    <n v="3.07"/>
    <n v="0.73"/>
    <n v="10"/>
    <n v="7"/>
    <x v="1"/>
    <s v="High"/>
    <n v="19.864999999999998"/>
    <n v="890"/>
    <n v="35"/>
    <x v="0"/>
  </r>
  <r>
    <x v="367"/>
    <n v="10.4"/>
    <n v="0.57499999999999996"/>
    <n v="0.61"/>
    <n v="2.6"/>
    <n v="7.5999999999999998E-2"/>
    <n v="11"/>
    <n v="24"/>
    <n v="1"/>
    <n v="3.16"/>
    <n v="0.69"/>
    <n v="9"/>
    <n v="5"/>
    <x v="0"/>
    <s v="High"/>
    <n v="17.885000000000002"/>
    <n v="1540"/>
    <n v="13"/>
    <x v="0"/>
  </r>
  <r>
    <x v="368"/>
    <n v="10.3"/>
    <n v="0.34"/>
    <n v="0.52"/>
    <n v="2.8"/>
    <n v="0.159"/>
    <n v="15"/>
    <n v="75"/>
    <n v="0.99980000000000002"/>
    <n v="3.18"/>
    <n v="0.64"/>
    <n v="9.4"/>
    <n v="5"/>
    <x v="0"/>
    <s v="High"/>
    <n v="19.080000000000002"/>
    <n v="1131"/>
    <n v="60"/>
    <x v="0"/>
  </r>
  <r>
    <x v="369"/>
    <n v="9.4"/>
    <n v="0.27"/>
    <n v="0.53"/>
    <n v="2.4"/>
    <n v="7.3999999999999996E-2"/>
    <n v="6"/>
    <n v="18"/>
    <n v="0.99619999999999997"/>
    <n v="3.2"/>
    <n v="1.1299999999999999"/>
    <n v="12"/>
    <n v="7"/>
    <x v="1"/>
    <s v="High"/>
    <n v="25.155000000000001"/>
    <n v="86"/>
    <n v="12"/>
    <x v="1"/>
  </r>
  <r>
    <x v="370"/>
    <n v="6.9"/>
    <n v="0.76500000000000001"/>
    <n v="0.02"/>
    <n v="2.2999999999999998"/>
    <n v="6.3E-2"/>
    <n v="35"/>
    <n v="63"/>
    <n v="0.99750000000000005"/>
    <n v="3.57"/>
    <n v="0.78"/>
    <n v="9.9"/>
    <n v="5"/>
    <x v="0"/>
    <s v="Normal"/>
    <n v="19.439999999999998"/>
    <n v="995"/>
    <n v="28"/>
    <x v="0"/>
  </r>
  <r>
    <x v="371"/>
    <n v="7.9"/>
    <n v="0.24"/>
    <n v="0.4"/>
    <n v="1.6"/>
    <n v="5.6000000000000001E-2"/>
    <n v="11"/>
    <n v="25"/>
    <n v="0.99670000000000003"/>
    <n v="3.32"/>
    <n v="0.87"/>
    <n v="8.6999999999999993"/>
    <n v="6"/>
    <x v="0"/>
    <s v="Normal"/>
    <n v="18.224999999999998"/>
    <n v="1478"/>
    <n v="14"/>
    <x v="0"/>
  </r>
  <r>
    <x v="372"/>
    <n v="9.1"/>
    <n v="0.28000000000000003"/>
    <n v="0.48"/>
    <n v="1.8"/>
    <n v="6.7000000000000004E-2"/>
    <n v="26"/>
    <n v="46"/>
    <n v="0.99670000000000003"/>
    <n v="3.32"/>
    <n v="1.04"/>
    <n v="10.6"/>
    <n v="6"/>
    <x v="0"/>
    <s v="Normal"/>
    <n v="22.2"/>
    <n v="419"/>
    <n v="20"/>
    <x v="1"/>
  </r>
  <r>
    <x v="373"/>
    <n v="7.4"/>
    <n v="0.55000000000000004"/>
    <n v="0.22"/>
    <n v="2.2000000000000002"/>
    <n v="0.106"/>
    <n v="12"/>
    <n v="72"/>
    <n v="0.99590000000000001"/>
    <n v="3.05"/>
    <n v="0.63"/>
    <n v="9.1999999999999993"/>
    <n v="5"/>
    <x v="0"/>
    <s v="Normal"/>
    <n v="18.244999999999997"/>
    <n v="1469"/>
    <n v="60"/>
    <x v="0"/>
  </r>
  <r>
    <x v="374"/>
    <n v="14"/>
    <n v="0.41"/>
    <n v="0.63"/>
    <n v="3.8"/>
    <n v="8.8999999999999996E-2"/>
    <n v="6"/>
    <n v="47"/>
    <n v="1.0014000000000001"/>
    <n v="3.01"/>
    <n v="0.81"/>
    <n v="10.8"/>
    <n v="6"/>
    <x v="0"/>
    <s v="High"/>
    <n v="21.995000000000001"/>
    <n v="456"/>
    <n v="41"/>
    <x v="0"/>
  </r>
  <r>
    <x v="375"/>
    <n v="11.5"/>
    <n v="0.54"/>
    <n v="0.71"/>
    <n v="4.4000000000000004"/>
    <n v="0.124"/>
    <n v="6"/>
    <n v="15"/>
    <n v="0.99839999999999995"/>
    <n v="3.01"/>
    <n v="0.83"/>
    <n v="11.8"/>
    <n v="7"/>
    <x v="1"/>
    <s v="High"/>
    <n v="23.765000000000001"/>
    <n v="195"/>
    <n v="9"/>
    <x v="0"/>
  </r>
  <r>
    <x v="376"/>
    <n v="11.5"/>
    <n v="0.45"/>
    <n v="0.5"/>
    <n v="3"/>
    <n v="7.8E-2"/>
    <n v="19"/>
    <n v="47"/>
    <n v="1.0003"/>
    <n v="3.26"/>
    <n v="1.1100000000000001"/>
    <n v="11"/>
    <n v="6"/>
    <x v="0"/>
    <s v="High"/>
    <n v="22.765000000000001"/>
    <n v="318"/>
    <n v="28"/>
    <x v="1"/>
  </r>
  <r>
    <x v="377"/>
    <n v="9.4"/>
    <n v="0.27"/>
    <n v="0.53"/>
    <n v="2.4"/>
    <n v="7.3999999999999996E-2"/>
    <n v="6"/>
    <n v="18"/>
    <n v="0.99619999999999997"/>
    <n v="3.2"/>
    <n v="1.1299999999999999"/>
    <n v="12"/>
    <n v="7"/>
    <x v="1"/>
    <s v="High"/>
    <n v="25.155000000000001"/>
    <n v="86"/>
    <n v="12"/>
    <x v="1"/>
  </r>
  <r>
    <x v="378"/>
    <n v="11.4"/>
    <n v="0.625"/>
    <n v="0.66"/>
    <n v="6.2"/>
    <n v="8.7999999999999995E-2"/>
    <n v="6"/>
    <n v="24"/>
    <n v="0.99880000000000002"/>
    <n v="3.11"/>
    <n v="0.99"/>
    <n v="13.3"/>
    <n v="6"/>
    <x v="0"/>
    <s v="High"/>
    <n v="26.835000000000001"/>
    <n v="18"/>
    <n v="18"/>
    <x v="0"/>
  </r>
  <r>
    <x v="379"/>
    <n v="8.3000000000000007"/>
    <n v="0.42"/>
    <n v="0.38"/>
    <n v="2.5"/>
    <n v="9.4E-2"/>
    <n v="24"/>
    <n v="60"/>
    <n v="0.99790000000000001"/>
    <n v="3.31"/>
    <n v="0.7"/>
    <n v="10.8"/>
    <n v="6"/>
    <x v="0"/>
    <s v="Normal"/>
    <n v="21.810000000000002"/>
    <n v="479"/>
    <n v="36"/>
    <x v="1"/>
  </r>
  <r>
    <x v="380"/>
    <n v="8.3000000000000007"/>
    <n v="0.26"/>
    <n v="0.42"/>
    <n v="2"/>
    <n v="0.08"/>
    <n v="11"/>
    <n v="27"/>
    <n v="0.99739999999999995"/>
    <n v="3.21"/>
    <n v="0.8"/>
    <n v="9.4"/>
    <n v="6"/>
    <x v="0"/>
    <s v="Normal"/>
    <n v="19.48"/>
    <n v="983"/>
    <n v="16"/>
    <x v="0"/>
  </r>
  <r>
    <x v="381"/>
    <n v="13.7"/>
    <n v="0.41499999999999998"/>
    <n v="0.68"/>
    <n v="2.9"/>
    <n v="8.5000000000000006E-2"/>
    <n v="17"/>
    <n v="43"/>
    <n v="1.0014000000000001"/>
    <n v="3.06"/>
    <n v="0.8"/>
    <n v="10"/>
    <n v="6"/>
    <x v="0"/>
    <s v="High"/>
    <n v="20.37"/>
    <n v="775"/>
    <n v="26"/>
    <x v="0"/>
  </r>
  <r>
    <x v="382"/>
    <n v="8.3000000000000007"/>
    <n v="0.26"/>
    <n v="0.42"/>
    <n v="2"/>
    <n v="0.08"/>
    <n v="11"/>
    <n v="27"/>
    <n v="0.99739999999999995"/>
    <n v="3.21"/>
    <n v="0.8"/>
    <n v="9.4"/>
    <n v="6"/>
    <x v="0"/>
    <s v="Normal"/>
    <n v="19.48"/>
    <n v="983"/>
    <n v="16"/>
    <x v="0"/>
  </r>
  <r>
    <x v="383"/>
    <n v="8.3000000000000007"/>
    <n v="0.26"/>
    <n v="0.42"/>
    <n v="2"/>
    <n v="0.08"/>
    <n v="11"/>
    <n v="27"/>
    <n v="0.99739999999999995"/>
    <n v="3.21"/>
    <n v="0.8"/>
    <n v="9.4"/>
    <n v="6"/>
    <x v="0"/>
    <s v="Normal"/>
    <n v="19.48"/>
    <n v="983"/>
    <n v="16"/>
    <x v="0"/>
  </r>
  <r>
    <x v="384"/>
    <n v="7.7"/>
    <n v="0.51"/>
    <n v="0.28000000000000003"/>
    <n v="2.1"/>
    <n v="8.6999999999999994E-2"/>
    <n v="23"/>
    <n v="54"/>
    <n v="0.998"/>
    <n v="3.42"/>
    <n v="0.74"/>
    <n v="9.1999999999999993"/>
    <n v="5"/>
    <x v="0"/>
    <s v="Normal"/>
    <n v="18.489999999999998"/>
    <n v="1377"/>
    <n v="31"/>
    <x v="0"/>
  </r>
  <r>
    <x v="385"/>
    <n v="7.4"/>
    <n v="0.63"/>
    <n v="7.0000000000000007E-2"/>
    <n v="2.4"/>
    <n v="0.09"/>
    <n v="11"/>
    <n v="37"/>
    <n v="0.99790000000000001"/>
    <n v="3.43"/>
    <n v="0.76"/>
    <n v="9.6999999999999993"/>
    <n v="6"/>
    <x v="0"/>
    <s v="Normal"/>
    <n v="19.279999999999998"/>
    <n v="1050"/>
    <n v="26"/>
    <x v="0"/>
  </r>
  <r>
    <x v="386"/>
    <n v="7.8"/>
    <n v="0.54"/>
    <n v="0.26"/>
    <n v="2"/>
    <n v="8.7999999999999995E-2"/>
    <n v="23"/>
    <n v="48"/>
    <n v="0.99809999999999999"/>
    <n v="3.41"/>
    <n v="0.74"/>
    <n v="9.1999999999999993"/>
    <n v="6"/>
    <x v="0"/>
    <s v="Normal"/>
    <n v="18.43"/>
    <n v="1399"/>
    <n v="25"/>
    <x v="0"/>
  </r>
  <r>
    <x v="387"/>
    <n v="8.3000000000000007"/>
    <n v="0.66"/>
    <n v="0.15"/>
    <n v="1.9"/>
    <n v="7.9000000000000001E-2"/>
    <n v="17"/>
    <n v="42"/>
    <n v="0.99719999999999998"/>
    <n v="3.31"/>
    <n v="0.54"/>
    <n v="9.6"/>
    <n v="6"/>
    <x v="0"/>
    <s v="Normal"/>
    <n v="18.689999999999998"/>
    <n v="1297"/>
    <n v="25"/>
    <x v="0"/>
  </r>
  <r>
    <x v="388"/>
    <n v="7.8"/>
    <n v="0.46"/>
    <n v="0.26"/>
    <n v="1.9"/>
    <n v="8.7999999999999995E-2"/>
    <n v="23"/>
    <n v="53"/>
    <n v="0.99809999999999999"/>
    <n v="3.43"/>
    <n v="0.74"/>
    <n v="9.1999999999999993"/>
    <n v="6"/>
    <x v="0"/>
    <s v="Normal"/>
    <n v="18.589999999999996"/>
    <n v="1348"/>
    <n v="30"/>
    <x v="0"/>
  </r>
  <r>
    <x v="389"/>
    <n v="9.6"/>
    <n v="0.38"/>
    <n v="0.31"/>
    <n v="2.5"/>
    <n v="9.6000000000000002E-2"/>
    <n v="16"/>
    <n v="49"/>
    <n v="0.99819999999999998"/>
    <n v="3.19"/>
    <n v="0.7"/>
    <n v="10"/>
    <n v="7"/>
    <x v="1"/>
    <s v="High"/>
    <n v="20.29"/>
    <n v="795"/>
    <n v="33"/>
    <x v="0"/>
  </r>
  <r>
    <x v="390"/>
    <n v="5.6"/>
    <n v="0.85"/>
    <n v="0.05"/>
    <n v="1.4"/>
    <n v="4.4999999999999998E-2"/>
    <n v="12"/>
    <n v="88"/>
    <n v="0.99239999999999995"/>
    <n v="3.56"/>
    <n v="0.82"/>
    <n v="12.9"/>
    <n v="8"/>
    <x v="1"/>
    <s v="Normal"/>
    <n v="25.330000000000002"/>
    <n v="68"/>
    <n v="76"/>
    <x v="1"/>
  </r>
  <r>
    <x v="391"/>
    <n v="13.7"/>
    <n v="0.41499999999999998"/>
    <n v="0.68"/>
    <n v="2.9"/>
    <n v="8.5000000000000006E-2"/>
    <n v="17"/>
    <n v="43"/>
    <n v="1.0014000000000001"/>
    <n v="3.06"/>
    <n v="0.8"/>
    <n v="10"/>
    <n v="6"/>
    <x v="0"/>
    <s v="High"/>
    <n v="20.37"/>
    <n v="775"/>
    <n v="26"/>
    <x v="0"/>
  </r>
  <r>
    <x v="392"/>
    <n v="9.5"/>
    <n v="0.37"/>
    <n v="0.52"/>
    <n v="2"/>
    <n v="8.2000000000000003E-2"/>
    <n v="6"/>
    <n v="26"/>
    <n v="0.998"/>
    <n v="3.18"/>
    <n v="0.51"/>
    <n v="9.5"/>
    <n v="5"/>
    <x v="0"/>
    <s v="High"/>
    <n v="19.025000000000002"/>
    <n v="1155"/>
    <n v="20"/>
    <x v="0"/>
  </r>
  <r>
    <x v="393"/>
    <n v="8.4"/>
    <n v="0.66500000000000004"/>
    <n v="0.61"/>
    <n v="2"/>
    <n v="0.112"/>
    <n v="13"/>
    <n v="95"/>
    <n v="0.997"/>
    <n v="3.16"/>
    <n v="0.54"/>
    <n v="9.1"/>
    <n v="5"/>
    <x v="0"/>
    <s v="High"/>
    <n v="17.68"/>
    <n v="1574"/>
    <n v="82"/>
    <x v="0"/>
  </r>
  <r>
    <x v="394"/>
    <n v="12.7"/>
    <n v="0.6"/>
    <n v="0.65"/>
    <n v="2.2999999999999998"/>
    <n v="6.3E-2"/>
    <n v="6"/>
    <n v="25"/>
    <n v="0.99970000000000003"/>
    <n v="3.03"/>
    <n v="0.56999999999999995"/>
    <n v="9.9"/>
    <n v="5"/>
    <x v="0"/>
    <s v="High"/>
    <n v="19.455000000000002"/>
    <n v="993"/>
    <n v="19"/>
    <x v="0"/>
  </r>
  <r>
    <x v="395"/>
    <n v="12"/>
    <n v="0.37"/>
    <n v="0.76"/>
    <n v="4.2"/>
    <n v="6.6000000000000003E-2"/>
    <n v="7"/>
    <n v="38"/>
    <n v="1.0004"/>
    <n v="3.22"/>
    <n v="0.6"/>
    <n v="13"/>
    <n v="7"/>
    <x v="1"/>
    <s v="High"/>
    <n v="26.16"/>
    <n v="24"/>
    <n v="31"/>
    <x v="1"/>
  </r>
  <r>
    <x v="396"/>
    <n v="6.6"/>
    <n v="0.73499999999999999"/>
    <n v="0.02"/>
    <n v="7.9"/>
    <n v="0.122"/>
    <n v="68"/>
    <n v="124"/>
    <n v="0.99939999999999996"/>
    <n v="3.47"/>
    <n v="0.53"/>
    <n v="9.9"/>
    <n v="5"/>
    <x v="0"/>
    <s v="Normal"/>
    <n v="19.125000000000004"/>
    <n v="1109"/>
    <n v="56"/>
    <x v="0"/>
  </r>
  <r>
    <x v="397"/>
    <n v="11.5"/>
    <n v="0.59"/>
    <n v="0.59"/>
    <n v="2.6"/>
    <n v="8.6999999999999994E-2"/>
    <n v="13"/>
    <n v="49"/>
    <n v="0.99880000000000002"/>
    <n v="3.18"/>
    <n v="0.65"/>
    <n v="11"/>
    <n v="6"/>
    <x v="0"/>
    <s v="High"/>
    <n v="21.795000000000002"/>
    <n v="482"/>
    <n v="36"/>
    <x v="0"/>
  </r>
  <r>
    <x v="398"/>
    <n v="11.5"/>
    <n v="0.59"/>
    <n v="0.59"/>
    <n v="2.6"/>
    <n v="8.6999999999999994E-2"/>
    <n v="13"/>
    <n v="49"/>
    <n v="0.99880000000000002"/>
    <n v="3.18"/>
    <n v="0.65"/>
    <n v="11"/>
    <n v="6"/>
    <x v="0"/>
    <s v="High"/>
    <n v="21.795000000000002"/>
    <n v="482"/>
    <n v="36"/>
    <x v="0"/>
  </r>
  <r>
    <x v="399"/>
    <n v="8.6999999999999993"/>
    <n v="0.76500000000000001"/>
    <n v="0.22"/>
    <n v="2.2999999999999998"/>
    <n v="6.4000000000000001E-2"/>
    <n v="9"/>
    <n v="42"/>
    <n v="0.99629999999999996"/>
    <n v="3.1"/>
    <n v="0.55000000000000004"/>
    <n v="9.4"/>
    <n v="5"/>
    <x v="0"/>
    <s v="High"/>
    <n v="18.094999999999999"/>
    <n v="1501"/>
    <n v="33"/>
    <x v="0"/>
  </r>
  <r>
    <x v="400"/>
    <n v="6.6"/>
    <n v="0.73499999999999999"/>
    <n v="0.02"/>
    <n v="7.9"/>
    <n v="0.122"/>
    <n v="68"/>
    <n v="124"/>
    <n v="0.99939999999999996"/>
    <n v="3.47"/>
    <n v="0.53"/>
    <n v="9.9"/>
    <n v="5"/>
    <x v="0"/>
    <s v="Normal"/>
    <n v="19.125000000000004"/>
    <n v="1109"/>
    <n v="56"/>
    <x v="0"/>
  </r>
  <r>
    <x v="401"/>
    <n v="7.7"/>
    <n v="0.26"/>
    <n v="0.3"/>
    <n v="1.7"/>
    <n v="5.8999999999999997E-2"/>
    <n v="20"/>
    <n v="38"/>
    <n v="0.99490000000000001"/>
    <n v="3.29"/>
    <n v="0.47"/>
    <n v="10.8"/>
    <n v="6"/>
    <x v="0"/>
    <s v="Normal"/>
    <n v="21.785"/>
    <n v="484"/>
    <n v="18"/>
    <x v="1"/>
  </r>
  <r>
    <x v="402"/>
    <n v="12.2"/>
    <n v="0.48"/>
    <n v="0.54"/>
    <n v="2.6"/>
    <n v="8.5000000000000006E-2"/>
    <n v="19"/>
    <n v="64"/>
    <n v="1"/>
    <n v="3.1"/>
    <n v="0.61"/>
    <n v="10.5"/>
    <n v="6"/>
    <x v="0"/>
    <s v="High"/>
    <n v="20.954999999999998"/>
    <n v="659"/>
    <n v="45"/>
    <x v="0"/>
  </r>
  <r>
    <x v="403"/>
    <n v="11.4"/>
    <n v="0.6"/>
    <n v="0.49"/>
    <n v="2.7"/>
    <n v="8.5000000000000006E-2"/>
    <n v="10"/>
    <n v="41"/>
    <n v="0.99939999999999996"/>
    <n v="3.15"/>
    <n v="0.63"/>
    <n v="10.5"/>
    <n v="6"/>
    <x v="0"/>
    <s v="High"/>
    <n v="20.745000000000001"/>
    <n v="716"/>
    <n v="31"/>
    <x v="0"/>
  </r>
  <r>
    <x v="404"/>
    <n v="7.7"/>
    <n v="0.69"/>
    <n v="0.05"/>
    <n v="2.7"/>
    <n v="7.4999999999999997E-2"/>
    <n v="15"/>
    <n v="27"/>
    <n v="0.99739999999999995"/>
    <n v="3.26"/>
    <n v="0.61"/>
    <n v="9.1"/>
    <n v="5"/>
    <x v="0"/>
    <s v="Normal"/>
    <n v="17.734999999999999"/>
    <n v="1564"/>
    <n v="12"/>
    <x v="0"/>
  </r>
  <r>
    <x v="405"/>
    <n v="8.6999999999999993"/>
    <n v="0.31"/>
    <n v="0.46"/>
    <n v="1.4"/>
    <n v="5.8999999999999997E-2"/>
    <n v="11"/>
    <n v="25"/>
    <n v="0.99660000000000004"/>
    <n v="3.36"/>
    <n v="0.76"/>
    <n v="10.1"/>
    <n v="6"/>
    <x v="0"/>
    <s v="Normal"/>
    <n v="20.72"/>
    <n v="721"/>
    <n v="14"/>
    <x v="1"/>
  </r>
  <r>
    <x v="406"/>
    <n v="9.8000000000000007"/>
    <n v="0.44"/>
    <n v="0.47"/>
    <n v="2.5"/>
    <n v="6.3E-2"/>
    <n v="9"/>
    <n v="28"/>
    <n v="0.99809999999999999"/>
    <n v="3.24"/>
    <n v="0.65"/>
    <n v="10.8"/>
    <n v="6"/>
    <x v="0"/>
    <s v="High"/>
    <n v="21.695000000000004"/>
    <n v="505"/>
    <n v="19"/>
    <x v="1"/>
  </r>
  <r>
    <x v="407"/>
    <n v="12"/>
    <n v="0.39"/>
    <n v="0.66"/>
    <n v="3"/>
    <n v="9.2999999999999999E-2"/>
    <n v="12"/>
    <n v="30"/>
    <n v="0.99960000000000004"/>
    <n v="3.18"/>
    <n v="0.63"/>
    <n v="10.8"/>
    <n v="7"/>
    <x v="1"/>
    <s v="High"/>
    <n v="21.765000000000001"/>
    <n v="492"/>
    <n v="18"/>
    <x v="0"/>
  </r>
  <r>
    <x v="408"/>
    <n v="10.4"/>
    <n v="0.34"/>
    <n v="0.57999999999999996"/>
    <n v="3.7"/>
    <n v="0.17399999999999999"/>
    <n v="6"/>
    <n v="16"/>
    <n v="0.997"/>
    <n v="3.19"/>
    <n v="0.7"/>
    <n v="11.3"/>
    <n v="6"/>
    <x v="0"/>
    <s v="High"/>
    <n v="22.970000000000002"/>
    <n v="277"/>
    <n v="10"/>
    <x v="0"/>
  </r>
  <r>
    <x v="409"/>
    <n v="12.5"/>
    <n v="0.46"/>
    <n v="0.49"/>
    <n v="4.5"/>
    <n v="7.0000000000000007E-2"/>
    <n v="26"/>
    <n v="49"/>
    <n v="0.99809999999999999"/>
    <n v="3.05"/>
    <n v="0.56999999999999995"/>
    <n v="9.6"/>
    <n v="4"/>
    <x v="2"/>
    <s v="High"/>
    <n v="19.134999999999998"/>
    <n v="1108"/>
    <n v="23"/>
    <x v="0"/>
  </r>
  <r>
    <x v="410"/>
    <n v="9"/>
    <n v="0.43"/>
    <n v="0.34"/>
    <n v="2.5"/>
    <n v="0.08"/>
    <n v="26"/>
    <n v="86"/>
    <n v="0.99870000000000003"/>
    <n v="3.38"/>
    <n v="0.62"/>
    <n v="9.5"/>
    <n v="6"/>
    <x v="0"/>
    <s v="Normal"/>
    <n v="19.07"/>
    <n v="1137"/>
    <n v="60"/>
    <x v="0"/>
  </r>
  <r>
    <x v="411"/>
    <n v="9.1"/>
    <n v="0.45"/>
    <n v="0.35"/>
    <n v="2.4"/>
    <n v="0.08"/>
    <n v="23"/>
    <n v="78"/>
    <n v="0.99870000000000003"/>
    <n v="3.38"/>
    <n v="0.62"/>
    <n v="9.5"/>
    <n v="5"/>
    <x v="0"/>
    <s v="Normal"/>
    <n v="19.03"/>
    <n v="1152"/>
    <n v="55"/>
    <x v="0"/>
  </r>
  <r>
    <x v="412"/>
    <n v="7.1"/>
    <n v="0.73499999999999999"/>
    <n v="0.16"/>
    <n v="1.9"/>
    <n v="0.1"/>
    <n v="15"/>
    <n v="77"/>
    <n v="0.99660000000000004"/>
    <n v="3.27"/>
    <n v="0.64"/>
    <n v="9.3000000000000007"/>
    <n v="5"/>
    <x v="0"/>
    <s v="Normal"/>
    <n v="18.090000000000003"/>
    <n v="1502"/>
    <n v="62"/>
    <x v="0"/>
  </r>
  <r>
    <x v="413"/>
    <n v="9.9"/>
    <n v="0.4"/>
    <n v="0.53"/>
    <n v="6.7"/>
    <n v="9.7000000000000003E-2"/>
    <n v="6"/>
    <n v="19"/>
    <n v="0.99860000000000004"/>
    <n v="3.27"/>
    <n v="0.82"/>
    <n v="11.7"/>
    <n v="7"/>
    <x v="1"/>
    <s v="High"/>
    <n v="23.83"/>
    <n v="191"/>
    <n v="13"/>
    <x v="1"/>
  </r>
  <r>
    <x v="414"/>
    <n v="8.8000000000000007"/>
    <n v="0.52"/>
    <n v="0.34"/>
    <n v="2.7"/>
    <n v="8.6999999999999994E-2"/>
    <n v="24"/>
    <n v="122"/>
    <n v="0.99819999999999998"/>
    <n v="3.26"/>
    <n v="0.61"/>
    <n v="9.5"/>
    <n v="5"/>
    <x v="0"/>
    <s v="High"/>
    <n v="18.875"/>
    <n v="1215"/>
    <n v="98"/>
    <x v="0"/>
  </r>
  <r>
    <x v="415"/>
    <n v="8.6"/>
    <n v="0.72499999999999998"/>
    <n v="0.24"/>
    <n v="6.6"/>
    <n v="0.11700000000000001"/>
    <n v="31"/>
    <n v="134"/>
    <n v="1.0014000000000001"/>
    <n v="3.32"/>
    <n v="1.07"/>
    <n v="9.3000000000000007"/>
    <n v="5"/>
    <x v="0"/>
    <s v="Normal"/>
    <n v="18.755000000000003"/>
    <n v="1261"/>
    <n v="103"/>
    <x v="0"/>
  </r>
  <r>
    <x v="416"/>
    <n v="10.6"/>
    <n v="0.48"/>
    <n v="0.64"/>
    <n v="2.2000000000000002"/>
    <n v="0.111"/>
    <n v="6"/>
    <n v="20"/>
    <n v="0.997"/>
    <n v="3.26"/>
    <n v="0.66"/>
    <n v="11.7"/>
    <n v="6"/>
    <x v="0"/>
    <s v="High"/>
    <n v="23.429999999999996"/>
    <n v="224"/>
    <n v="14"/>
    <x v="1"/>
  </r>
  <r>
    <x v="417"/>
    <n v="7"/>
    <n v="0.57999999999999996"/>
    <n v="0.12"/>
    <n v="1.9"/>
    <n v="9.0999999999999998E-2"/>
    <n v="34"/>
    <n v="124"/>
    <n v="0.99560000000000004"/>
    <n v="3.44"/>
    <n v="0.48"/>
    <n v="10.5"/>
    <n v="5"/>
    <x v="0"/>
    <s v="Normal"/>
    <n v="20.56"/>
    <n v="743"/>
    <n v="90"/>
    <x v="1"/>
  </r>
  <r>
    <x v="418"/>
    <n v="11.9"/>
    <n v="0.38"/>
    <n v="0.51"/>
    <n v="2"/>
    <n v="0.121"/>
    <n v="7"/>
    <n v="20"/>
    <n v="0.99960000000000004"/>
    <n v="3.24"/>
    <n v="0.76"/>
    <n v="10.4"/>
    <n v="6"/>
    <x v="0"/>
    <s v="High"/>
    <n v="21.18"/>
    <n v="610"/>
    <n v="13"/>
    <x v="1"/>
  </r>
  <r>
    <x v="419"/>
    <n v="6.8"/>
    <n v="0.77"/>
    <n v="0"/>
    <n v="1.8"/>
    <n v="6.6000000000000003E-2"/>
    <n v="34"/>
    <n v="52"/>
    <n v="0.99760000000000004"/>
    <n v="3.62"/>
    <n v="0.68"/>
    <n v="9.9"/>
    <n v="5"/>
    <x v="0"/>
    <s v="Normal"/>
    <n v="19.28"/>
    <n v="1046"/>
    <n v="18"/>
    <x v="0"/>
  </r>
  <r>
    <x v="420"/>
    <n v="9.5"/>
    <n v="0.56000000000000005"/>
    <n v="0.33"/>
    <n v="2.4"/>
    <n v="8.8999999999999996E-2"/>
    <n v="35"/>
    <n v="67"/>
    <n v="0.99719999999999998"/>
    <n v="3.28"/>
    <n v="0.73"/>
    <n v="11.8"/>
    <n v="7"/>
    <x v="1"/>
    <s v="High"/>
    <n v="23.574999999999999"/>
    <n v="210"/>
    <n v="32"/>
    <x v="1"/>
  </r>
  <r>
    <x v="421"/>
    <n v="6.6"/>
    <n v="0.84"/>
    <n v="0.03"/>
    <n v="2.2999999999999998"/>
    <n v="5.8999999999999997E-2"/>
    <n v="32"/>
    <n v="48"/>
    <n v="0.99519999999999997"/>
    <n v="3.52"/>
    <n v="0.56000000000000005"/>
    <n v="12.3"/>
    <n v="7"/>
    <x v="1"/>
    <s v="Normal"/>
    <n v="23.76"/>
    <n v="197"/>
    <n v="16"/>
    <x v="1"/>
  </r>
  <r>
    <x v="422"/>
    <n v="7.7"/>
    <n v="0.96"/>
    <n v="0.2"/>
    <n v="2"/>
    <n v="4.7E-2"/>
    <n v="15"/>
    <n v="60"/>
    <n v="0.99550000000000005"/>
    <n v="3.36"/>
    <n v="0.44"/>
    <n v="10.9"/>
    <n v="5"/>
    <x v="0"/>
    <s v="Normal"/>
    <n v="20.54"/>
    <n v="748"/>
    <n v="45"/>
    <x v="1"/>
  </r>
  <r>
    <x v="423"/>
    <n v="10.5"/>
    <n v="0.24"/>
    <n v="0.47"/>
    <n v="2.1"/>
    <n v="6.6000000000000003E-2"/>
    <n v="6"/>
    <n v="24"/>
    <n v="0.99780000000000002"/>
    <n v="3.15"/>
    <n v="0.9"/>
    <n v="11"/>
    <n v="7"/>
    <x v="1"/>
    <s v="High"/>
    <n v="22.87"/>
    <n v="297"/>
    <n v="18"/>
    <x v="0"/>
  </r>
  <r>
    <x v="424"/>
    <n v="7.7"/>
    <n v="0.96"/>
    <n v="0.2"/>
    <n v="2"/>
    <n v="4.7E-2"/>
    <n v="15"/>
    <n v="60"/>
    <n v="0.99550000000000005"/>
    <n v="3.36"/>
    <n v="0.44"/>
    <n v="10.9"/>
    <n v="5"/>
    <x v="0"/>
    <s v="Normal"/>
    <n v="20.54"/>
    <n v="748"/>
    <n v="45"/>
    <x v="1"/>
  </r>
  <r>
    <x v="425"/>
    <n v="6.6"/>
    <n v="0.84"/>
    <n v="0.03"/>
    <n v="2.2999999999999998"/>
    <n v="5.8999999999999997E-2"/>
    <n v="32"/>
    <n v="48"/>
    <n v="0.99519999999999997"/>
    <n v="3.52"/>
    <n v="0.56000000000000005"/>
    <n v="12.3"/>
    <n v="7"/>
    <x v="1"/>
    <s v="Normal"/>
    <n v="23.76"/>
    <n v="197"/>
    <n v="16"/>
    <x v="1"/>
  </r>
  <r>
    <x v="426"/>
    <n v="6.4"/>
    <n v="0.67"/>
    <n v="0.08"/>
    <n v="2.1"/>
    <n v="4.4999999999999998E-2"/>
    <n v="19"/>
    <n v="48"/>
    <n v="0.99490000000000001"/>
    <n v="3.49"/>
    <n v="0.49"/>
    <n v="11.4"/>
    <n v="6"/>
    <x v="0"/>
    <s v="Normal"/>
    <n v="22.195"/>
    <n v="420"/>
    <n v="29"/>
    <x v="1"/>
  </r>
  <r>
    <x v="427"/>
    <n v="9.5"/>
    <n v="0.78"/>
    <n v="0.22"/>
    <n v="1.9"/>
    <n v="7.6999999999999999E-2"/>
    <n v="6"/>
    <n v="32"/>
    <n v="0.99880000000000002"/>
    <n v="3.26"/>
    <n v="0.56000000000000005"/>
    <n v="10.6"/>
    <n v="6"/>
    <x v="0"/>
    <s v="High"/>
    <n v="20.48"/>
    <n v="757"/>
    <n v="26"/>
    <x v="1"/>
  </r>
  <r>
    <x v="428"/>
    <n v="9.1"/>
    <n v="0.52"/>
    <n v="0.33"/>
    <n v="1.3"/>
    <n v="7.0000000000000007E-2"/>
    <n v="9"/>
    <n v="30"/>
    <n v="0.99780000000000002"/>
    <n v="3.24"/>
    <n v="0.6"/>
    <n v="9.3000000000000007"/>
    <n v="5"/>
    <x v="0"/>
    <s v="High"/>
    <n v="18.46"/>
    <n v="1389"/>
    <n v="21"/>
    <x v="0"/>
  </r>
  <r>
    <x v="429"/>
    <n v="12.8"/>
    <n v="0.84"/>
    <n v="0.63"/>
    <n v="2.4"/>
    <n v="8.7999999999999995E-2"/>
    <n v="13"/>
    <n v="35"/>
    <n v="0.99970000000000003"/>
    <n v="3.1"/>
    <n v="0.6"/>
    <n v="10.4"/>
    <n v="6"/>
    <x v="0"/>
    <s v="High"/>
    <n v="20.02"/>
    <n v="851"/>
    <n v="22"/>
    <x v="0"/>
  </r>
  <r>
    <x v="430"/>
    <n v="10.5"/>
    <n v="0.24"/>
    <n v="0.47"/>
    <n v="2.1"/>
    <n v="6.6000000000000003E-2"/>
    <n v="6"/>
    <n v="24"/>
    <n v="0.99780000000000002"/>
    <n v="3.15"/>
    <n v="0.9"/>
    <n v="11"/>
    <n v="7"/>
    <x v="1"/>
    <s v="High"/>
    <n v="22.87"/>
    <n v="297"/>
    <n v="18"/>
    <x v="0"/>
  </r>
  <r>
    <x v="431"/>
    <n v="7.8"/>
    <n v="0.55000000000000004"/>
    <n v="0.35"/>
    <n v="2.2000000000000002"/>
    <n v="7.3999999999999996E-2"/>
    <n v="21"/>
    <n v="66"/>
    <n v="0.99739999999999995"/>
    <n v="3.25"/>
    <n v="0.56000000000000005"/>
    <n v="9.1999999999999993"/>
    <n v="5"/>
    <x v="0"/>
    <s v="Normal"/>
    <n v="18.139999999999997"/>
    <n v="1493"/>
    <n v="45"/>
    <x v="0"/>
  </r>
  <r>
    <x v="432"/>
    <n v="11.9"/>
    <n v="0.37"/>
    <n v="0.69"/>
    <n v="2.2999999999999998"/>
    <n v="7.8E-2"/>
    <n v="12"/>
    <n v="24"/>
    <n v="0.99580000000000002"/>
    <n v="3"/>
    <n v="0.65"/>
    <n v="12.8"/>
    <n v="6"/>
    <x v="0"/>
    <s v="High"/>
    <n v="25.835000000000004"/>
    <n v="38"/>
    <n v="12"/>
    <x v="0"/>
  </r>
  <r>
    <x v="433"/>
    <n v="12.3"/>
    <n v="0.39"/>
    <n v="0.63"/>
    <n v="2.2999999999999998"/>
    <n v="9.0999999999999998E-2"/>
    <n v="6"/>
    <n v="18"/>
    <n v="1.0004"/>
    <n v="3.16"/>
    <n v="0.49"/>
    <n v="9.5"/>
    <n v="5"/>
    <x v="0"/>
    <s v="High"/>
    <n v="18.954999999999998"/>
    <n v="1180"/>
    <n v="12"/>
    <x v="0"/>
  </r>
  <r>
    <x v="434"/>
    <n v="10.4"/>
    <n v="0.41"/>
    <n v="0.55000000000000004"/>
    <n v="3.2"/>
    <n v="7.5999999999999998E-2"/>
    <n v="22"/>
    <n v="54"/>
    <n v="0.99960000000000004"/>
    <n v="3.15"/>
    <n v="0.89"/>
    <n v="9.9"/>
    <n v="6"/>
    <x v="0"/>
    <s v="High"/>
    <n v="20.315000000000001"/>
    <n v="788"/>
    <n v="32"/>
    <x v="0"/>
  </r>
  <r>
    <x v="435"/>
    <n v="12.3"/>
    <n v="0.39"/>
    <n v="0.63"/>
    <n v="2.2999999999999998"/>
    <n v="9.0999999999999998E-2"/>
    <n v="6"/>
    <n v="18"/>
    <n v="1.0004"/>
    <n v="3.16"/>
    <n v="0.49"/>
    <n v="9.5"/>
    <n v="5"/>
    <x v="0"/>
    <s v="High"/>
    <n v="18.954999999999998"/>
    <n v="1180"/>
    <n v="12"/>
    <x v="0"/>
  </r>
  <r>
    <x v="436"/>
    <n v="8"/>
    <n v="0.67"/>
    <n v="0.3"/>
    <n v="2"/>
    <n v="0.06"/>
    <n v="38"/>
    <n v="62"/>
    <n v="0.99580000000000002"/>
    <n v="3.26"/>
    <n v="0.56000000000000005"/>
    <n v="10.199999999999999"/>
    <n v="6"/>
    <x v="0"/>
    <s v="Normal"/>
    <n v="19.899999999999999"/>
    <n v="880"/>
    <n v="24"/>
    <x v="1"/>
  </r>
  <r>
    <x v="437"/>
    <n v="11.1"/>
    <n v="0.45"/>
    <n v="0.73"/>
    <n v="3.2"/>
    <n v="6.6000000000000003E-2"/>
    <n v="6"/>
    <n v="22"/>
    <n v="0.99860000000000004"/>
    <n v="3.17"/>
    <n v="0.66"/>
    <n v="11.2"/>
    <n v="6"/>
    <x v="0"/>
    <s v="High"/>
    <n v="22.49"/>
    <n v="372"/>
    <n v="16"/>
    <x v="0"/>
  </r>
  <r>
    <x v="438"/>
    <n v="10.4"/>
    <n v="0.41"/>
    <n v="0.55000000000000004"/>
    <n v="3.2"/>
    <n v="7.5999999999999998E-2"/>
    <n v="22"/>
    <n v="54"/>
    <n v="0.99960000000000004"/>
    <n v="3.15"/>
    <n v="0.89"/>
    <n v="9.9"/>
    <n v="6"/>
    <x v="0"/>
    <s v="High"/>
    <n v="20.315000000000001"/>
    <n v="788"/>
    <n v="32"/>
    <x v="0"/>
  </r>
  <r>
    <x v="439"/>
    <n v="7"/>
    <n v="0.62"/>
    <n v="0.18"/>
    <n v="1.5"/>
    <n v="6.2E-2"/>
    <n v="7"/>
    <n v="50"/>
    <n v="0.99509999999999998"/>
    <n v="3.08"/>
    <n v="0.6"/>
    <n v="9.3000000000000007"/>
    <n v="5"/>
    <x v="0"/>
    <s v="Normal"/>
    <n v="18.260000000000002"/>
    <n v="1463"/>
    <n v="43"/>
    <x v="0"/>
  </r>
  <r>
    <x v="440"/>
    <n v="12.6"/>
    <n v="0.31"/>
    <n v="0.72"/>
    <n v="2.2000000000000002"/>
    <n v="7.1999999999999995E-2"/>
    <n v="6"/>
    <n v="29"/>
    <n v="0.99870000000000003"/>
    <n v="2.88"/>
    <n v="0.82"/>
    <n v="9.8000000000000007"/>
    <n v="8"/>
    <x v="1"/>
    <s v="High"/>
    <n v="20.21"/>
    <n v="811"/>
    <n v="23"/>
    <x v="0"/>
  </r>
  <r>
    <x v="441"/>
    <n v="11.9"/>
    <n v="0.4"/>
    <n v="0.65"/>
    <n v="2.15"/>
    <n v="6.8000000000000005E-2"/>
    <n v="7"/>
    <n v="27"/>
    <n v="0.99880000000000002"/>
    <n v="3.06"/>
    <n v="0.68"/>
    <n v="11.3"/>
    <n v="6"/>
    <x v="0"/>
    <s v="High"/>
    <n v="22.82"/>
    <n v="310"/>
    <n v="20"/>
    <x v="0"/>
  </r>
  <r>
    <x v="442"/>
    <n v="15.6"/>
    <n v="0.68500000000000005"/>
    <n v="0.76"/>
    <n v="3.7"/>
    <n v="0.1"/>
    <n v="6"/>
    <n v="43"/>
    <n v="1.0032000000000001"/>
    <n v="2.95"/>
    <n v="0.68"/>
    <n v="11.2"/>
    <n v="7"/>
    <x v="1"/>
    <s v="High"/>
    <n v="22.049999999999997"/>
    <n v="448"/>
    <n v="37"/>
    <x v="0"/>
  </r>
  <r>
    <x v="443"/>
    <n v="10"/>
    <n v="0.44"/>
    <n v="0.49"/>
    <n v="2.7"/>
    <n v="7.6999999999999999E-2"/>
    <n v="11"/>
    <n v="19"/>
    <n v="0.99629999999999996"/>
    <n v="3.23"/>
    <n v="0.63"/>
    <n v="11.6"/>
    <n v="7"/>
    <x v="1"/>
    <s v="High"/>
    <n v="23.265000000000001"/>
    <n v="237"/>
    <n v="8"/>
    <x v="1"/>
  </r>
  <r>
    <x v="444"/>
    <n v="5.3"/>
    <n v="0.56999999999999995"/>
    <n v="0.01"/>
    <n v="1.7"/>
    <n v="5.3999999999999999E-2"/>
    <n v="5"/>
    <n v="27"/>
    <n v="0.99339999999999995"/>
    <n v="3.57"/>
    <n v="0.84"/>
    <n v="12.5"/>
    <n v="7"/>
    <x v="1"/>
    <s v="Normal"/>
    <n v="25.12"/>
    <n v="88"/>
    <n v="22"/>
    <x v="1"/>
  </r>
  <r>
    <x v="445"/>
    <n v="9.5"/>
    <n v="0.73499999999999999"/>
    <n v="0.1"/>
    <n v="2.1"/>
    <n v="7.9000000000000001E-2"/>
    <n v="6"/>
    <n v="31"/>
    <n v="0.99860000000000004"/>
    <n v="3.23"/>
    <n v="0.56000000000000005"/>
    <n v="10.1"/>
    <n v="6"/>
    <x v="0"/>
    <s v="High"/>
    <n v="19.57"/>
    <n v="959"/>
    <n v="25"/>
    <x v="1"/>
  </r>
  <r>
    <x v="446"/>
    <n v="12.5"/>
    <n v="0.38"/>
    <n v="0.6"/>
    <n v="2.6"/>
    <n v="8.1000000000000003E-2"/>
    <n v="31"/>
    <n v="72"/>
    <n v="0.99960000000000004"/>
    <n v="3.1"/>
    <n v="0.73"/>
    <n v="10.5"/>
    <n v="5"/>
    <x v="0"/>
    <s v="High"/>
    <n v="21.334999999999997"/>
    <n v="572"/>
    <n v="41"/>
    <x v="0"/>
  </r>
  <r>
    <x v="447"/>
    <n v="9.3000000000000007"/>
    <n v="0.48"/>
    <n v="0.28999999999999998"/>
    <n v="2.1"/>
    <n v="0.127"/>
    <n v="6"/>
    <n v="16"/>
    <n v="0.99680000000000002"/>
    <n v="3.22"/>
    <n v="0.72"/>
    <n v="11.2"/>
    <n v="5"/>
    <x v="0"/>
    <s v="High"/>
    <n v="22.519999999999996"/>
    <n v="361"/>
    <n v="10"/>
    <x v="1"/>
  </r>
  <r>
    <x v="448"/>
    <n v="8.6"/>
    <n v="0.53"/>
    <n v="0.22"/>
    <n v="2"/>
    <n v="0.1"/>
    <n v="7"/>
    <n v="27"/>
    <n v="0.99670000000000003"/>
    <n v="3.2"/>
    <n v="0.56000000000000005"/>
    <n v="10.199999999999999"/>
    <n v="6"/>
    <x v="0"/>
    <s v="High"/>
    <n v="20.18"/>
    <n v="819"/>
    <n v="20"/>
    <x v="1"/>
  </r>
  <r>
    <x v="449"/>
    <n v="11.9"/>
    <n v="0.39"/>
    <n v="0.69"/>
    <n v="2.8"/>
    <n v="9.5000000000000001E-2"/>
    <n v="17"/>
    <n v="35"/>
    <n v="0.99939999999999996"/>
    <n v="3.1"/>
    <n v="0.61"/>
    <n v="10.8"/>
    <n v="6"/>
    <x v="0"/>
    <s v="High"/>
    <n v="21.734999999999999"/>
    <n v="498"/>
    <n v="18"/>
    <x v="0"/>
  </r>
  <r>
    <x v="450"/>
    <n v="11.9"/>
    <n v="0.39"/>
    <n v="0.69"/>
    <n v="2.8"/>
    <n v="9.5000000000000001E-2"/>
    <n v="17"/>
    <n v="35"/>
    <n v="0.99939999999999996"/>
    <n v="3.1"/>
    <n v="0.61"/>
    <n v="10.8"/>
    <n v="6"/>
    <x v="0"/>
    <s v="High"/>
    <n v="21.734999999999999"/>
    <n v="498"/>
    <n v="18"/>
    <x v="0"/>
  </r>
  <r>
    <x v="451"/>
    <n v="8.4"/>
    <n v="0.37"/>
    <n v="0.53"/>
    <n v="1.8"/>
    <n v="0.41299999999999998"/>
    <n v="9"/>
    <n v="26"/>
    <n v="0.99790000000000001"/>
    <n v="3.06"/>
    <n v="1.06"/>
    <n v="9.1"/>
    <n v="6"/>
    <x v="0"/>
    <s v="High"/>
    <n v="19.05"/>
    <n v="1147"/>
    <n v="17"/>
    <x v="0"/>
  </r>
  <r>
    <x v="452"/>
    <n v="6.8"/>
    <n v="0.56000000000000005"/>
    <n v="0.03"/>
    <n v="1.7"/>
    <n v="8.4000000000000005E-2"/>
    <n v="18"/>
    <n v="35"/>
    <n v="0.99680000000000002"/>
    <n v="3.44"/>
    <n v="0.63"/>
    <n v="10"/>
    <n v="6"/>
    <x v="0"/>
    <s v="Normal"/>
    <n v="19.824999999999999"/>
    <n v="899"/>
    <n v="17"/>
    <x v="1"/>
  </r>
  <r>
    <x v="453"/>
    <n v="10.4"/>
    <n v="0.33"/>
    <n v="0.63"/>
    <n v="2.8"/>
    <n v="8.4000000000000005E-2"/>
    <n v="5"/>
    <n v="22"/>
    <n v="0.99980000000000002"/>
    <n v="3.26"/>
    <n v="0.74"/>
    <n v="11.2"/>
    <n v="7"/>
    <x v="1"/>
    <s v="High"/>
    <n v="22.849999999999998"/>
    <n v="304"/>
    <n v="17"/>
    <x v="1"/>
  </r>
  <r>
    <x v="454"/>
    <n v="7"/>
    <n v="0.23"/>
    <n v="0.4"/>
    <n v="1.6"/>
    <n v="6.3E-2"/>
    <n v="21"/>
    <n v="67"/>
    <n v="0.99519999999999997"/>
    <n v="3.5"/>
    <n v="0.63"/>
    <n v="11.1"/>
    <n v="5"/>
    <x v="0"/>
    <s v="Normal"/>
    <n v="22.684999999999999"/>
    <n v="329"/>
    <n v="46"/>
    <x v="1"/>
  </r>
  <r>
    <x v="455"/>
    <n v="11.3"/>
    <n v="0.62"/>
    <n v="0.67"/>
    <n v="5.2"/>
    <n v="8.5999999999999993E-2"/>
    <n v="6"/>
    <n v="19"/>
    <n v="0.99880000000000002"/>
    <n v="3.22"/>
    <n v="0.69"/>
    <n v="13.4"/>
    <n v="8"/>
    <x v="1"/>
    <s v="High"/>
    <n v="26.595000000000002"/>
    <n v="20"/>
    <n v="13"/>
    <x v="1"/>
  </r>
  <r>
    <x v="456"/>
    <n v="8.9"/>
    <n v="0.59"/>
    <n v="0.39"/>
    <n v="2.2999999999999998"/>
    <n v="9.5000000000000001E-2"/>
    <n v="5"/>
    <n v="22"/>
    <n v="0.99860000000000004"/>
    <n v="3.37"/>
    <n v="0.57999999999999996"/>
    <n v="10.3"/>
    <n v="5"/>
    <x v="0"/>
    <s v="Normal"/>
    <n v="20.290000000000003"/>
    <n v="794"/>
    <n v="17"/>
    <x v="1"/>
  </r>
  <r>
    <x v="457"/>
    <n v="9.1999999999999993"/>
    <n v="0.63"/>
    <n v="0.21"/>
    <n v="2.7"/>
    <n v="9.7000000000000003E-2"/>
    <n v="29"/>
    <n v="65"/>
    <n v="0.99880000000000002"/>
    <n v="3.28"/>
    <n v="0.57999999999999996"/>
    <n v="9.6"/>
    <n v="5"/>
    <x v="0"/>
    <s v="High"/>
    <n v="18.809999999999999"/>
    <n v="1244"/>
    <n v="36"/>
    <x v="0"/>
  </r>
  <r>
    <x v="458"/>
    <n v="10.4"/>
    <n v="0.33"/>
    <n v="0.63"/>
    <n v="2.8"/>
    <n v="8.4000000000000005E-2"/>
    <n v="5"/>
    <n v="22"/>
    <n v="0.99980000000000002"/>
    <n v="3.26"/>
    <n v="0.74"/>
    <n v="11.2"/>
    <n v="7"/>
    <x v="1"/>
    <s v="High"/>
    <n v="22.849999999999998"/>
    <n v="304"/>
    <n v="17"/>
    <x v="1"/>
  </r>
  <r>
    <x v="459"/>
    <n v="11.6"/>
    <n v="0.57999999999999996"/>
    <n v="0.66"/>
    <n v="2.2000000000000002"/>
    <n v="7.3999999999999996E-2"/>
    <n v="10"/>
    <n v="47"/>
    <n v="1.0007999999999999"/>
    <n v="3.25"/>
    <n v="0.56999999999999995"/>
    <n v="9"/>
    <n v="3"/>
    <x v="2"/>
    <s v="High"/>
    <n v="17.695"/>
    <n v="1572"/>
    <n v="37"/>
    <x v="0"/>
  </r>
  <r>
    <x v="460"/>
    <n v="9.1999999999999993"/>
    <n v="0.43"/>
    <n v="0.52"/>
    <n v="2.2999999999999998"/>
    <n v="8.3000000000000004E-2"/>
    <n v="14"/>
    <n v="23"/>
    <n v="0.99760000000000004"/>
    <n v="3.35"/>
    <n v="0.61"/>
    <n v="11.3"/>
    <n v="6"/>
    <x v="0"/>
    <s v="Normal"/>
    <n v="22.655000000000001"/>
    <n v="335"/>
    <n v="9"/>
    <x v="1"/>
  </r>
  <r>
    <x v="461"/>
    <n v="8.3000000000000007"/>
    <n v="0.61499999999999999"/>
    <n v="0.22"/>
    <n v="2.6"/>
    <n v="8.6999999999999994E-2"/>
    <n v="6"/>
    <n v="19"/>
    <n v="0.99819999999999998"/>
    <n v="3.26"/>
    <n v="0.61"/>
    <n v="9.3000000000000007"/>
    <n v="5"/>
    <x v="0"/>
    <s v="Normal"/>
    <n v="18.285"/>
    <n v="1457"/>
    <n v="13"/>
    <x v="0"/>
  </r>
  <r>
    <x v="462"/>
    <n v="11"/>
    <n v="0.26"/>
    <n v="0.68"/>
    <n v="2.5499999999999998"/>
    <n v="8.5000000000000006E-2"/>
    <n v="10"/>
    <n v="25"/>
    <n v="0.997"/>
    <n v="3.18"/>
    <n v="0.61"/>
    <n v="11.8"/>
    <n v="5"/>
    <x v="0"/>
    <s v="High"/>
    <n v="23.995000000000001"/>
    <n v="182"/>
    <n v="15"/>
    <x v="0"/>
  </r>
  <r>
    <x v="463"/>
    <n v="8.1"/>
    <n v="0.66"/>
    <n v="0.7"/>
    <n v="2.2000000000000002"/>
    <n v="9.8000000000000004E-2"/>
    <n v="25"/>
    <n v="129"/>
    <n v="0.99719999999999998"/>
    <n v="3.08"/>
    <n v="0.53"/>
    <n v="9"/>
    <n v="5"/>
    <x v="0"/>
    <s v="Normal"/>
    <n v="17.475000000000001"/>
    <n v="1587"/>
    <n v="104"/>
    <x v="0"/>
  </r>
  <r>
    <x v="464"/>
    <n v="11.5"/>
    <n v="0.315"/>
    <n v="0.54"/>
    <n v="2.1"/>
    <n v="8.4000000000000005E-2"/>
    <n v="5"/>
    <n v="15"/>
    <n v="0.99870000000000003"/>
    <n v="2.98"/>
    <n v="0.7"/>
    <n v="9.1999999999999993"/>
    <n v="6"/>
    <x v="0"/>
    <s v="High"/>
    <n v="18.82"/>
    <n v="1240"/>
    <n v="10"/>
    <x v="0"/>
  </r>
  <r>
    <x v="465"/>
    <n v="10"/>
    <n v="0.28999999999999998"/>
    <n v="0.4"/>
    <n v="2.9"/>
    <n v="9.8000000000000004E-2"/>
    <n v="10"/>
    <n v="26"/>
    <n v="1.0005999999999999"/>
    <n v="3.48"/>
    <n v="0.91"/>
    <n v="9.6999999999999993"/>
    <n v="5"/>
    <x v="0"/>
    <s v="Normal"/>
    <n v="20.184999999999999"/>
    <n v="818"/>
    <n v="16"/>
    <x v="0"/>
  </r>
  <r>
    <x v="466"/>
    <n v="10.3"/>
    <n v="0.5"/>
    <n v="0.42"/>
    <n v="2"/>
    <n v="6.9000000000000006E-2"/>
    <n v="21"/>
    <n v="51"/>
    <n v="0.99819999999999998"/>
    <n v="3.16"/>
    <n v="0.72"/>
    <n v="11.5"/>
    <n v="6"/>
    <x v="0"/>
    <s v="High"/>
    <n v="23.08"/>
    <n v="261"/>
    <n v="30"/>
    <x v="0"/>
  </r>
  <r>
    <x v="467"/>
    <n v="8.8000000000000007"/>
    <n v="0.46"/>
    <n v="0.45"/>
    <n v="2.6"/>
    <n v="6.5000000000000002E-2"/>
    <n v="7"/>
    <n v="18"/>
    <n v="0.99470000000000003"/>
    <n v="3.32"/>
    <n v="0.79"/>
    <n v="14"/>
    <n v="6"/>
    <x v="0"/>
    <s v="Normal"/>
    <n v="28.264999999999997"/>
    <n v="7"/>
    <n v="11"/>
    <x v="1"/>
  </r>
  <r>
    <x v="468"/>
    <n v="11.4"/>
    <n v="0.36"/>
    <n v="0.69"/>
    <n v="2.1"/>
    <n v="0.09"/>
    <n v="6"/>
    <n v="21"/>
    <n v="1"/>
    <n v="3.17"/>
    <n v="0.62"/>
    <n v="9.1999999999999993"/>
    <n v="6"/>
    <x v="0"/>
    <s v="High"/>
    <n v="18.61"/>
    <n v="1343"/>
    <n v="15"/>
    <x v="0"/>
  </r>
  <r>
    <x v="469"/>
    <n v="8.6999999999999993"/>
    <n v="0.82"/>
    <n v="0.02"/>
    <n v="1.2"/>
    <n v="7.0000000000000007E-2"/>
    <n v="36"/>
    <n v="48"/>
    <n v="0.99519999999999997"/>
    <n v="3.2"/>
    <n v="0.57999999999999996"/>
    <n v="9.8000000000000007"/>
    <n v="5"/>
    <x v="0"/>
    <s v="High"/>
    <n v="18.830000000000002"/>
    <n v="1232"/>
    <n v="12"/>
    <x v="0"/>
  </r>
  <r>
    <x v="470"/>
    <n v="13"/>
    <n v="0.32"/>
    <n v="0.65"/>
    <n v="2.6"/>
    <n v="9.2999999999999999E-2"/>
    <n v="15"/>
    <n v="47"/>
    <n v="0.99960000000000004"/>
    <n v="3.05"/>
    <n v="0.61"/>
    <n v="10.6"/>
    <n v="5"/>
    <x v="0"/>
    <s v="High"/>
    <n v="21.474999999999998"/>
    <n v="545"/>
    <n v="32"/>
    <x v="0"/>
  </r>
  <r>
    <x v="471"/>
    <n v="9.6"/>
    <n v="0.54"/>
    <n v="0.42"/>
    <n v="2.4"/>
    <n v="8.1000000000000003E-2"/>
    <n v="25"/>
    <n v="52"/>
    <n v="0.997"/>
    <n v="3.2"/>
    <n v="0.71"/>
    <n v="11.4"/>
    <n v="6"/>
    <x v="0"/>
    <s v="High"/>
    <n v="22.785000000000004"/>
    <n v="316"/>
    <n v="27"/>
    <x v="1"/>
  </r>
  <r>
    <x v="472"/>
    <n v="12.5"/>
    <n v="0.37"/>
    <n v="0.55000000000000004"/>
    <n v="2.6"/>
    <n v="8.3000000000000004E-2"/>
    <n v="25"/>
    <n v="68"/>
    <n v="0.99950000000000006"/>
    <n v="3.15"/>
    <n v="0.82"/>
    <n v="10.4"/>
    <n v="6"/>
    <x v="0"/>
    <s v="High"/>
    <n v="21.290000000000003"/>
    <n v="583"/>
    <n v="43"/>
    <x v="0"/>
  </r>
  <r>
    <x v="473"/>
    <n v="9.9"/>
    <n v="0.35"/>
    <n v="0.55000000000000004"/>
    <n v="2.1"/>
    <n v="6.2E-2"/>
    <n v="5"/>
    <n v="14"/>
    <n v="0.99709999999999999"/>
    <n v="3.26"/>
    <n v="0.79"/>
    <n v="10.6"/>
    <n v="5"/>
    <x v="0"/>
    <s v="High"/>
    <n v="21.684999999999999"/>
    <n v="509"/>
    <n v="9"/>
    <x v="1"/>
  </r>
  <r>
    <x v="474"/>
    <n v="10.5"/>
    <n v="0.28000000000000003"/>
    <n v="0.51"/>
    <n v="1.7"/>
    <n v="0.08"/>
    <n v="10"/>
    <n v="24"/>
    <n v="0.99819999999999998"/>
    <n v="3.2"/>
    <n v="0.89"/>
    <n v="9.4"/>
    <n v="6"/>
    <x v="0"/>
    <s v="High"/>
    <n v="19.575000000000003"/>
    <n v="956"/>
    <n v="14"/>
    <x v="0"/>
  </r>
  <r>
    <x v="475"/>
    <n v="9.6"/>
    <n v="0.68"/>
    <n v="0.24"/>
    <n v="2.2000000000000002"/>
    <n v="8.6999999999999994E-2"/>
    <n v="5"/>
    <n v="28"/>
    <n v="0.99880000000000002"/>
    <n v="3.14"/>
    <n v="0.6"/>
    <n v="10.199999999999999"/>
    <n v="5"/>
    <x v="0"/>
    <s v="High"/>
    <n v="19.939999999999998"/>
    <n v="865"/>
    <n v="23"/>
    <x v="0"/>
  </r>
  <r>
    <x v="476"/>
    <n v="9.3000000000000007"/>
    <n v="0.27"/>
    <n v="0.41"/>
    <n v="2"/>
    <n v="9.0999999999999998E-2"/>
    <n v="6"/>
    <n v="16"/>
    <n v="0.998"/>
    <n v="3.28"/>
    <n v="0.7"/>
    <n v="9.6999999999999993"/>
    <n v="5"/>
    <x v="0"/>
    <s v="High"/>
    <n v="19.91"/>
    <n v="877"/>
    <n v="10"/>
    <x v="0"/>
  </r>
  <r>
    <x v="477"/>
    <n v="10.4"/>
    <n v="0.24"/>
    <n v="0.49"/>
    <n v="1.8"/>
    <n v="7.4999999999999997E-2"/>
    <n v="6"/>
    <n v="20"/>
    <n v="0.99770000000000003"/>
    <n v="3.18"/>
    <n v="1.06"/>
    <n v="11"/>
    <n v="6"/>
    <x v="0"/>
    <s v="High"/>
    <n v="23.11"/>
    <n v="258"/>
    <n v="14"/>
    <x v="0"/>
  </r>
  <r>
    <x v="478"/>
    <n v="9.6"/>
    <n v="0.68"/>
    <n v="0.24"/>
    <n v="2.2000000000000002"/>
    <n v="8.6999999999999994E-2"/>
    <n v="5"/>
    <n v="28"/>
    <n v="0.99880000000000002"/>
    <n v="3.14"/>
    <n v="0.6"/>
    <n v="10.199999999999999"/>
    <n v="5"/>
    <x v="0"/>
    <s v="High"/>
    <n v="19.939999999999998"/>
    <n v="865"/>
    <n v="23"/>
    <x v="0"/>
  </r>
  <r>
    <x v="479"/>
    <n v="9.4"/>
    <n v="0.68500000000000005"/>
    <n v="0.11"/>
    <n v="2.7"/>
    <n v="7.6999999999999999E-2"/>
    <n v="6"/>
    <n v="31"/>
    <n v="0.99839999999999995"/>
    <n v="3.19"/>
    <n v="0.7"/>
    <n v="10.1"/>
    <n v="6"/>
    <x v="0"/>
    <s v="High"/>
    <n v="19.88"/>
    <n v="884"/>
    <n v="25"/>
    <x v="0"/>
  </r>
  <r>
    <x v="480"/>
    <n v="10.6"/>
    <n v="0.28000000000000003"/>
    <n v="0.39"/>
    <n v="15.5"/>
    <n v="6.9000000000000006E-2"/>
    <n v="6"/>
    <n v="23"/>
    <n v="1.0025999999999999"/>
    <n v="3.12"/>
    <n v="0.66"/>
    <n v="9.1999999999999993"/>
    <n v="5"/>
    <x v="0"/>
    <s v="High"/>
    <n v="18.829999999999998"/>
    <n v="1235"/>
    <n v="17"/>
    <x v="0"/>
  </r>
  <r>
    <x v="481"/>
    <n v="9.4"/>
    <n v="0.3"/>
    <n v="0.56000000000000005"/>
    <n v="2.8"/>
    <n v="0.08"/>
    <n v="6"/>
    <n v="17"/>
    <n v="0.99639999999999995"/>
    <n v="3.15"/>
    <n v="0.92"/>
    <n v="11.7"/>
    <n v="8"/>
    <x v="1"/>
    <s v="High"/>
    <n v="24.179999999999996"/>
    <n v="158"/>
    <n v="11"/>
    <x v="0"/>
  </r>
  <r>
    <x v="482"/>
    <n v="10.6"/>
    <n v="0.36"/>
    <n v="0.59"/>
    <n v="2.2000000000000002"/>
    <n v="0.152"/>
    <n v="6"/>
    <n v="18"/>
    <n v="0.99860000000000004"/>
    <n v="3.04"/>
    <n v="1.05"/>
    <n v="9.4"/>
    <n v="5"/>
    <x v="0"/>
    <s v="High"/>
    <n v="19.655000000000001"/>
    <n v="936"/>
    <n v="12"/>
    <x v="0"/>
  </r>
  <r>
    <x v="483"/>
    <n v="10.6"/>
    <n v="0.36"/>
    <n v="0.6"/>
    <n v="2.2000000000000002"/>
    <n v="0.152"/>
    <n v="7"/>
    <n v="18"/>
    <n v="0.99860000000000004"/>
    <n v="3.04"/>
    <n v="1.06"/>
    <n v="9.4"/>
    <n v="5"/>
    <x v="0"/>
    <s v="High"/>
    <n v="19.670000000000002"/>
    <n v="932"/>
    <n v="11"/>
    <x v="0"/>
  </r>
  <r>
    <x v="484"/>
    <n v="10.6"/>
    <n v="0.44"/>
    <n v="0.68"/>
    <n v="4.0999999999999996"/>
    <n v="0.114"/>
    <n v="6"/>
    <n v="24"/>
    <n v="0.997"/>
    <n v="3.06"/>
    <n v="0.66"/>
    <n v="13.4"/>
    <n v="6"/>
    <x v="0"/>
    <s v="High"/>
    <n v="26.91"/>
    <n v="17"/>
    <n v="18"/>
    <x v="0"/>
  </r>
  <r>
    <x v="485"/>
    <n v="10.199999999999999"/>
    <n v="0.67"/>
    <n v="0.39"/>
    <n v="1.9"/>
    <n v="5.3999999999999999E-2"/>
    <n v="6"/>
    <n v="17"/>
    <n v="0.99760000000000004"/>
    <n v="3.17"/>
    <n v="0.47"/>
    <n v="10"/>
    <n v="5"/>
    <x v="0"/>
    <s v="High"/>
    <n v="19.364999999999998"/>
    <n v="1018"/>
    <n v="11"/>
    <x v="0"/>
  </r>
  <r>
    <x v="486"/>
    <n v="10.199999999999999"/>
    <n v="0.67"/>
    <n v="0.39"/>
    <n v="1.9"/>
    <n v="5.3999999999999999E-2"/>
    <n v="6"/>
    <n v="17"/>
    <n v="0.99760000000000004"/>
    <n v="3.17"/>
    <n v="0.47"/>
    <n v="10"/>
    <n v="5"/>
    <x v="0"/>
    <s v="High"/>
    <n v="19.364999999999998"/>
    <n v="1018"/>
    <n v="11"/>
    <x v="0"/>
  </r>
  <r>
    <x v="487"/>
    <n v="10.199999999999999"/>
    <n v="0.64500000000000002"/>
    <n v="0.36"/>
    <n v="1.8"/>
    <n v="5.2999999999999999E-2"/>
    <n v="5"/>
    <n v="14"/>
    <n v="0.99819999999999998"/>
    <n v="3.17"/>
    <n v="0.42"/>
    <n v="10"/>
    <n v="6"/>
    <x v="0"/>
    <s v="High"/>
    <n v="19.34"/>
    <n v="1028"/>
    <n v="9"/>
    <x v="0"/>
  </r>
  <r>
    <x v="488"/>
    <n v="11.6"/>
    <n v="0.32"/>
    <n v="0.55000000000000004"/>
    <n v="2.8"/>
    <n v="8.1000000000000003E-2"/>
    <n v="35"/>
    <n v="67"/>
    <n v="1.0002"/>
    <n v="3.32"/>
    <n v="0.92"/>
    <n v="10.8"/>
    <n v="7"/>
    <x v="1"/>
    <s v="Normal"/>
    <n v="22.34"/>
    <n v="402"/>
    <n v="32"/>
    <x v="1"/>
  </r>
  <r>
    <x v="489"/>
    <n v="9.3000000000000007"/>
    <n v="0.39"/>
    <n v="0.4"/>
    <n v="2.6"/>
    <n v="7.2999999999999995E-2"/>
    <n v="10"/>
    <n v="26"/>
    <n v="0.99839999999999995"/>
    <n v="3.34"/>
    <n v="0.75"/>
    <n v="10.199999999999999"/>
    <n v="6"/>
    <x v="0"/>
    <s v="Normal"/>
    <n v="20.744999999999997"/>
    <n v="717"/>
    <n v="16"/>
    <x v="1"/>
  </r>
  <r>
    <x v="490"/>
    <n v="9.3000000000000007"/>
    <n v="0.77500000000000002"/>
    <n v="0.27"/>
    <n v="2.8"/>
    <n v="7.8E-2"/>
    <n v="24"/>
    <n v="56"/>
    <n v="0.99839999999999995"/>
    <n v="3.31"/>
    <n v="0.67"/>
    <n v="10.6"/>
    <n v="6"/>
    <x v="0"/>
    <s v="High"/>
    <n v="20.654999999999998"/>
    <n v="731"/>
    <n v="32"/>
    <x v="1"/>
  </r>
  <r>
    <x v="491"/>
    <n v="9.1999999999999993"/>
    <n v="0.41"/>
    <n v="0.5"/>
    <n v="2.5"/>
    <n v="5.5E-2"/>
    <n v="12"/>
    <n v="25"/>
    <n v="0.99519999999999997"/>
    <n v="3.34"/>
    <n v="0.79"/>
    <n v="13.3"/>
    <n v="7"/>
    <x v="1"/>
    <s v="Normal"/>
    <n v="26.965"/>
    <n v="16"/>
    <n v="13"/>
    <x v="1"/>
  </r>
  <r>
    <x v="492"/>
    <n v="8.9"/>
    <n v="0.4"/>
    <n v="0.51"/>
    <n v="2.6"/>
    <n v="5.1999999999999998E-2"/>
    <n v="13"/>
    <n v="27"/>
    <n v="0.995"/>
    <n v="3.32"/>
    <n v="0.9"/>
    <n v="13.4"/>
    <n v="7"/>
    <x v="1"/>
    <s v="Normal"/>
    <n v="27.35"/>
    <n v="14"/>
    <n v="14"/>
    <x v="1"/>
  </r>
  <r>
    <x v="493"/>
    <n v="8.6999999999999993"/>
    <n v="0.69"/>
    <n v="0.31"/>
    <n v="3"/>
    <n v="8.5999999999999993E-2"/>
    <n v="23"/>
    <n v="81"/>
    <n v="1.0002"/>
    <n v="3.48"/>
    <n v="0.74"/>
    <n v="11.6"/>
    <n v="6"/>
    <x v="0"/>
    <s v="Normal"/>
    <n v="22.93"/>
    <n v="283"/>
    <n v="58"/>
    <x v="1"/>
  </r>
  <r>
    <x v="494"/>
    <n v="6.5"/>
    <n v="0.39"/>
    <n v="0.23"/>
    <n v="8.3000000000000007"/>
    <n v="5.0999999999999997E-2"/>
    <n v="28"/>
    <n v="91"/>
    <n v="0.99519999999999997"/>
    <n v="3.44"/>
    <n v="0.55000000000000004"/>
    <n v="12.1"/>
    <n v="6"/>
    <x v="0"/>
    <s v="Normal"/>
    <n v="24.244999999999997"/>
    <n v="156"/>
    <n v="63"/>
    <x v="1"/>
  </r>
  <r>
    <x v="495"/>
    <n v="10.7"/>
    <n v="0.35"/>
    <n v="0.53"/>
    <n v="2.6"/>
    <n v="7.0000000000000007E-2"/>
    <n v="5"/>
    <n v="16"/>
    <n v="0.99719999999999998"/>
    <n v="3.15"/>
    <n v="0.65"/>
    <n v="11"/>
    <n v="8"/>
    <x v="1"/>
    <s v="High"/>
    <n v="22.275000000000002"/>
    <n v="407"/>
    <n v="11"/>
    <x v="0"/>
  </r>
  <r>
    <x v="496"/>
    <n v="7.8"/>
    <n v="0.52"/>
    <n v="0.25"/>
    <n v="1.9"/>
    <n v="8.1000000000000003E-2"/>
    <n v="14"/>
    <n v="38"/>
    <n v="0.99839999999999995"/>
    <n v="3.43"/>
    <n v="0.65"/>
    <n v="9"/>
    <n v="6"/>
    <x v="0"/>
    <s v="Normal"/>
    <n v="17.935000000000002"/>
    <n v="1531"/>
    <n v="24"/>
    <x v="0"/>
  </r>
  <r>
    <x v="497"/>
    <n v="7.2"/>
    <n v="0.34"/>
    <n v="0.32"/>
    <n v="2.5"/>
    <n v="0.09"/>
    <n v="43"/>
    <n v="113"/>
    <n v="0.99660000000000004"/>
    <n v="3.32"/>
    <n v="0.79"/>
    <n v="11.1"/>
    <n v="5"/>
    <x v="0"/>
    <s v="Normal"/>
    <n v="22.704999999999998"/>
    <n v="325"/>
    <n v="70"/>
    <x v="1"/>
  </r>
  <r>
    <x v="498"/>
    <n v="10.7"/>
    <n v="0.35"/>
    <n v="0.53"/>
    <n v="2.6"/>
    <n v="7.0000000000000007E-2"/>
    <n v="5"/>
    <n v="16"/>
    <n v="0.99719999999999998"/>
    <n v="3.15"/>
    <n v="0.65"/>
    <n v="11"/>
    <n v="8"/>
    <x v="1"/>
    <s v="High"/>
    <n v="22.275000000000002"/>
    <n v="407"/>
    <n v="11"/>
    <x v="0"/>
  </r>
  <r>
    <x v="499"/>
    <n v="8.6999999999999993"/>
    <n v="0.69"/>
    <n v="0.31"/>
    <n v="3"/>
    <n v="8.5999999999999993E-2"/>
    <n v="23"/>
    <n v="81"/>
    <n v="1.0002"/>
    <n v="3.48"/>
    <n v="0.74"/>
    <n v="11.6"/>
    <n v="6"/>
    <x v="0"/>
    <s v="Normal"/>
    <n v="22.93"/>
    <n v="283"/>
    <n v="58"/>
    <x v="1"/>
  </r>
  <r>
    <x v="500"/>
    <n v="7.8"/>
    <n v="0.52"/>
    <n v="0.25"/>
    <n v="1.9"/>
    <n v="8.1000000000000003E-2"/>
    <n v="14"/>
    <n v="38"/>
    <n v="0.99839999999999995"/>
    <n v="3.43"/>
    <n v="0.65"/>
    <n v="9"/>
    <n v="6"/>
    <x v="0"/>
    <s v="Normal"/>
    <n v="17.935000000000002"/>
    <n v="1531"/>
    <n v="24"/>
    <x v="0"/>
  </r>
  <r>
    <x v="501"/>
    <n v="10.4"/>
    <n v="0.44"/>
    <n v="0.73"/>
    <n v="6.55"/>
    <n v="7.3999999999999996E-2"/>
    <n v="38"/>
    <n v="76"/>
    <n v="0.999"/>
    <n v="3.17"/>
    <n v="0.85"/>
    <n v="12"/>
    <n v="7"/>
    <x v="1"/>
    <s v="High"/>
    <n v="24.395"/>
    <n v="141"/>
    <n v="38"/>
    <x v="0"/>
  </r>
  <r>
    <x v="502"/>
    <n v="10.4"/>
    <n v="0.44"/>
    <n v="0.73"/>
    <n v="6.55"/>
    <n v="7.3999999999999996E-2"/>
    <n v="38"/>
    <n v="76"/>
    <n v="0.999"/>
    <n v="3.17"/>
    <n v="0.85"/>
    <n v="12"/>
    <n v="7"/>
    <x v="1"/>
    <s v="High"/>
    <n v="24.395"/>
    <n v="141"/>
    <n v="38"/>
    <x v="0"/>
  </r>
  <r>
    <x v="503"/>
    <n v="10.5"/>
    <n v="0.26"/>
    <n v="0.47"/>
    <n v="1.9"/>
    <n v="7.8E-2"/>
    <n v="6"/>
    <n v="24"/>
    <n v="0.99760000000000004"/>
    <n v="3.18"/>
    <n v="1.04"/>
    <n v="10.9"/>
    <n v="7"/>
    <x v="1"/>
    <s v="High"/>
    <n v="22.84"/>
    <n v="306"/>
    <n v="18"/>
    <x v="0"/>
  </r>
  <r>
    <x v="504"/>
    <n v="10.5"/>
    <n v="0.24"/>
    <n v="0.42"/>
    <n v="1.8"/>
    <n v="7.6999999999999999E-2"/>
    <n v="6"/>
    <n v="22"/>
    <n v="0.99760000000000004"/>
    <n v="3.21"/>
    <n v="1.05"/>
    <n v="10.8"/>
    <n v="7"/>
    <x v="1"/>
    <s v="High"/>
    <n v="22.695"/>
    <n v="326"/>
    <n v="16"/>
    <x v="1"/>
  </r>
  <r>
    <x v="505"/>
    <n v="10.199999999999999"/>
    <n v="0.49"/>
    <n v="0.63"/>
    <n v="2.9"/>
    <n v="7.1999999999999995E-2"/>
    <n v="10"/>
    <n v="26"/>
    <n v="0.99680000000000002"/>
    <n v="3.16"/>
    <n v="0.78"/>
    <n v="12.5"/>
    <n v="7"/>
    <x v="1"/>
    <s v="High"/>
    <n v="25.19"/>
    <n v="82"/>
    <n v="16"/>
    <x v="0"/>
  </r>
  <r>
    <x v="506"/>
    <n v="10.4"/>
    <n v="0.24"/>
    <n v="0.46"/>
    <n v="1.8"/>
    <n v="7.4999999999999997E-2"/>
    <n v="6"/>
    <n v="21"/>
    <n v="0.99760000000000004"/>
    <n v="3.25"/>
    <n v="1.02"/>
    <n v="10.8"/>
    <n v="7"/>
    <x v="1"/>
    <s v="High"/>
    <n v="22.650000000000002"/>
    <n v="336"/>
    <n v="15"/>
    <x v="1"/>
  </r>
  <r>
    <x v="507"/>
    <n v="11.2"/>
    <n v="0.67"/>
    <n v="0.55000000000000004"/>
    <n v="2.2999999999999998"/>
    <n v="8.4000000000000005E-2"/>
    <n v="6"/>
    <n v="13"/>
    <n v="1"/>
    <n v="3.17"/>
    <n v="0.71"/>
    <n v="9.5"/>
    <n v="6"/>
    <x v="0"/>
    <s v="High"/>
    <n v="18.725000000000001"/>
    <n v="1274"/>
    <n v="7"/>
    <x v="0"/>
  </r>
  <r>
    <x v="508"/>
    <n v="10"/>
    <n v="0.59"/>
    <n v="0.31"/>
    <n v="2.2000000000000002"/>
    <n v="0.09"/>
    <n v="26"/>
    <n v="62"/>
    <n v="0.99939999999999996"/>
    <n v="3.18"/>
    <n v="0.63"/>
    <n v="10.199999999999999"/>
    <n v="6"/>
    <x v="0"/>
    <s v="High"/>
    <n v="20.164999999999999"/>
    <n v="824"/>
    <n v="36"/>
    <x v="0"/>
  </r>
  <r>
    <x v="509"/>
    <n v="13.3"/>
    <n v="0.28999999999999998"/>
    <n v="0.75"/>
    <n v="2.8"/>
    <n v="8.4000000000000005E-2"/>
    <n v="23"/>
    <n v="43"/>
    <n v="0.99860000000000004"/>
    <n v="3.04"/>
    <n v="0.68"/>
    <n v="11.4"/>
    <n v="7"/>
    <x v="1"/>
    <s v="High"/>
    <n v="23.240000000000002"/>
    <n v="242"/>
    <n v="20"/>
    <x v="0"/>
  </r>
  <r>
    <x v="510"/>
    <n v="12.4"/>
    <n v="0.42"/>
    <n v="0.49"/>
    <n v="4.5999999999999996"/>
    <n v="7.2999999999999995E-2"/>
    <n v="19"/>
    <n v="43"/>
    <n v="0.99780000000000002"/>
    <n v="3.02"/>
    <n v="0.61"/>
    <n v="9.5"/>
    <n v="5"/>
    <x v="0"/>
    <s v="High"/>
    <n v="19.074999999999999"/>
    <n v="1134"/>
    <n v="24"/>
    <x v="0"/>
  </r>
  <r>
    <x v="511"/>
    <n v="10"/>
    <n v="0.59"/>
    <n v="0.31"/>
    <n v="2.2000000000000002"/>
    <n v="0.09"/>
    <n v="26"/>
    <n v="62"/>
    <n v="0.99939999999999996"/>
    <n v="3.18"/>
    <n v="0.63"/>
    <n v="10.199999999999999"/>
    <n v="6"/>
    <x v="0"/>
    <s v="High"/>
    <n v="20.164999999999999"/>
    <n v="824"/>
    <n v="36"/>
    <x v="0"/>
  </r>
  <r>
    <x v="512"/>
    <n v="10.7"/>
    <n v="0.4"/>
    <n v="0.48"/>
    <n v="2.1"/>
    <n v="0.125"/>
    <n v="15"/>
    <n v="49"/>
    <n v="0.998"/>
    <n v="3.03"/>
    <n v="0.81"/>
    <n v="9.6999999999999993"/>
    <n v="6"/>
    <x v="0"/>
    <s v="High"/>
    <n v="19.814999999999998"/>
    <n v="902"/>
    <n v="34"/>
    <x v="0"/>
  </r>
  <r>
    <x v="513"/>
    <n v="10.5"/>
    <n v="0.51"/>
    <n v="0.64"/>
    <n v="2.4"/>
    <n v="0.107"/>
    <n v="6"/>
    <n v="15"/>
    <n v="0.99729999999999996"/>
    <n v="3.09"/>
    <n v="0.66"/>
    <n v="11.8"/>
    <n v="7"/>
    <x v="1"/>
    <s v="High"/>
    <n v="23.57"/>
    <n v="211"/>
    <n v="9"/>
    <x v="0"/>
  </r>
  <r>
    <x v="514"/>
    <n v="10.5"/>
    <n v="0.51"/>
    <n v="0.64"/>
    <n v="2.4"/>
    <n v="0.107"/>
    <n v="6"/>
    <n v="15"/>
    <n v="0.99729999999999996"/>
    <n v="3.09"/>
    <n v="0.66"/>
    <n v="11.8"/>
    <n v="7"/>
    <x v="1"/>
    <s v="High"/>
    <n v="23.57"/>
    <n v="211"/>
    <n v="9"/>
    <x v="0"/>
  </r>
  <r>
    <x v="515"/>
    <n v="8.5"/>
    <n v="0.65500000000000003"/>
    <n v="0.49"/>
    <n v="6.1"/>
    <n v="0.122"/>
    <n v="34"/>
    <n v="151"/>
    <n v="1.0009999999999999"/>
    <n v="3.31"/>
    <n v="1.1399999999999999"/>
    <n v="9.3000000000000007"/>
    <n v="5"/>
    <x v="0"/>
    <s v="High"/>
    <n v="19.000000000000004"/>
    <n v="1167"/>
    <n v="117"/>
    <x v="0"/>
  </r>
  <r>
    <x v="516"/>
    <n v="12.5"/>
    <n v="0.6"/>
    <n v="0.49"/>
    <n v="4.3"/>
    <n v="0.1"/>
    <n v="5"/>
    <n v="14"/>
    <n v="1.0009999999999999"/>
    <n v="3.25"/>
    <n v="0.74"/>
    <n v="11.9"/>
    <n v="6"/>
    <x v="0"/>
    <s v="High"/>
    <n v="23.71"/>
    <n v="200"/>
    <n v="9"/>
    <x v="1"/>
  </r>
  <r>
    <x v="517"/>
    <n v="10.4"/>
    <n v="0.61"/>
    <n v="0.49"/>
    <n v="2.1"/>
    <n v="0.2"/>
    <n v="5"/>
    <n v="16"/>
    <n v="0.99939999999999996"/>
    <n v="3.16"/>
    <n v="0.63"/>
    <n v="8.4"/>
    <n v="3"/>
    <x v="2"/>
    <s v="High"/>
    <n v="16.525000000000002"/>
    <n v="1599"/>
    <n v="11"/>
    <x v="0"/>
  </r>
  <r>
    <x v="518"/>
    <n v="10.9"/>
    <n v="0.21"/>
    <n v="0.49"/>
    <n v="2.8"/>
    <n v="8.7999999999999995E-2"/>
    <n v="11"/>
    <n v="32"/>
    <n v="0.99719999999999998"/>
    <n v="3.22"/>
    <n v="0.68"/>
    <n v="11.7"/>
    <n v="6"/>
    <x v="0"/>
    <s v="High"/>
    <n v="23.999999999999996"/>
    <n v="181"/>
    <n v="21"/>
    <x v="1"/>
  </r>
  <r>
    <x v="519"/>
    <n v="7.3"/>
    <n v="0.36499999999999999"/>
    <n v="0.49"/>
    <n v="2.5"/>
    <n v="8.7999999999999995E-2"/>
    <n v="39"/>
    <n v="106"/>
    <n v="0.99660000000000004"/>
    <n v="3.36"/>
    <n v="0.78"/>
    <n v="11"/>
    <n v="5"/>
    <x v="0"/>
    <s v="Normal"/>
    <n v="22.44"/>
    <n v="384"/>
    <n v="67"/>
    <x v="1"/>
  </r>
  <r>
    <x v="520"/>
    <n v="9.8000000000000007"/>
    <n v="0.25"/>
    <n v="0.49"/>
    <n v="2.7"/>
    <n v="8.7999999999999995E-2"/>
    <n v="15"/>
    <n v="33"/>
    <n v="0.99819999999999998"/>
    <n v="3.42"/>
    <n v="0.9"/>
    <n v="10"/>
    <n v="6"/>
    <x v="0"/>
    <s v="Normal"/>
    <n v="20.85"/>
    <n v="685"/>
    <n v="18"/>
    <x v="1"/>
  </r>
  <r>
    <x v="521"/>
    <n v="7.6"/>
    <n v="0.41"/>
    <n v="0.49"/>
    <n v="2"/>
    <n v="8.7999999999999995E-2"/>
    <n v="16"/>
    <n v="43"/>
    <n v="0.998"/>
    <n v="3.48"/>
    <n v="0.64"/>
    <n v="9.1"/>
    <n v="5"/>
    <x v="0"/>
    <s v="Normal"/>
    <n v="18.34"/>
    <n v="1440"/>
    <n v="27"/>
    <x v="0"/>
  </r>
  <r>
    <x v="522"/>
    <n v="8.1999999999999993"/>
    <n v="0.39"/>
    <n v="0.49"/>
    <n v="2.2999999999999998"/>
    <n v="9.9000000000000005E-2"/>
    <n v="47"/>
    <n v="133"/>
    <n v="0.99790000000000001"/>
    <n v="3.38"/>
    <n v="0.99"/>
    <n v="9.8000000000000007"/>
    <n v="5"/>
    <x v="0"/>
    <s v="Normal"/>
    <n v="20.305"/>
    <n v="791"/>
    <n v="86"/>
    <x v="0"/>
  </r>
  <r>
    <x v="523"/>
    <n v="9.3000000000000007"/>
    <n v="0.4"/>
    <n v="0.49"/>
    <n v="2.5"/>
    <n v="8.5000000000000006E-2"/>
    <n v="38"/>
    <n v="142"/>
    <n v="0.99780000000000002"/>
    <n v="3.22"/>
    <n v="0.55000000000000004"/>
    <n v="9.4"/>
    <n v="5"/>
    <x v="0"/>
    <s v="High"/>
    <n v="18.824999999999999"/>
    <n v="1238"/>
    <n v="104"/>
    <x v="0"/>
  </r>
  <r>
    <x v="524"/>
    <n v="9.1999999999999993"/>
    <n v="0.43"/>
    <n v="0.49"/>
    <n v="2.4"/>
    <n v="8.5999999999999993E-2"/>
    <n v="23"/>
    <n v="116"/>
    <n v="0.99760000000000004"/>
    <n v="3.23"/>
    <n v="0.64"/>
    <n v="9.5"/>
    <n v="5"/>
    <x v="0"/>
    <s v="High"/>
    <n v="19.100000000000001"/>
    <n v="1121"/>
    <n v="93"/>
    <x v="0"/>
  </r>
  <r>
    <x v="525"/>
    <n v="10.4"/>
    <n v="0.64"/>
    <n v="0.24"/>
    <n v="2.8"/>
    <n v="0.105"/>
    <n v="29"/>
    <n v="53"/>
    <n v="0.99980000000000002"/>
    <n v="3.24"/>
    <n v="0.67"/>
    <n v="9.9"/>
    <n v="5"/>
    <x v="0"/>
    <s v="High"/>
    <n v="19.524999999999999"/>
    <n v="969"/>
    <n v="24"/>
    <x v="0"/>
  </r>
  <r>
    <x v="526"/>
    <n v="7.3"/>
    <n v="0.36499999999999999"/>
    <n v="0.49"/>
    <n v="2.5"/>
    <n v="8.7999999999999995E-2"/>
    <n v="39"/>
    <n v="106"/>
    <n v="0.99660000000000004"/>
    <n v="3.36"/>
    <n v="0.78"/>
    <n v="11"/>
    <n v="5"/>
    <x v="0"/>
    <s v="Normal"/>
    <n v="22.44"/>
    <n v="384"/>
    <n v="67"/>
    <x v="1"/>
  </r>
  <r>
    <x v="527"/>
    <n v="7"/>
    <n v="0.38"/>
    <n v="0.49"/>
    <n v="2.5"/>
    <n v="9.7000000000000003E-2"/>
    <n v="33"/>
    <n v="85"/>
    <n v="0.99619999999999997"/>
    <n v="3.39"/>
    <n v="0.77"/>
    <n v="11.4"/>
    <n v="6"/>
    <x v="0"/>
    <s v="Normal"/>
    <n v="23.195"/>
    <n v="246"/>
    <n v="52"/>
    <x v="1"/>
  </r>
  <r>
    <x v="528"/>
    <n v="8.1999999999999993"/>
    <n v="0.42"/>
    <n v="0.49"/>
    <n v="2.6"/>
    <n v="8.4000000000000005E-2"/>
    <n v="32"/>
    <n v="55"/>
    <n v="0.99880000000000002"/>
    <n v="3.34"/>
    <n v="0.75"/>
    <n v="8.6999999999999993"/>
    <n v="6"/>
    <x v="0"/>
    <s v="Normal"/>
    <n v="17.684999999999999"/>
    <n v="1573"/>
    <n v="23"/>
    <x v="0"/>
  </r>
  <r>
    <x v="529"/>
    <n v="9.9"/>
    <n v="0.63"/>
    <n v="0.24"/>
    <n v="2.4"/>
    <n v="7.6999999999999999E-2"/>
    <n v="6"/>
    <n v="33"/>
    <n v="0.99739999999999995"/>
    <n v="3.09"/>
    <n v="0.56999999999999995"/>
    <n v="9.4"/>
    <n v="5"/>
    <x v="0"/>
    <s v="High"/>
    <n v="18.395"/>
    <n v="1418"/>
    <n v="27"/>
    <x v="0"/>
  </r>
  <r>
    <x v="530"/>
    <n v="9.1"/>
    <n v="0.22"/>
    <n v="0.24"/>
    <n v="2.1"/>
    <n v="7.8E-2"/>
    <n v="1"/>
    <n v="28"/>
    <n v="0.999"/>
    <n v="3.41"/>
    <n v="0.87"/>
    <n v="10.3"/>
    <n v="6"/>
    <x v="0"/>
    <s v="Normal"/>
    <n v="21.465"/>
    <n v="546"/>
    <n v="27"/>
    <x v="1"/>
  </r>
  <r>
    <x v="531"/>
    <n v="11.9"/>
    <n v="0.38"/>
    <n v="0.49"/>
    <n v="2.7"/>
    <n v="9.8000000000000004E-2"/>
    <n v="12"/>
    <n v="42"/>
    <n v="1.0004"/>
    <n v="3.16"/>
    <n v="0.61"/>
    <n v="10.3"/>
    <n v="5"/>
    <x v="0"/>
    <s v="High"/>
    <n v="20.754999999999999"/>
    <n v="714"/>
    <n v="30"/>
    <x v="0"/>
  </r>
  <r>
    <x v="532"/>
    <n v="11.9"/>
    <n v="0.38"/>
    <n v="0.49"/>
    <n v="2.7"/>
    <n v="9.8000000000000004E-2"/>
    <n v="12"/>
    <n v="42"/>
    <n v="1.0004"/>
    <n v="3.16"/>
    <n v="0.61"/>
    <n v="10.3"/>
    <n v="5"/>
    <x v="0"/>
    <s v="High"/>
    <n v="20.754999999999999"/>
    <n v="714"/>
    <n v="30"/>
    <x v="0"/>
  </r>
  <r>
    <x v="533"/>
    <n v="10.3"/>
    <n v="0.27"/>
    <n v="0.24"/>
    <n v="2.1"/>
    <n v="7.1999999999999995E-2"/>
    <n v="15"/>
    <n v="33"/>
    <n v="0.99560000000000004"/>
    <n v="3.22"/>
    <n v="0.66"/>
    <n v="12.8"/>
    <n v="6"/>
    <x v="0"/>
    <s v="High"/>
    <n v="26.05"/>
    <n v="31"/>
    <n v="18"/>
    <x v="1"/>
  </r>
  <r>
    <x v="534"/>
    <n v="10"/>
    <n v="0.48"/>
    <n v="0.24"/>
    <n v="2.7"/>
    <n v="0.10199999999999999"/>
    <n v="13"/>
    <n v="32"/>
    <n v="1"/>
    <n v="3.28"/>
    <n v="0.56000000000000005"/>
    <n v="10"/>
    <n v="6"/>
    <x v="0"/>
    <s v="High"/>
    <n v="19.88"/>
    <n v="884"/>
    <n v="19"/>
    <x v="1"/>
  </r>
  <r>
    <x v="535"/>
    <n v="9.1"/>
    <n v="0.22"/>
    <n v="0.24"/>
    <n v="2.1"/>
    <n v="7.8E-2"/>
    <n v="1"/>
    <n v="28"/>
    <n v="0.999"/>
    <n v="3.41"/>
    <n v="0.87"/>
    <n v="10.3"/>
    <n v="6"/>
    <x v="0"/>
    <s v="Normal"/>
    <n v="21.465"/>
    <n v="546"/>
    <n v="27"/>
    <x v="1"/>
  </r>
  <r>
    <x v="536"/>
    <n v="9.9"/>
    <n v="0.63"/>
    <n v="0.24"/>
    <n v="2.4"/>
    <n v="7.6999999999999999E-2"/>
    <n v="6"/>
    <n v="33"/>
    <n v="0.99739999999999995"/>
    <n v="3.09"/>
    <n v="0.56999999999999995"/>
    <n v="9.4"/>
    <n v="5"/>
    <x v="0"/>
    <s v="High"/>
    <n v="18.395"/>
    <n v="1418"/>
    <n v="27"/>
    <x v="0"/>
  </r>
  <r>
    <x v="537"/>
    <n v="8.1"/>
    <n v="0.82499999999999996"/>
    <n v="0.24"/>
    <n v="2.1"/>
    <n v="8.4000000000000005E-2"/>
    <n v="5"/>
    <n v="13"/>
    <n v="0.99719999999999998"/>
    <n v="3.37"/>
    <n v="0.77"/>
    <n v="10.7"/>
    <n v="6"/>
    <x v="0"/>
    <s v="Normal"/>
    <n v="20.905000000000001"/>
    <n v="672"/>
    <n v="8"/>
    <x v="1"/>
  </r>
  <r>
    <x v="538"/>
    <n v="12.9"/>
    <n v="0.35"/>
    <n v="0.49"/>
    <n v="5.8"/>
    <n v="6.6000000000000003E-2"/>
    <n v="5"/>
    <n v="35"/>
    <n v="1.0014000000000001"/>
    <n v="3.2"/>
    <n v="0.66"/>
    <n v="12"/>
    <n v="7"/>
    <x v="1"/>
    <s v="High"/>
    <n v="24.29"/>
    <n v="153"/>
    <n v="30"/>
    <x v="1"/>
  </r>
  <r>
    <x v="539"/>
    <n v="11.2"/>
    <n v="0.5"/>
    <n v="0.74"/>
    <n v="5.15"/>
    <n v="0.1"/>
    <n v="5"/>
    <n v="17"/>
    <n v="0.99960000000000004"/>
    <n v="3.22"/>
    <n v="0.62"/>
    <n v="11.2"/>
    <n v="5"/>
    <x v="0"/>
    <s v="High"/>
    <n v="22.33"/>
    <n v="404"/>
    <n v="12"/>
    <x v="1"/>
  </r>
  <r>
    <x v="540"/>
    <n v="9.1999999999999993"/>
    <n v="0.59"/>
    <n v="0.24"/>
    <n v="3.3"/>
    <n v="0.10100000000000001"/>
    <n v="20"/>
    <n v="47"/>
    <n v="0.99880000000000002"/>
    <n v="3.26"/>
    <n v="0.67"/>
    <n v="9.6"/>
    <n v="5"/>
    <x v="0"/>
    <s v="High"/>
    <n v="19.024999999999999"/>
    <n v="1156"/>
    <n v="27"/>
    <x v="0"/>
  </r>
  <r>
    <x v="541"/>
    <n v="9.5"/>
    <n v="0.46"/>
    <n v="0.49"/>
    <n v="6.3"/>
    <n v="6.4000000000000001E-2"/>
    <n v="5"/>
    <n v="17"/>
    <n v="0.99880000000000002"/>
    <n v="3.21"/>
    <n v="0.73"/>
    <n v="11"/>
    <n v="6"/>
    <x v="0"/>
    <s v="High"/>
    <n v="22.174999999999997"/>
    <n v="424"/>
    <n v="12"/>
    <x v="1"/>
  </r>
  <r>
    <x v="542"/>
    <n v="9.3000000000000007"/>
    <n v="0.71499999999999997"/>
    <n v="0.24"/>
    <n v="2.1"/>
    <n v="7.0000000000000007E-2"/>
    <n v="5"/>
    <n v="20"/>
    <n v="0.99660000000000004"/>
    <n v="3.12"/>
    <n v="0.59"/>
    <n v="9.9"/>
    <n v="5"/>
    <x v="0"/>
    <s v="High"/>
    <n v="19.255000000000003"/>
    <n v="1057"/>
    <n v="15"/>
    <x v="0"/>
  </r>
  <r>
    <x v="543"/>
    <n v="11.2"/>
    <n v="0.66"/>
    <n v="0.24"/>
    <n v="2.5"/>
    <n v="8.5000000000000006E-2"/>
    <n v="16"/>
    <n v="53"/>
    <n v="0.99929999999999997"/>
    <n v="3.06"/>
    <n v="0.72"/>
    <n v="11"/>
    <n v="6"/>
    <x v="0"/>
    <s v="High"/>
    <n v="21.759999999999998"/>
    <n v="493"/>
    <n v="37"/>
    <x v="0"/>
  </r>
  <r>
    <x v="544"/>
    <n v="14.3"/>
    <n v="0.31"/>
    <n v="0.74"/>
    <n v="1.8"/>
    <n v="7.4999999999999997E-2"/>
    <n v="6"/>
    <n v="15"/>
    <n v="1.0007999999999999"/>
    <n v="2.86"/>
    <n v="0.79"/>
    <n v="8.4"/>
    <n v="6"/>
    <x v="0"/>
    <s v="High"/>
    <n v="17.364999999999998"/>
    <n v="1590"/>
    <n v="9"/>
    <x v="0"/>
  </r>
  <r>
    <x v="545"/>
    <n v="9.1"/>
    <n v="0.47"/>
    <n v="0.49"/>
    <n v="2.6"/>
    <n v="9.4E-2"/>
    <n v="38"/>
    <n v="106"/>
    <n v="0.99819999999999998"/>
    <n v="3.08"/>
    <n v="0.59"/>
    <n v="9.1"/>
    <n v="5"/>
    <x v="0"/>
    <s v="High"/>
    <n v="18.145"/>
    <n v="1488"/>
    <n v="68"/>
    <x v="0"/>
  </r>
  <r>
    <x v="546"/>
    <n v="7.5"/>
    <n v="0.55000000000000004"/>
    <n v="0.24"/>
    <n v="2"/>
    <n v="7.8E-2"/>
    <n v="10"/>
    <n v="28"/>
    <n v="0.99829999999999997"/>
    <n v="3.45"/>
    <n v="0.78"/>
    <n v="9.5"/>
    <n v="6"/>
    <x v="0"/>
    <s v="Normal"/>
    <n v="19.07"/>
    <n v="1137"/>
    <n v="18"/>
    <x v="0"/>
  </r>
  <r>
    <x v="547"/>
    <n v="10.6"/>
    <n v="0.31"/>
    <n v="0.49"/>
    <n v="2.5"/>
    <n v="6.7000000000000004E-2"/>
    <n v="6"/>
    <n v="21"/>
    <n v="0.99870000000000003"/>
    <n v="3.26"/>
    <n v="0.86"/>
    <n v="10.7"/>
    <n v="6"/>
    <x v="0"/>
    <s v="High"/>
    <n v="22.069999999999997"/>
    <n v="445"/>
    <n v="15"/>
    <x v="1"/>
  </r>
  <r>
    <x v="548"/>
    <n v="12.4"/>
    <n v="0.35"/>
    <n v="0.49"/>
    <n v="2.6"/>
    <n v="7.9000000000000001E-2"/>
    <n v="27"/>
    <n v="69"/>
    <n v="0.99939999999999996"/>
    <n v="3.12"/>
    <n v="0.75"/>
    <n v="10.4"/>
    <n v="6"/>
    <x v="0"/>
    <s v="High"/>
    <n v="21.225000000000001"/>
    <n v="593"/>
    <n v="42"/>
    <x v="0"/>
  </r>
  <r>
    <x v="549"/>
    <n v="9"/>
    <n v="0.53"/>
    <n v="0.49"/>
    <n v="1.9"/>
    <n v="0.17100000000000001"/>
    <n v="6"/>
    <n v="25"/>
    <n v="0.99750000000000005"/>
    <n v="3.27"/>
    <n v="0.61"/>
    <n v="9.4"/>
    <n v="6"/>
    <x v="0"/>
    <s v="High"/>
    <n v="18.655000000000001"/>
    <n v="1316"/>
    <n v="19"/>
    <x v="0"/>
  </r>
  <r>
    <x v="550"/>
    <n v="6.8"/>
    <n v="0.51"/>
    <n v="0.01"/>
    <n v="2.1"/>
    <n v="7.3999999999999996E-2"/>
    <n v="9"/>
    <n v="25"/>
    <n v="0.99580000000000002"/>
    <n v="3.33"/>
    <n v="0.56000000000000005"/>
    <n v="9.5"/>
    <n v="6"/>
    <x v="0"/>
    <s v="Normal"/>
    <n v="18.82"/>
    <n v="1240"/>
    <n v="16"/>
    <x v="0"/>
  </r>
  <r>
    <x v="551"/>
    <n v="9.4"/>
    <n v="0.43"/>
    <n v="0.24"/>
    <n v="2.8"/>
    <n v="9.1999999999999998E-2"/>
    <n v="14"/>
    <n v="45"/>
    <n v="0.998"/>
    <n v="3.19"/>
    <n v="0.73"/>
    <n v="10"/>
    <n v="6"/>
    <x v="0"/>
    <s v="High"/>
    <n v="20.234999999999999"/>
    <n v="801"/>
    <n v="31"/>
    <x v="0"/>
  </r>
  <r>
    <x v="552"/>
    <n v="9.5"/>
    <n v="0.46"/>
    <n v="0.24"/>
    <n v="2.7"/>
    <n v="9.1999999999999998E-2"/>
    <n v="14"/>
    <n v="44"/>
    <n v="0.998"/>
    <n v="3.12"/>
    <n v="0.74"/>
    <n v="10"/>
    <n v="6"/>
    <x v="0"/>
    <s v="High"/>
    <n v="20.189999999999998"/>
    <n v="816"/>
    <n v="30"/>
    <x v="0"/>
  </r>
  <r>
    <x v="553"/>
    <n v="5"/>
    <n v="1.04"/>
    <n v="0.24"/>
    <n v="1.6"/>
    <n v="0.05"/>
    <n v="32"/>
    <n v="96"/>
    <n v="0.99339999999999995"/>
    <n v="3.74"/>
    <n v="0.62"/>
    <n v="11.5"/>
    <n v="5"/>
    <x v="0"/>
    <s v="Normal"/>
    <n v="21.85"/>
    <n v="474"/>
    <n v="64"/>
    <x v="1"/>
  </r>
  <r>
    <x v="554"/>
    <n v="15.5"/>
    <n v="0.64500000000000002"/>
    <n v="0.49"/>
    <n v="4.2"/>
    <n v="9.5000000000000001E-2"/>
    <n v="10"/>
    <n v="23"/>
    <n v="1.00315"/>
    <n v="2.92"/>
    <n v="0.74"/>
    <n v="11.1"/>
    <n v="5"/>
    <x v="0"/>
    <s v="High"/>
    <n v="22.02"/>
    <n v="451"/>
    <n v="13"/>
    <x v="0"/>
  </r>
  <r>
    <x v="555"/>
    <n v="15.5"/>
    <n v="0.64500000000000002"/>
    <n v="0.49"/>
    <n v="4.2"/>
    <n v="9.5000000000000001E-2"/>
    <n v="10"/>
    <n v="23"/>
    <n v="1.00315"/>
    <n v="2.92"/>
    <n v="0.74"/>
    <n v="11.1"/>
    <n v="5"/>
    <x v="0"/>
    <s v="High"/>
    <n v="22.02"/>
    <n v="451"/>
    <n v="13"/>
    <x v="0"/>
  </r>
  <r>
    <x v="556"/>
    <n v="10.9"/>
    <n v="0.53"/>
    <n v="0.49"/>
    <n v="4.5999999999999996"/>
    <n v="0.11799999999999999"/>
    <n v="10"/>
    <n v="17"/>
    <n v="1.0002"/>
    <n v="3.07"/>
    <n v="0.56000000000000005"/>
    <n v="11.7"/>
    <n v="6"/>
    <x v="0"/>
    <s v="High"/>
    <n v="23.18"/>
    <n v="248"/>
    <n v="7"/>
    <x v="0"/>
  </r>
  <r>
    <x v="557"/>
    <n v="15.6"/>
    <n v="0.64500000000000002"/>
    <n v="0.49"/>
    <n v="4.2"/>
    <n v="9.5000000000000001E-2"/>
    <n v="10"/>
    <n v="23"/>
    <n v="1.00315"/>
    <n v="2.92"/>
    <n v="0.74"/>
    <n v="11.1"/>
    <n v="5"/>
    <x v="0"/>
    <s v="High"/>
    <n v="22.02"/>
    <n v="451"/>
    <n v="13"/>
    <x v="0"/>
  </r>
  <r>
    <x v="558"/>
    <n v="10.9"/>
    <n v="0.53"/>
    <n v="0.49"/>
    <n v="4.5999999999999996"/>
    <n v="0.11799999999999999"/>
    <n v="10"/>
    <n v="17"/>
    <n v="1.0002"/>
    <n v="3.07"/>
    <n v="0.56000000000000005"/>
    <n v="11.7"/>
    <n v="6"/>
    <x v="0"/>
    <s v="High"/>
    <n v="23.18"/>
    <n v="248"/>
    <n v="7"/>
    <x v="0"/>
  </r>
  <r>
    <x v="559"/>
    <n v="13"/>
    <n v="0.47"/>
    <n v="0.49"/>
    <n v="4.3"/>
    <n v="8.5000000000000006E-2"/>
    <n v="6"/>
    <n v="47"/>
    <n v="1.0021"/>
    <n v="3.3"/>
    <n v="0.68"/>
    <n v="12.7"/>
    <n v="6"/>
    <x v="0"/>
    <s v="High"/>
    <n v="25.479999999999997"/>
    <n v="55"/>
    <n v="41"/>
    <x v="1"/>
  </r>
  <r>
    <x v="560"/>
    <n v="12.7"/>
    <n v="0.6"/>
    <n v="0.49"/>
    <n v="2.8"/>
    <n v="7.4999999999999997E-2"/>
    <n v="5"/>
    <n v="19"/>
    <n v="0.99939999999999996"/>
    <n v="3.14"/>
    <n v="0.56999999999999995"/>
    <n v="11.4"/>
    <n v="5"/>
    <x v="0"/>
    <s v="High"/>
    <n v="22.455000000000002"/>
    <n v="378"/>
    <n v="14"/>
    <x v="0"/>
  </r>
  <r>
    <x v="561"/>
    <n v="9"/>
    <n v="0.44"/>
    <n v="0.49"/>
    <n v="2.4"/>
    <n v="7.8E-2"/>
    <n v="26"/>
    <n v="121"/>
    <n v="0.99780000000000002"/>
    <n v="3.23"/>
    <n v="0.57999999999999996"/>
    <n v="9.1999999999999993"/>
    <n v="5"/>
    <x v="0"/>
    <s v="High"/>
    <n v="18.39"/>
    <n v="1420"/>
    <n v="95"/>
    <x v="0"/>
  </r>
  <r>
    <x v="562"/>
    <n v="9"/>
    <n v="0.54"/>
    <n v="0.49"/>
    <n v="2.9"/>
    <n v="9.4E-2"/>
    <n v="41"/>
    <n v="110"/>
    <n v="0.99819999999999998"/>
    <n v="3.08"/>
    <n v="0.61"/>
    <n v="9.1999999999999993"/>
    <n v="5"/>
    <x v="0"/>
    <s v="High"/>
    <n v="18.234999999999999"/>
    <n v="1473"/>
    <n v="69"/>
    <x v="0"/>
  </r>
  <r>
    <x v="563"/>
    <n v="7.6"/>
    <n v="0.28999999999999998"/>
    <n v="0.49"/>
    <n v="2.7"/>
    <n v="9.1999999999999998E-2"/>
    <n v="25"/>
    <n v="60"/>
    <n v="0.99709999999999999"/>
    <n v="3.31"/>
    <n v="0.61"/>
    <n v="10.1"/>
    <n v="6"/>
    <x v="0"/>
    <s v="Normal"/>
    <n v="20.535"/>
    <n v="750"/>
    <n v="35"/>
    <x v="1"/>
  </r>
  <r>
    <x v="564"/>
    <n v="13"/>
    <n v="0.47"/>
    <n v="0.49"/>
    <n v="4.3"/>
    <n v="8.5000000000000006E-2"/>
    <n v="6"/>
    <n v="47"/>
    <n v="1.0021"/>
    <n v="3.3"/>
    <n v="0.68"/>
    <n v="12.7"/>
    <n v="6"/>
    <x v="0"/>
    <s v="High"/>
    <n v="25.479999999999997"/>
    <n v="55"/>
    <n v="41"/>
    <x v="1"/>
  </r>
  <r>
    <x v="565"/>
    <n v="12.7"/>
    <n v="0.6"/>
    <n v="0.49"/>
    <n v="2.8"/>
    <n v="7.4999999999999997E-2"/>
    <n v="5"/>
    <n v="19"/>
    <n v="0.99939999999999996"/>
    <n v="3.14"/>
    <n v="0.56999999999999995"/>
    <n v="11.4"/>
    <n v="5"/>
    <x v="0"/>
    <s v="High"/>
    <n v="22.455000000000002"/>
    <n v="378"/>
    <n v="14"/>
    <x v="0"/>
  </r>
  <r>
    <x v="566"/>
    <n v="8.6999999999999993"/>
    <n v="0.7"/>
    <n v="0.24"/>
    <n v="2.5"/>
    <n v="0.22600000000000001"/>
    <n v="5"/>
    <n v="15"/>
    <n v="0.99909999999999999"/>
    <n v="3.32"/>
    <n v="0.6"/>
    <n v="9"/>
    <n v="6"/>
    <x v="0"/>
    <s v="Normal"/>
    <n v="17.5"/>
    <n v="1584"/>
    <n v="10"/>
    <x v="0"/>
  </r>
  <r>
    <x v="567"/>
    <n v="8.6999999999999993"/>
    <n v="0.7"/>
    <n v="0.24"/>
    <n v="2.5"/>
    <n v="0.22600000000000001"/>
    <n v="5"/>
    <n v="15"/>
    <n v="0.99909999999999999"/>
    <n v="3.32"/>
    <n v="0.6"/>
    <n v="9"/>
    <n v="6"/>
    <x v="0"/>
    <s v="Normal"/>
    <n v="17.5"/>
    <n v="1584"/>
    <n v="10"/>
    <x v="0"/>
  </r>
  <r>
    <x v="568"/>
    <n v="9.8000000000000007"/>
    <n v="0.5"/>
    <n v="0.49"/>
    <n v="2.6"/>
    <n v="0.25"/>
    <n v="5"/>
    <n v="20"/>
    <n v="0.999"/>
    <n v="3.31"/>
    <n v="0.79"/>
    <n v="10.7"/>
    <n v="6"/>
    <x v="0"/>
    <s v="High"/>
    <n v="21.584999999999997"/>
    <n v="530"/>
    <n v="15"/>
    <x v="1"/>
  </r>
  <r>
    <x v="569"/>
    <n v="6.2"/>
    <n v="0.36"/>
    <n v="0.24"/>
    <n v="2.2000000000000002"/>
    <n v="9.5000000000000001E-2"/>
    <n v="19"/>
    <n v="42"/>
    <n v="0.99460000000000004"/>
    <n v="3.57"/>
    <n v="0.56999999999999995"/>
    <n v="11.7"/>
    <n v="6"/>
    <x v="0"/>
    <s v="Normal"/>
    <n v="23.535"/>
    <n v="214"/>
    <n v="23"/>
    <x v="1"/>
  </r>
  <r>
    <x v="570"/>
    <n v="11.5"/>
    <n v="0.35"/>
    <n v="0.49"/>
    <n v="3.3"/>
    <n v="7.0000000000000007E-2"/>
    <n v="10"/>
    <n v="37"/>
    <n v="1.0003"/>
    <n v="3.32"/>
    <n v="0.91"/>
    <n v="11"/>
    <n v="6"/>
    <x v="0"/>
    <s v="Normal"/>
    <n v="22.664999999999999"/>
    <n v="331"/>
    <n v="27"/>
    <x v="1"/>
  </r>
  <r>
    <x v="571"/>
    <n v="6.2"/>
    <n v="0.36"/>
    <n v="0.24"/>
    <n v="2.2000000000000002"/>
    <n v="9.5000000000000001E-2"/>
    <n v="19"/>
    <n v="42"/>
    <n v="0.99460000000000004"/>
    <n v="3.57"/>
    <n v="0.56999999999999995"/>
    <n v="11.7"/>
    <n v="6"/>
    <x v="0"/>
    <s v="Normal"/>
    <n v="23.535"/>
    <n v="214"/>
    <n v="23"/>
    <x v="1"/>
  </r>
  <r>
    <x v="572"/>
    <n v="10.199999999999999"/>
    <n v="0.24"/>
    <n v="0.49"/>
    <n v="2.4"/>
    <n v="7.4999999999999997E-2"/>
    <n v="10"/>
    <n v="28"/>
    <n v="0.99780000000000002"/>
    <n v="3.14"/>
    <n v="0.61"/>
    <n v="10.4"/>
    <n v="5"/>
    <x v="0"/>
    <s v="High"/>
    <n v="21.234999999999999"/>
    <n v="592"/>
    <n v="18"/>
    <x v="0"/>
  </r>
  <r>
    <x v="573"/>
    <n v="10.5"/>
    <n v="0.59"/>
    <n v="0.49"/>
    <n v="2.1"/>
    <n v="7.0000000000000007E-2"/>
    <n v="14"/>
    <n v="47"/>
    <n v="0.99909999999999999"/>
    <n v="3.3"/>
    <n v="0.56000000000000005"/>
    <n v="9.6"/>
    <n v="4"/>
    <x v="2"/>
    <s v="High"/>
    <n v="18.86"/>
    <n v="1222"/>
    <n v="33"/>
    <x v="0"/>
  </r>
  <r>
    <x v="574"/>
    <n v="10.6"/>
    <n v="0.34"/>
    <n v="0.49"/>
    <n v="3.2"/>
    <n v="7.8E-2"/>
    <n v="20"/>
    <n v="78"/>
    <n v="0.99919999999999998"/>
    <n v="3.19"/>
    <n v="0.7"/>
    <n v="10"/>
    <n v="6"/>
    <x v="0"/>
    <s v="High"/>
    <n v="20.37"/>
    <n v="775"/>
    <n v="58"/>
    <x v="0"/>
  </r>
  <r>
    <x v="575"/>
    <n v="12.3"/>
    <n v="0.27"/>
    <n v="0.49"/>
    <n v="3.1"/>
    <n v="7.9000000000000001E-2"/>
    <n v="28"/>
    <n v="46"/>
    <n v="0.99929999999999997"/>
    <n v="3.2"/>
    <n v="0.8"/>
    <n v="10.199999999999999"/>
    <n v="6"/>
    <x v="0"/>
    <s v="High"/>
    <n v="21.06"/>
    <n v="640"/>
    <n v="18"/>
    <x v="1"/>
  </r>
  <r>
    <x v="576"/>
    <n v="9.9"/>
    <n v="0.5"/>
    <n v="0.24"/>
    <n v="2.2999999999999998"/>
    <n v="0.10299999999999999"/>
    <n v="6"/>
    <n v="14"/>
    <n v="0.99780000000000002"/>
    <n v="3.34"/>
    <n v="0.52"/>
    <n v="10"/>
    <n v="4"/>
    <x v="2"/>
    <s v="Normal"/>
    <n v="19.78"/>
    <n v="910"/>
    <n v="8"/>
    <x v="1"/>
  </r>
  <r>
    <x v="577"/>
    <n v="8.8000000000000007"/>
    <n v="0.44"/>
    <n v="0.49"/>
    <n v="2.8"/>
    <n v="8.3000000000000004E-2"/>
    <n v="18"/>
    <n v="111"/>
    <n v="0.99819999999999998"/>
    <n v="3.3"/>
    <n v="0.6"/>
    <n v="9.5"/>
    <n v="5"/>
    <x v="0"/>
    <s v="High"/>
    <n v="19.02"/>
    <n v="1158"/>
    <n v="93"/>
    <x v="0"/>
  </r>
  <r>
    <x v="578"/>
    <n v="8.8000000000000007"/>
    <n v="0.47"/>
    <n v="0.49"/>
    <n v="2.9"/>
    <n v="8.5000000000000006E-2"/>
    <n v="17"/>
    <n v="110"/>
    <n v="0.99819999999999998"/>
    <n v="3.29"/>
    <n v="0.6"/>
    <n v="9.8000000000000007"/>
    <n v="5"/>
    <x v="0"/>
    <s v="High"/>
    <n v="19.559999999999999"/>
    <n v="962"/>
    <n v="93"/>
    <x v="0"/>
  </r>
  <r>
    <x v="579"/>
    <n v="10.6"/>
    <n v="0.31"/>
    <n v="0.49"/>
    <n v="2.2000000000000002"/>
    <n v="6.3E-2"/>
    <n v="18"/>
    <n v="40"/>
    <n v="0.99760000000000004"/>
    <n v="3.14"/>
    <n v="0.51"/>
    <n v="9.8000000000000007"/>
    <n v="6"/>
    <x v="0"/>
    <s v="High"/>
    <n v="19.745000000000001"/>
    <n v="917"/>
    <n v="22"/>
    <x v="0"/>
  </r>
  <r>
    <x v="580"/>
    <n v="12.3"/>
    <n v="0.5"/>
    <n v="0.49"/>
    <n v="2.2000000000000002"/>
    <n v="8.8999999999999996E-2"/>
    <n v="5"/>
    <n v="14"/>
    <n v="1.0002"/>
    <n v="3.19"/>
    <n v="0.44"/>
    <n v="9.6"/>
    <n v="5"/>
    <x v="0"/>
    <s v="High"/>
    <n v="18.86"/>
    <n v="1222"/>
    <n v="9"/>
    <x v="0"/>
  </r>
  <r>
    <x v="581"/>
    <n v="12.3"/>
    <n v="0.5"/>
    <n v="0.49"/>
    <n v="2.2000000000000002"/>
    <n v="8.8999999999999996E-2"/>
    <n v="5"/>
    <n v="14"/>
    <n v="1.0002"/>
    <n v="3.19"/>
    <n v="0.44"/>
    <n v="9.6"/>
    <n v="5"/>
    <x v="0"/>
    <s v="High"/>
    <n v="18.86"/>
    <n v="1222"/>
    <n v="9"/>
    <x v="0"/>
  </r>
  <r>
    <x v="582"/>
    <n v="11.7"/>
    <n v="0.49"/>
    <n v="0.49"/>
    <n v="2.2000000000000002"/>
    <n v="8.3000000000000004E-2"/>
    <n v="5"/>
    <n v="15"/>
    <n v="1"/>
    <n v="3.19"/>
    <n v="0.43"/>
    <n v="9.1999999999999993"/>
    <n v="5"/>
    <x v="0"/>
    <s v="High"/>
    <n v="18.064999999999998"/>
    <n v="1510"/>
    <n v="10"/>
    <x v="0"/>
  </r>
  <r>
    <x v="583"/>
    <n v="12"/>
    <n v="0.28000000000000003"/>
    <n v="0.49"/>
    <n v="1.9"/>
    <n v="7.3999999999999996E-2"/>
    <n v="10"/>
    <n v="21"/>
    <n v="0.99760000000000004"/>
    <n v="2.98"/>
    <n v="0.66"/>
    <n v="9.9"/>
    <n v="7"/>
    <x v="1"/>
    <s v="High"/>
    <n v="20.23"/>
    <n v="804"/>
    <n v="11"/>
    <x v="0"/>
  </r>
  <r>
    <x v="584"/>
    <n v="11.8"/>
    <n v="0.33"/>
    <n v="0.49"/>
    <n v="3.4"/>
    <n v="9.2999999999999999E-2"/>
    <n v="54"/>
    <n v="80"/>
    <n v="1.0002"/>
    <n v="3.3"/>
    <n v="0.76"/>
    <n v="10.7"/>
    <n v="7"/>
    <x v="1"/>
    <s v="High"/>
    <n v="21.88"/>
    <n v="471"/>
    <n v="26"/>
    <x v="1"/>
  </r>
  <r>
    <x v="585"/>
    <n v="7.6"/>
    <n v="0.51"/>
    <n v="0.24"/>
    <n v="2.4"/>
    <n v="9.0999999999999998E-2"/>
    <n v="8"/>
    <n v="38"/>
    <n v="0.998"/>
    <n v="3.47"/>
    <n v="0.66"/>
    <n v="9.6"/>
    <n v="6"/>
    <x v="0"/>
    <s v="Normal"/>
    <n v="19.169999999999998"/>
    <n v="1102"/>
    <n v="30"/>
    <x v="0"/>
  </r>
  <r>
    <x v="586"/>
    <n v="11.1"/>
    <n v="0.31"/>
    <n v="0.49"/>
    <n v="2.7"/>
    <n v="9.4E-2"/>
    <n v="16"/>
    <n v="47"/>
    <n v="0.99860000000000004"/>
    <n v="3.12"/>
    <n v="1.02"/>
    <n v="10.6"/>
    <n v="7"/>
    <x v="1"/>
    <s v="High"/>
    <n v="22.11"/>
    <n v="438"/>
    <n v="31"/>
    <x v="0"/>
  </r>
  <r>
    <x v="587"/>
    <n v="7.3"/>
    <n v="0.73"/>
    <n v="0.24"/>
    <n v="1.9"/>
    <n v="0.108"/>
    <n v="18"/>
    <n v="102"/>
    <n v="0.99670000000000003"/>
    <n v="3.26"/>
    <n v="0.59"/>
    <n v="9.3000000000000007"/>
    <n v="5"/>
    <x v="0"/>
    <s v="Normal"/>
    <n v="18.025000000000002"/>
    <n v="1516"/>
    <n v="84"/>
    <x v="0"/>
  </r>
  <r>
    <x v="588"/>
    <n v="5"/>
    <n v="0.42"/>
    <n v="0.24"/>
    <n v="2"/>
    <n v="0.06"/>
    <n v="19"/>
    <n v="50"/>
    <n v="0.99170000000000003"/>
    <n v="3.72"/>
    <n v="0.74"/>
    <n v="14"/>
    <n v="8"/>
    <x v="1"/>
    <s v="Normal"/>
    <n v="28.27"/>
    <n v="5"/>
    <n v="31"/>
    <x v="1"/>
  </r>
  <r>
    <x v="589"/>
    <n v="10.199999999999999"/>
    <n v="0.28999999999999998"/>
    <n v="0.49"/>
    <n v="2.6"/>
    <n v="5.8999999999999997E-2"/>
    <n v="5"/>
    <n v="13"/>
    <n v="0.99760000000000004"/>
    <n v="3.05"/>
    <n v="0.74"/>
    <n v="10.5"/>
    <n v="7"/>
    <x v="1"/>
    <s v="High"/>
    <n v="21.53"/>
    <n v="538"/>
    <n v="8"/>
    <x v="0"/>
  </r>
  <r>
    <x v="590"/>
    <n v="9"/>
    <n v="0.45"/>
    <n v="0.49"/>
    <n v="2.6"/>
    <n v="8.4000000000000005E-2"/>
    <n v="21"/>
    <n v="75"/>
    <n v="0.99870000000000003"/>
    <n v="3.35"/>
    <n v="0.56999999999999995"/>
    <n v="9.6999999999999993"/>
    <n v="5"/>
    <x v="0"/>
    <s v="Normal"/>
    <n v="19.355"/>
    <n v="1022"/>
    <n v="54"/>
    <x v="0"/>
  </r>
  <r>
    <x v="591"/>
    <n v="6.6"/>
    <n v="0.39"/>
    <n v="0.49"/>
    <n v="1.7"/>
    <n v="7.0000000000000007E-2"/>
    <n v="23"/>
    <n v="149"/>
    <n v="0.99219999999999997"/>
    <n v="3.12"/>
    <n v="0.5"/>
    <n v="11.5"/>
    <n v="6"/>
    <x v="0"/>
    <s v="Normal"/>
    <n v="22.97"/>
    <n v="278"/>
    <n v="126"/>
    <x v="0"/>
  </r>
  <r>
    <x v="592"/>
    <n v="9"/>
    <n v="0.45"/>
    <n v="0.49"/>
    <n v="2.6"/>
    <n v="8.4000000000000005E-2"/>
    <n v="21"/>
    <n v="75"/>
    <n v="0.99870000000000003"/>
    <n v="3.35"/>
    <n v="0.56999999999999995"/>
    <n v="9.6999999999999993"/>
    <n v="5"/>
    <x v="0"/>
    <s v="Normal"/>
    <n v="19.355"/>
    <n v="1022"/>
    <n v="54"/>
    <x v="0"/>
  </r>
  <r>
    <x v="593"/>
    <n v="9.9"/>
    <n v="0.49"/>
    <n v="0.57999999999999996"/>
    <n v="3.5"/>
    <n v="9.4E-2"/>
    <n v="9"/>
    <n v="43"/>
    <n v="1.0004"/>
    <n v="3.29"/>
    <n v="0.57999999999999996"/>
    <n v="9"/>
    <n v="5"/>
    <x v="0"/>
    <s v="High"/>
    <n v="17.89"/>
    <n v="1537"/>
    <n v="34"/>
    <x v="0"/>
  </r>
  <r>
    <x v="594"/>
    <n v="7.9"/>
    <n v="0.72"/>
    <n v="0.17"/>
    <n v="2.6"/>
    <n v="9.6000000000000002E-2"/>
    <n v="20"/>
    <n v="38"/>
    <n v="0.99780000000000002"/>
    <n v="3.4"/>
    <n v="0.53"/>
    <n v="9.5"/>
    <n v="5"/>
    <x v="0"/>
    <s v="Normal"/>
    <n v="18.355"/>
    <n v="1432"/>
    <n v="18"/>
    <x v="0"/>
  </r>
  <r>
    <x v="595"/>
    <n v="8.9"/>
    <n v="0.59499999999999997"/>
    <n v="0.41"/>
    <n v="7.9"/>
    <n v="8.5999999999999993E-2"/>
    <n v="30"/>
    <n v="109"/>
    <n v="0.99980000000000002"/>
    <n v="3.27"/>
    <n v="0.56999999999999995"/>
    <n v="9.3000000000000007"/>
    <n v="5"/>
    <x v="0"/>
    <s v="High"/>
    <n v="18.265000000000001"/>
    <n v="1461"/>
    <n v="79"/>
    <x v="0"/>
  </r>
  <r>
    <x v="596"/>
    <n v="12.4"/>
    <n v="0.4"/>
    <n v="0.51"/>
    <n v="2"/>
    <n v="5.8999999999999997E-2"/>
    <n v="6"/>
    <n v="24"/>
    <n v="0.99939999999999996"/>
    <n v="3.04"/>
    <n v="0.6"/>
    <n v="9.3000000000000007"/>
    <n v="6"/>
    <x v="0"/>
    <s v="High"/>
    <n v="18.7"/>
    <n v="1293"/>
    <n v="18"/>
    <x v="0"/>
  </r>
  <r>
    <x v="597"/>
    <n v="11.9"/>
    <n v="0.57999999999999996"/>
    <n v="0.57999999999999996"/>
    <n v="1.9"/>
    <n v="7.0999999999999994E-2"/>
    <n v="5"/>
    <n v="18"/>
    <n v="0.998"/>
    <n v="3.09"/>
    <n v="0.63"/>
    <n v="10"/>
    <n v="6"/>
    <x v="0"/>
    <s v="High"/>
    <n v="19.785"/>
    <n v="908"/>
    <n v="13"/>
    <x v="0"/>
  </r>
  <r>
    <x v="598"/>
    <n v="8.5"/>
    <n v="0.58499999999999996"/>
    <n v="0.18"/>
    <n v="2.1"/>
    <n v="7.8E-2"/>
    <n v="5"/>
    <n v="30"/>
    <n v="0.99670000000000003"/>
    <n v="3.2"/>
    <n v="0.48"/>
    <n v="9.8000000000000007"/>
    <n v="6"/>
    <x v="0"/>
    <s v="High"/>
    <n v="19.149999999999999"/>
    <n v="1106"/>
    <n v="25"/>
    <x v="0"/>
  </r>
  <r>
    <x v="599"/>
    <n v="12.7"/>
    <n v="0.59"/>
    <n v="0.45"/>
    <n v="2.2999999999999998"/>
    <n v="8.2000000000000003E-2"/>
    <n v="11"/>
    <n v="22"/>
    <n v="1"/>
    <n v="3"/>
    <n v="0.7"/>
    <n v="9.3000000000000007"/>
    <n v="6"/>
    <x v="0"/>
    <s v="High"/>
    <n v="18.470000000000002"/>
    <n v="1383"/>
    <n v="11"/>
    <x v="0"/>
  </r>
  <r>
    <x v="600"/>
    <n v="8.1999999999999993"/>
    <n v="0.91500000000000004"/>
    <n v="0.27"/>
    <n v="2.1"/>
    <n v="8.7999999999999995E-2"/>
    <n v="7"/>
    <n v="23"/>
    <n v="0.99619999999999997"/>
    <n v="3.26"/>
    <n v="0.47"/>
    <n v="10"/>
    <n v="4"/>
    <x v="2"/>
    <s v="Normal"/>
    <n v="18.875"/>
    <n v="1215"/>
    <n v="16"/>
    <x v="1"/>
  </r>
  <r>
    <x v="601"/>
    <n v="13.2"/>
    <n v="0.46"/>
    <n v="0.52"/>
    <n v="2.2000000000000002"/>
    <n v="7.0999999999999994E-2"/>
    <n v="12"/>
    <n v="35"/>
    <n v="1.0005999999999999"/>
    <n v="3.1"/>
    <n v="0.56000000000000005"/>
    <n v="9"/>
    <n v="6"/>
    <x v="0"/>
    <s v="High"/>
    <n v="17.919999999999998"/>
    <n v="1534"/>
    <n v="23"/>
    <x v="0"/>
  </r>
  <r>
    <x v="602"/>
    <n v="7.7"/>
    <n v="0.83499999999999996"/>
    <n v="0"/>
    <n v="2.6"/>
    <n v="8.1000000000000003E-2"/>
    <n v="6"/>
    <n v="14"/>
    <n v="0.99750000000000005"/>
    <n v="3.3"/>
    <n v="0.52"/>
    <n v="9.3000000000000007"/>
    <n v="5"/>
    <x v="0"/>
    <s v="Normal"/>
    <n v="17.71"/>
    <n v="1571"/>
    <n v="8"/>
    <x v="0"/>
  </r>
  <r>
    <x v="603"/>
    <n v="13.2"/>
    <n v="0.46"/>
    <n v="0.52"/>
    <n v="2.2000000000000002"/>
    <n v="7.0999999999999994E-2"/>
    <n v="12"/>
    <n v="35"/>
    <n v="1.0005999999999999"/>
    <n v="3.1"/>
    <n v="0.56000000000000005"/>
    <n v="9"/>
    <n v="6"/>
    <x v="0"/>
    <s v="High"/>
    <n v="17.919999999999998"/>
    <n v="1534"/>
    <n v="23"/>
    <x v="0"/>
  </r>
  <r>
    <x v="604"/>
    <n v="8.3000000000000007"/>
    <n v="0.57999999999999996"/>
    <n v="0.13"/>
    <n v="2.9"/>
    <n v="9.6000000000000002E-2"/>
    <n v="14"/>
    <n v="63"/>
    <n v="0.99839999999999995"/>
    <n v="3.17"/>
    <n v="0.62"/>
    <n v="9.1"/>
    <n v="6"/>
    <x v="0"/>
    <s v="Normal"/>
    <n v="17.97"/>
    <n v="1526"/>
    <n v="49"/>
    <x v="0"/>
  </r>
  <r>
    <x v="605"/>
    <n v="8.3000000000000007"/>
    <n v="0.6"/>
    <n v="0.13"/>
    <n v="2.6"/>
    <n v="8.5000000000000006E-2"/>
    <n v="6"/>
    <n v="24"/>
    <n v="0.99839999999999995"/>
    <n v="3.31"/>
    <n v="0.59"/>
    <n v="9.1999999999999993"/>
    <n v="6"/>
    <x v="0"/>
    <s v="Normal"/>
    <n v="18.085000000000001"/>
    <n v="1503"/>
    <n v="18"/>
    <x v="0"/>
  </r>
  <r>
    <x v="606"/>
    <n v="9.4"/>
    <n v="0.41"/>
    <n v="0.48"/>
    <n v="4.5999999999999996"/>
    <n v="7.1999999999999995E-2"/>
    <n v="10"/>
    <n v="20"/>
    <n v="0.99729999999999996"/>
    <n v="3.34"/>
    <n v="0.79"/>
    <n v="12.2"/>
    <n v="7"/>
    <x v="1"/>
    <s v="Normal"/>
    <n v="24.764999999999997"/>
    <n v="107"/>
    <n v="10"/>
    <x v="1"/>
  </r>
  <r>
    <x v="607"/>
    <n v="8.8000000000000007"/>
    <n v="0.48"/>
    <n v="0.41"/>
    <n v="3.3"/>
    <n v="9.1999999999999998E-2"/>
    <n v="26"/>
    <n v="52"/>
    <n v="0.99819999999999998"/>
    <n v="3.31"/>
    <n v="0.53"/>
    <n v="10.5"/>
    <n v="6"/>
    <x v="0"/>
    <s v="High"/>
    <n v="20.835000000000001"/>
    <n v="693"/>
    <n v="26"/>
    <x v="1"/>
  </r>
  <r>
    <x v="608"/>
    <n v="10.1"/>
    <n v="0.65"/>
    <n v="0.37"/>
    <n v="5.0999999999999996"/>
    <n v="0.11"/>
    <n v="11"/>
    <n v="65"/>
    <n v="1.0025999999999999"/>
    <n v="3.32"/>
    <n v="0.64"/>
    <n v="10.4"/>
    <n v="6"/>
    <x v="0"/>
    <s v="Normal"/>
    <n v="20.46"/>
    <n v="759"/>
    <n v="54"/>
    <x v="1"/>
  </r>
  <r>
    <x v="609"/>
    <n v="6.3"/>
    <n v="0.36"/>
    <n v="0.19"/>
    <n v="3.2"/>
    <n v="7.4999999999999997E-2"/>
    <n v="15"/>
    <n v="39"/>
    <n v="0.99560000000000004"/>
    <n v="3.56"/>
    <n v="0.52"/>
    <n v="12.7"/>
    <n v="6"/>
    <x v="0"/>
    <s v="Normal"/>
    <n v="25.46"/>
    <n v="59"/>
    <n v="24"/>
    <x v="1"/>
  </r>
  <r>
    <x v="610"/>
    <n v="8.8000000000000007"/>
    <n v="0.24"/>
    <n v="0.54"/>
    <n v="2.5"/>
    <n v="8.3000000000000004E-2"/>
    <n v="25"/>
    <n v="57"/>
    <n v="0.99829999999999997"/>
    <n v="3.39"/>
    <n v="0.54"/>
    <n v="9.1999999999999993"/>
    <n v="5"/>
    <x v="0"/>
    <s v="Normal"/>
    <n v="18.729999999999997"/>
    <n v="1272"/>
    <n v="32"/>
    <x v="0"/>
  </r>
  <r>
    <x v="611"/>
    <n v="13.2"/>
    <n v="0.38"/>
    <n v="0.55000000000000004"/>
    <n v="2.7"/>
    <n v="8.1000000000000003E-2"/>
    <n v="5"/>
    <n v="16"/>
    <n v="1.0005999999999999"/>
    <n v="2.98"/>
    <n v="0.54"/>
    <n v="9.4"/>
    <n v="5"/>
    <x v="0"/>
    <s v="High"/>
    <n v="18.849999999999998"/>
    <n v="1227"/>
    <n v="11"/>
    <x v="0"/>
  </r>
  <r>
    <x v="612"/>
    <n v="7.5"/>
    <n v="0.64"/>
    <n v="0"/>
    <n v="2.4"/>
    <n v="7.6999999999999999E-2"/>
    <n v="18"/>
    <n v="29"/>
    <n v="0.99650000000000005"/>
    <n v="3.32"/>
    <n v="0.6"/>
    <n v="10"/>
    <n v="6"/>
    <x v="0"/>
    <s v="Normal"/>
    <n v="19.619999999999997"/>
    <n v="944"/>
    <n v="11"/>
    <x v="1"/>
  </r>
  <r>
    <x v="613"/>
    <n v="8.1999999999999993"/>
    <n v="0.39"/>
    <n v="0.38"/>
    <n v="1.5"/>
    <n v="5.8000000000000003E-2"/>
    <n v="10"/>
    <n v="29"/>
    <n v="0.99619999999999997"/>
    <n v="3.26"/>
    <n v="0.74"/>
    <n v="9.8000000000000007"/>
    <n v="5"/>
    <x v="0"/>
    <s v="Normal"/>
    <n v="19.93"/>
    <n v="868"/>
    <n v="19"/>
    <x v="0"/>
  </r>
  <r>
    <x v="614"/>
    <n v="9.1999999999999993"/>
    <n v="0.755"/>
    <n v="0.18"/>
    <n v="2.2000000000000002"/>
    <n v="0.14799999999999999"/>
    <n v="10"/>
    <n v="103"/>
    <n v="0.99690000000000001"/>
    <n v="2.87"/>
    <n v="1.36"/>
    <n v="10.199999999999999"/>
    <n v="6"/>
    <x v="0"/>
    <s v="High"/>
    <n v="20.929999999999996"/>
    <n v="668"/>
    <n v="93"/>
    <x v="0"/>
  </r>
  <r>
    <x v="615"/>
    <n v="9.6"/>
    <n v="0.6"/>
    <n v="0.5"/>
    <n v="2.2999999999999998"/>
    <n v="7.9000000000000001E-2"/>
    <n v="28"/>
    <n v="71"/>
    <n v="0.99970000000000003"/>
    <n v="3.5"/>
    <n v="0.56999999999999995"/>
    <n v="9.6999999999999993"/>
    <n v="5"/>
    <x v="0"/>
    <s v="Normal"/>
    <n v="19.055"/>
    <n v="1145"/>
    <n v="43"/>
    <x v="0"/>
  </r>
  <r>
    <x v="616"/>
    <n v="9.6"/>
    <n v="0.6"/>
    <n v="0.5"/>
    <n v="2.2999999999999998"/>
    <n v="7.9000000000000001E-2"/>
    <n v="28"/>
    <n v="71"/>
    <n v="0.99970000000000003"/>
    <n v="3.5"/>
    <n v="0.56999999999999995"/>
    <n v="9.6999999999999993"/>
    <n v="5"/>
    <x v="0"/>
    <s v="Normal"/>
    <n v="19.055"/>
    <n v="1145"/>
    <n v="43"/>
    <x v="0"/>
  </r>
  <r>
    <x v="617"/>
    <n v="11.5"/>
    <n v="0.31"/>
    <n v="0.51"/>
    <n v="2.2000000000000002"/>
    <n v="7.9000000000000001E-2"/>
    <n v="14"/>
    <n v="28"/>
    <n v="0.99819999999999998"/>
    <n v="3.03"/>
    <n v="0.93"/>
    <n v="9.8000000000000007"/>
    <n v="6"/>
    <x v="0"/>
    <s v="High"/>
    <n v="20.375"/>
    <n v="774"/>
    <n v="14"/>
    <x v="0"/>
  </r>
  <r>
    <x v="618"/>
    <n v="11.4"/>
    <n v="0.46"/>
    <n v="0.5"/>
    <n v="2.7"/>
    <n v="0.122"/>
    <n v="4"/>
    <n v="17"/>
    <n v="1.0005999999999999"/>
    <n v="3.13"/>
    <n v="0.7"/>
    <n v="10.199999999999999"/>
    <n v="5"/>
    <x v="0"/>
    <s v="High"/>
    <n v="20.529999999999998"/>
    <n v="752"/>
    <n v="13"/>
    <x v="0"/>
  </r>
  <r>
    <x v="619"/>
    <n v="11.3"/>
    <n v="0.37"/>
    <n v="0.41"/>
    <n v="2.2999999999999998"/>
    <n v="8.7999999999999995E-2"/>
    <n v="6"/>
    <n v="16"/>
    <n v="0.99880000000000002"/>
    <n v="3.09"/>
    <n v="0.8"/>
    <n v="9.3000000000000007"/>
    <n v="5"/>
    <x v="0"/>
    <s v="High"/>
    <n v="19.060000000000002"/>
    <n v="1141"/>
    <n v="10"/>
    <x v="0"/>
  </r>
  <r>
    <x v="620"/>
    <n v="8.3000000000000007"/>
    <n v="0.54"/>
    <n v="0.24"/>
    <n v="3.4"/>
    <n v="7.5999999999999998E-2"/>
    <n v="16"/>
    <n v="112"/>
    <n v="0.99760000000000004"/>
    <n v="3.27"/>
    <n v="0.61"/>
    <n v="9.4"/>
    <n v="5"/>
    <x v="0"/>
    <s v="Normal"/>
    <n v="18.634999999999998"/>
    <n v="1328"/>
    <n v="96"/>
    <x v="0"/>
  </r>
  <r>
    <x v="621"/>
    <n v="8.1999999999999993"/>
    <n v="0.56000000000000005"/>
    <n v="0.23"/>
    <n v="3.4"/>
    <n v="7.8E-2"/>
    <n v="14"/>
    <n v="104"/>
    <n v="0.99760000000000004"/>
    <n v="3.28"/>
    <n v="0.62"/>
    <n v="9.4"/>
    <n v="5"/>
    <x v="0"/>
    <s v="Normal"/>
    <n v="18.61"/>
    <n v="1343"/>
    <n v="90"/>
    <x v="0"/>
  </r>
  <r>
    <x v="622"/>
    <n v="10"/>
    <n v="0.57999999999999996"/>
    <n v="0.22"/>
    <n v="1.9"/>
    <n v="0.08"/>
    <n v="9"/>
    <n v="32"/>
    <n v="0.99739999999999995"/>
    <n v="3.13"/>
    <n v="0.55000000000000004"/>
    <n v="9.5"/>
    <n v="5"/>
    <x v="0"/>
    <s v="High"/>
    <n v="18.664999999999999"/>
    <n v="1311"/>
    <n v="23"/>
    <x v="0"/>
  </r>
  <r>
    <x v="623"/>
    <n v="7.9"/>
    <n v="0.51"/>
    <n v="0.25"/>
    <n v="2.9"/>
    <n v="7.6999999999999999E-2"/>
    <n v="21"/>
    <n v="45"/>
    <n v="0.99739999999999995"/>
    <n v="3.49"/>
    <n v="0.96"/>
    <n v="12.1"/>
    <n v="6"/>
    <x v="0"/>
    <s v="Normal"/>
    <n v="24.62"/>
    <n v="117"/>
    <n v="24"/>
    <x v="1"/>
  </r>
  <r>
    <x v="624"/>
    <n v="6.8"/>
    <n v="0.69"/>
    <n v="0"/>
    <n v="5.6"/>
    <n v="0.124"/>
    <n v="21"/>
    <n v="58"/>
    <n v="0.99970000000000003"/>
    <n v="3.46"/>
    <n v="0.72"/>
    <n v="10.199999999999999"/>
    <n v="5"/>
    <x v="0"/>
    <s v="Normal"/>
    <n v="20.099999999999998"/>
    <n v="838"/>
    <n v="37"/>
    <x v="1"/>
  </r>
  <r>
    <x v="625"/>
    <n v="6.8"/>
    <n v="0.69"/>
    <n v="0"/>
    <n v="5.6"/>
    <n v="0.124"/>
    <n v="21"/>
    <n v="58"/>
    <n v="0.99970000000000003"/>
    <n v="3.46"/>
    <n v="0.72"/>
    <n v="10.199999999999999"/>
    <n v="5"/>
    <x v="0"/>
    <s v="Normal"/>
    <n v="20.099999999999998"/>
    <n v="838"/>
    <n v="37"/>
    <x v="1"/>
  </r>
  <r>
    <x v="626"/>
    <n v="8.8000000000000007"/>
    <n v="0.6"/>
    <n v="0.28999999999999998"/>
    <n v="2.2000000000000002"/>
    <n v="9.8000000000000004E-2"/>
    <n v="5"/>
    <n v="15"/>
    <n v="0.99880000000000002"/>
    <n v="3.36"/>
    <n v="0.49"/>
    <n v="9.1"/>
    <n v="5"/>
    <x v="0"/>
    <s v="Normal"/>
    <n v="17.734999999999999"/>
    <n v="1564"/>
    <n v="10"/>
    <x v="0"/>
  </r>
  <r>
    <x v="627"/>
    <n v="8.8000000000000007"/>
    <n v="0.6"/>
    <n v="0.28999999999999998"/>
    <n v="2.2000000000000002"/>
    <n v="9.8000000000000004E-2"/>
    <n v="5"/>
    <n v="15"/>
    <n v="0.99880000000000002"/>
    <n v="3.36"/>
    <n v="0.49"/>
    <n v="9.1"/>
    <n v="5"/>
    <x v="0"/>
    <s v="Normal"/>
    <n v="17.734999999999999"/>
    <n v="1564"/>
    <n v="10"/>
    <x v="0"/>
  </r>
  <r>
    <x v="628"/>
    <n v="8.6999999999999993"/>
    <n v="0.54"/>
    <n v="0.26"/>
    <n v="2.5"/>
    <n v="9.7000000000000003E-2"/>
    <n v="7"/>
    <n v="31"/>
    <n v="0.99760000000000004"/>
    <n v="3.27"/>
    <n v="0.6"/>
    <n v="9.3000000000000007"/>
    <n v="6"/>
    <x v="0"/>
    <s v="High"/>
    <n v="18.420000000000002"/>
    <n v="1407"/>
    <n v="24"/>
    <x v="0"/>
  </r>
  <r>
    <x v="629"/>
    <n v="7.6"/>
    <n v="0.68500000000000005"/>
    <n v="0.23"/>
    <n v="2.2999999999999998"/>
    <n v="0.111"/>
    <n v="20"/>
    <n v="84"/>
    <n v="0.99639999999999995"/>
    <n v="3.21"/>
    <n v="0.61"/>
    <n v="9.3000000000000007"/>
    <n v="5"/>
    <x v="0"/>
    <s v="Normal"/>
    <n v="18.145"/>
    <n v="1488"/>
    <n v="64"/>
    <x v="0"/>
  </r>
  <r>
    <x v="630"/>
    <n v="8.6999999999999993"/>
    <n v="0.54"/>
    <n v="0.26"/>
    <n v="2.5"/>
    <n v="9.7000000000000003E-2"/>
    <n v="7"/>
    <n v="31"/>
    <n v="0.99760000000000004"/>
    <n v="3.27"/>
    <n v="0.6"/>
    <n v="9.3000000000000007"/>
    <n v="6"/>
    <x v="0"/>
    <s v="High"/>
    <n v="18.420000000000002"/>
    <n v="1407"/>
    <n v="24"/>
    <x v="0"/>
  </r>
  <r>
    <x v="631"/>
    <n v="10.4"/>
    <n v="0.28000000000000003"/>
    <n v="0.54"/>
    <n v="2.7"/>
    <n v="0.105"/>
    <n v="5"/>
    <n v="19"/>
    <n v="0.99880000000000002"/>
    <n v="3.25"/>
    <n v="0.63"/>
    <n v="9.5"/>
    <n v="5"/>
    <x v="0"/>
    <s v="High"/>
    <n v="19.385000000000002"/>
    <n v="1011"/>
    <n v="14"/>
    <x v="0"/>
  </r>
  <r>
    <x v="632"/>
    <n v="7.6"/>
    <n v="0.41"/>
    <n v="0.14000000000000001"/>
    <n v="3"/>
    <n v="8.6999999999999994E-2"/>
    <n v="21"/>
    <n v="43"/>
    <n v="0.99639999999999995"/>
    <n v="3.32"/>
    <n v="0.56999999999999995"/>
    <n v="10.5"/>
    <n v="6"/>
    <x v="0"/>
    <s v="Normal"/>
    <n v="21.035"/>
    <n v="644"/>
    <n v="22"/>
    <x v="1"/>
  </r>
  <r>
    <x v="633"/>
    <n v="10.1"/>
    <n v="0.93500000000000005"/>
    <n v="0.22"/>
    <n v="3.4"/>
    <n v="0.105"/>
    <n v="11"/>
    <n v="86"/>
    <n v="1.0009999999999999"/>
    <n v="3.43"/>
    <n v="0.64"/>
    <n v="11.3"/>
    <n v="4"/>
    <x v="2"/>
    <s v="Normal"/>
    <n v="21.69"/>
    <n v="506"/>
    <n v="75"/>
    <x v="1"/>
  </r>
  <r>
    <x v="634"/>
    <n v="7.9"/>
    <n v="0.35"/>
    <n v="0.21"/>
    <n v="1.9"/>
    <n v="7.2999999999999995E-2"/>
    <n v="46"/>
    <n v="102"/>
    <n v="0.99639999999999995"/>
    <n v="3.27"/>
    <n v="0.57999999999999996"/>
    <n v="9.5"/>
    <n v="5"/>
    <x v="0"/>
    <s v="Normal"/>
    <n v="19.170000000000002"/>
    <n v="1098"/>
    <n v="56"/>
    <x v="0"/>
  </r>
  <r>
    <x v="635"/>
    <n v="8.6999999999999993"/>
    <n v="0.84"/>
    <n v="0"/>
    <n v="1.4"/>
    <n v="6.5000000000000002E-2"/>
    <n v="24"/>
    <n v="33"/>
    <n v="0.99539999999999995"/>
    <n v="3.27"/>
    <n v="0.55000000000000004"/>
    <n v="9.6999999999999993"/>
    <n v="5"/>
    <x v="0"/>
    <s v="High"/>
    <n v="18.544999999999998"/>
    <n v="1364"/>
    <n v="9"/>
    <x v="0"/>
  </r>
  <r>
    <x v="636"/>
    <n v="9.6"/>
    <n v="0.88"/>
    <n v="0.28000000000000003"/>
    <n v="2.4"/>
    <n v="8.5999999999999993E-2"/>
    <n v="30"/>
    <n v="147"/>
    <n v="0.99790000000000001"/>
    <n v="3.24"/>
    <n v="0.53"/>
    <n v="9.4"/>
    <n v="5"/>
    <x v="0"/>
    <s v="High"/>
    <n v="17.835000000000001"/>
    <n v="1548"/>
    <n v="117"/>
    <x v="0"/>
  </r>
  <r>
    <x v="637"/>
    <n v="9.5"/>
    <n v="0.88500000000000001"/>
    <n v="0.27"/>
    <n v="2.2999999999999998"/>
    <n v="8.4000000000000005E-2"/>
    <n v="31"/>
    <n v="145"/>
    <n v="0.99780000000000002"/>
    <n v="3.24"/>
    <n v="0.53"/>
    <n v="9.4"/>
    <n v="5"/>
    <x v="0"/>
    <s v="High"/>
    <n v="17.825000000000003"/>
    <n v="1550"/>
    <n v="114"/>
    <x v="0"/>
  </r>
  <r>
    <x v="638"/>
    <n v="7.7"/>
    <n v="0.91500000000000004"/>
    <n v="0.12"/>
    <n v="2.2000000000000002"/>
    <n v="0.14299999999999999"/>
    <n v="7"/>
    <n v="23"/>
    <n v="0.99639999999999995"/>
    <n v="3.35"/>
    <n v="0.65"/>
    <n v="10.199999999999999"/>
    <n v="7"/>
    <x v="1"/>
    <s v="Normal"/>
    <n v="19.545000000000002"/>
    <n v="964"/>
    <n v="16"/>
    <x v="1"/>
  </r>
  <r>
    <x v="639"/>
    <n v="8.9"/>
    <n v="0.28999999999999998"/>
    <n v="0.35"/>
    <n v="1.9"/>
    <n v="6.7000000000000004E-2"/>
    <n v="25"/>
    <n v="57"/>
    <n v="0.997"/>
    <n v="3.18"/>
    <n v="1.36"/>
    <n v="10.3"/>
    <n v="6"/>
    <x v="0"/>
    <s v="High"/>
    <n v="22.060000000000002"/>
    <n v="447"/>
    <n v="32"/>
    <x v="0"/>
  </r>
  <r>
    <x v="640"/>
    <n v="9.9"/>
    <n v="0.54"/>
    <n v="0.45"/>
    <n v="2.2999999999999998"/>
    <n v="7.0999999999999994E-2"/>
    <n v="16"/>
    <n v="40"/>
    <n v="0.99909999999999999"/>
    <n v="3.39"/>
    <n v="0.62"/>
    <n v="9.4"/>
    <n v="5"/>
    <x v="0"/>
    <s v="Normal"/>
    <n v="18.649999999999999"/>
    <n v="1321"/>
    <n v="24"/>
    <x v="0"/>
  </r>
  <r>
    <x v="641"/>
    <n v="9.5"/>
    <n v="0.59"/>
    <n v="0.44"/>
    <n v="2.2999999999999998"/>
    <n v="7.0999999999999994E-2"/>
    <n v="21"/>
    <n v="68"/>
    <n v="0.99919999999999998"/>
    <n v="3.46"/>
    <n v="0.63"/>
    <n v="9.5"/>
    <n v="5"/>
    <x v="0"/>
    <s v="Normal"/>
    <n v="18.765000000000001"/>
    <n v="1256"/>
    <n v="47"/>
    <x v="0"/>
  </r>
  <r>
    <x v="642"/>
    <n v="9.9"/>
    <n v="0.54"/>
    <n v="0.45"/>
    <n v="2.2999999999999998"/>
    <n v="7.0999999999999994E-2"/>
    <n v="16"/>
    <n v="40"/>
    <n v="0.99909999999999999"/>
    <n v="3.39"/>
    <n v="0.62"/>
    <n v="9.4"/>
    <n v="5"/>
    <x v="0"/>
    <s v="Normal"/>
    <n v="18.649999999999999"/>
    <n v="1321"/>
    <n v="24"/>
    <x v="0"/>
  </r>
  <r>
    <x v="643"/>
    <n v="9.5"/>
    <n v="0.59"/>
    <n v="0.44"/>
    <n v="2.2999999999999998"/>
    <n v="7.0999999999999994E-2"/>
    <n v="21"/>
    <n v="68"/>
    <n v="0.99919999999999998"/>
    <n v="3.46"/>
    <n v="0.63"/>
    <n v="9.5"/>
    <n v="5"/>
    <x v="0"/>
    <s v="Normal"/>
    <n v="18.765000000000001"/>
    <n v="1256"/>
    <n v="47"/>
    <x v="0"/>
  </r>
  <r>
    <x v="644"/>
    <n v="9.9"/>
    <n v="0.54"/>
    <n v="0.45"/>
    <n v="2.2999999999999998"/>
    <n v="7.0999999999999994E-2"/>
    <n v="16"/>
    <n v="40"/>
    <n v="0.99909999999999999"/>
    <n v="3.39"/>
    <n v="0.62"/>
    <n v="9.4"/>
    <n v="5"/>
    <x v="0"/>
    <s v="Normal"/>
    <n v="18.649999999999999"/>
    <n v="1321"/>
    <n v="24"/>
    <x v="0"/>
  </r>
  <r>
    <x v="645"/>
    <n v="7.8"/>
    <n v="0.64"/>
    <n v="0.1"/>
    <n v="6"/>
    <n v="0.115"/>
    <n v="5"/>
    <n v="11"/>
    <n v="0.99839999999999995"/>
    <n v="3.37"/>
    <n v="0.69"/>
    <n v="10.1"/>
    <n v="7"/>
    <x v="1"/>
    <s v="Normal"/>
    <n v="19.954999999999998"/>
    <n v="862"/>
    <n v="6"/>
    <x v="1"/>
  </r>
  <r>
    <x v="646"/>
    <n v="7.3"/>
    <n v="0.67"/>
    <n v="0.05"/>
    <n v="3.6"/>
    <n v="0.107"/>
    <n v="6"/>
    <n v="20"/>
    <n v="0.99719999999999998"/>
    <n v="3.4"/>
    <n v="0.63"/>
    <n v="10.1"/>
    <n v="5"/>
    <x v="0"/>
    <s v="Normal"/>
    <n v="19.805"/>
    <n v="905"/>
    <n v="14"/>
    <x v="1"/>
  </r>
  <r>
    <x v="647"/>
    <n v="8.3000000000000007"/>
    <n v="0.84499999999999997"/>
    <n v="0.01"/>
    <n v="2.2000000000000002"/>
    <n v="7.0000000000000007E-2"/>
    <n v="5"/>
    <n v="14"/>
    <n v="0.99670000000000003"/>
    <n v="3.32"/>
    <n v="0.57999999999999996"/>
    <n v="11"/>
    <n v="4"/>
    <x v="2"/>
    <s v="Normal"/>
    <n v="21.18"/>
    <n v="610"/>
    <n v="9"/>
    <x v="1"/>
  </r>
  <r>
    <x v="648"/>
    <n v="8.6999999999999993"/>
    <n v="0.48"/>
    <n v="0.3"/>
    <n v="2.8"/>
    <n v="6.6000000000000003E-2"/>
    <n v="10"/>
    <n v="28"/>
    <n v="0.99639999999999995"/>
    <n v="3.33"/>
    <n v="0.67"/>
    <n v="11.2"/>
    <n v="7"/>
    <x v="1"/>
    <s v="Normal"/>
    <n v="22.444999999999997"/>
    <n v="383"/>
    <n v="18"/>
    <x v="1"/>
  </r>
  <r>
    <x v="649"/>
    <n v="6.7"/>
    <n v="0.42"/>
    <n v="0.27"/>
    <n v="8.6"/>
    <n v="6.8000000000000005E-2"/>
    <n v="24"/>
    <n v="148"/>
    <n v="0.99480000000000002"/>
    <n v="3.16"/>
    <n v="0.56999999999999995"/>
    <n v="11.3"/>
    <n v="6"/>
    <x v="0"/>
    <s v="Normal"/>
    <n v="22.615000000000002"/>
    <n v="340"/>
    <n v="124"/>
    <x v="0"/>
  </r>
  <r>
    <x v="650"/>
    <n v="10.7"/>
    <n v="0.43"/>
    <n v="0.39"/>
    <n v="2.2000000000000002"/>
    <n v="0.106"/>
    <n v="8"/>
    <n v="32"/>
    <n v="0.99860000000000004"/>
    <n v="2.89"/>
    <n v="0.5"/>
    <n v="9.6"/>
    <n v="5"/>
    <x v="0"/>
    <s v="High"/>
    <n v="19.09"/>
    <n v="1125"/>
    <n v="24"/>
    <x v="0"/>
  </r>
  <r>
    <x v="651"/>
    <n v="9.8000000000000007"/>
    <n v="0.88"/>
    <n v="0.25"/>
    <n v="2.5"/>
    <n v="0.104"/>
    <n v="35"/>
    <n v="155"/>
    <n v="1.0009999999999999"/>
    <n v="3.41"/>
    <n v="0.67"/>
    <n v="11.2"/>
    <n v="5"/>
    <x v="0"/>
    <s v="Normal"/>
    <n v="21.644999999999996"/>
    <n v="520"/>
    <n v="120"/>
    <x v="1"/>
  </r>
  <r>
    <x v="652"/>
    <n v="15.9"/>
    <n v="0.36"/>
    <n v="0.65"/>
    <n v="7.5"/>
    <n v="9.6000000000000002E-2"/>
    <n v="22"/>
    <n v="71"/>
    <n v="0.99760000000000004"/>
    <n v="2.98"/>
    <n v="0.84"/>
    <n v="14.9"/>
    <n v="5"/>
    <x v="0"/>
    <s v="High"/>
    <n v="30.340000000000003"/>
    <n v="1"/>
    <n v="49"/>
    <x v="0"/>
  </r>
  <r>
    <x v="653"/>
    <n v="9.4"/>
    <n v="0.33"/>
    <n v="0.59"/>
    <n v="2.8"/>
    <n v="7.9000000000000001E-2"/>
    <n v="9"/>
    <n v="30"/>
    <n v="0.99760000000000004"/>
    <n v="3.12"/>
    <n v="0.54"/>
    <n v="12"/>
    <n v="6"/>
    <x v="0"/>
    <s v="High"/>
    <n v="24.15"/>
    <n v="164"/>
    <n v="21"/>
    <x v="0"/>
  </r>
  <r>
    <x v="654"/>
    <n v="8.6"/>
    <n v="0.47"/>
    <n v="0.47"/>
    <n v="2.4"/>
    <n v="7.3999999999999996E-2"/>
    <n v="7"/>
    <n v="29"/>
    <n v="0.99790000000000001"/>
    <n v="3.08"/>
    <n v="0.46"/>
    <n v="9.5"/>
    <n v="5"/>
    <x v="0"/>
    <s v="High"/>
    <n v="18.75"/>
    <n v="1264"/>
    <n v="22"/>
    <x v="0"/>
  </r>
  <r>
    <x v="655"/>
    <n v="9.6999999999999993"/>
    <n v="0.55000000000000004"/>
    <n v="0.17"/>
    <n v="2.9"/>
    <n v="8.6999999999999994E-2"/>
    <n v="20"/>
    <n v="53"/>
    <n v="1.0004"/>
    <n v="3.14"/>
    <n v="0.61"/>
    <n v="9.4"/>
    <n v="5"/>
    <x v="0"/>
    <s v="High"/>
    <n v="18.614999999999998"/>
    <n v="1338"/>
    <n v="33"/>
    <x v="0"/>
  </r>
  <r>
    <x v="656"/>
    <n v="10.7"/>
    <n v="0.43"/>
    <n v="0.39"/>
    <n v="2.2000000000000002"/>
    <n v="0.106"/>
    <n v="8"/>
    <n v="32"/>
    <n v="0.99860000000000004"/>
    <n v="2.89"/>
    <n v="0.5"/>
    <n v="9.6"/>
    <n v="5"/>
    <x v="0"/>
    <s v="High"/>
    <n v="19.09"/>
    <n v="1125"/>
    <n v="24"/>
    <x v="0"/>
  </r>
  <r>
    <x v="657"/>
    <n v="12"/>
    <n v="0.5"/>
    <n v="0.59"/>
    <n v="1.4"/>
    <n v="7.2999999999999995E-2"/>
    <n v="23"/>
    <n v="42"/>
    <n v="0.998"/>
    <n v="2.92"/>
    <n v="0.68"/>
    <n v="10.5"/>
    <n v="7"/>
    <x v="1"/>
    <s v="High"/>
    <n v="21.02"/>
    <n v="647"/>
    <n v="19"/>
    <x v="0"/>
  </r>
  <r>
    <x v="658"/>
    <n v="7.2"/>
    <n v="0.52"/>
    <n v="7.0000000000000007E-2"/>
    <n v="1.4"/>
    <n v="7.3999999999999996E-2"/>
    <n v="5"/>
    <n v="20"/>
    <n v="0.99729999999999996"/>
    <n v="3.32"/>
    <n v="0.81"/>
    <n v="9.6"/>
    <n v="6"/>
    <x v="0"/>
    <s v="Normal"/>
    <n v="19.375"/>
    <n v="1016"/>
    <n v="15"/>
    <x v="0"/>
  </r>
  <r>
    <x v="659"/>
    <n v="7.1"/>
    <n v="0.84"/>
    <n v="0.02"/>
    <n v="4.4000000000000004"/>
    <n v="9.6000000000000002E-2"/>
    <n v="5"/>
    <n v="13"/>
    <n v="0.997"/>
    <n v="3.41"/>
    <n v="0.56999999999999995"/>
    <n v="11"/>
    <n v="4"/>
    <x v="2"/>
    <s v="Normal"/>
    <n v="21.175000000000001"/>
    <n v="619"/>
    <n v="8"/>
    <x v="1"/>
  </r>
  <r>
    <x v="660"/>
    <n v="7.2"/>
    <n v="0.52"/>
    <n v="7.0000000000000007E-2"/>
    <n v="1.4"/>
    <n v="7.3999999999999996E-2"/>
    <n v="5"/>
    <n v="20"/>
    <n v="0.99729999999999996"/>
    <n v="3.32"/>
    <n v="0.81"/>
    <n v="9.6"/>
    <n v="6"/>
    <x v="0"/>
    <s v="Normal"/>
    <n v="19.375"/>
    <n v="1016"/>
    <n v="15"/>
    <x v="0"/>
  </r>
  <r>
    <x v="661"/>
    <n v="7.5"/>
    <n v="0.42"/>
    <n v="0.31"/>
    <n v="1.6"/>
    <n v="0.08"/>
    <n v="15"/>
    <n v="42"/>
    <n v="0.99780000000000002"/>
    <n v="3.31"/>
    <n v="0.64"/>
    <n v="9"/>
    <n v="5"/>
    <x v="0"/>
    <s v="Normal"/>
    <n v="18.12"/>
    <n v="1497"/>
    <n v="27"/>
    <x v="0"/>
  </r>
  <r>
    <x v="662"/>
    <n v="7.2"/>
    <n v="0.56999999999999995"/>
    <n v="0.06"/>
    <n v="1.6"/>
    <n v="7.5999999999999998E-2"/>
    <n v="9"/>
    <n v="27"/>
    <n v="0.99719999999999998"/>
    <n v="3.36"/>
    <n v="0.7"/>
    <n v="9.6"/>
    <n v="6"/>
    <x v="0"/>
    <s v="Normal"/>
    <n v="19.11"/>
    <n v="1116"/>
    <n v="18"/>
    <x v="0"/>
  </r>
  <r>
    <x v="663"/>
    <n v="10.1"/>
    <n v="0.28000000000000003"/>
    <n v="0.46"/>
    <n v="1.8"/>
    <n v="0.05"/>
    <n v="5"/>
    <n v="13"/>
    <n v="0.99739999999999995"/>
    <n v="3.04"/>
    <n v="0.79"/>
    <n v="10.199999999999999"/>
    <n v="6"/>
    <x v="0"/>
    <s v="High"/>
    <n v="21.024999999999999"/>
    <n v="646"/>
    <n v="8"/>
    <x v="0"/>
  </r>
  <r>
    <x v="664"/>
    <n v="12.1"/>
    <n v="0.4"/>
    <n v="0.52"/>
    <n v="2"/>
    <n v="9.1999999999999998E-2"/>
    <n v="15"/>
    <n v="54"/>
    <n v="1"/>
    <n v="3.03"/>
    <n v="0.66"/>
    <n v="10.199999999999999"/>
    <n v="5"/>
    <x v="0"/>
    <s v="High"/>
    <n v="20.589999999999996"/>
    <n v="741"/>
    <n v="39"/>
    <x v="0"/>
  </r>
  <r>
    <x v="665"/>
    <n v="9.4"/>
    <n v="0.59"/>
    <n v="0.14000000000000001"/>
    <n v="2"/>
    <n v="8.4000000000000005E-2"/>
    <n v="25"/>
    <n v="48"/>
    <n v="0.99809999999999999"/>
    <n v="3.14"/>
    <n v="0.56000000000000005"/>
    <n v="9.6999999999999993"/>
    <n v="5"/>
    <x v="0"/>
    <s v="High"/>
    <n v="19.059999999999999"/>
    <n v="1142"/>
    <n v="23"/>
    <x v="0"/>
  </r>
  <r>
    <x v="666"/>
    <n v="8.3000000000000007"/>
    <n v="0.49"/>
    <n v="0.36"/>
    <n v="1.8"/>
    <n v="0.222"/>
    <n v="6"/>
    <n v="16"/>
    <n v="0.998"/>
    <n v="3.18"/>
    <n v="0.6"/>
    <n v="9.5"/>
    <n v="6"/>
    <x v="0"/>
    <s v="Normal"/>
    <n v="18.919999999999998"/>
    <n v="1197"/>
    <n v="10"/>
    <x v="0"/>
  </r>
  <r>
    <x v="667"/>
    <n v="11.3"/>
    <n v="0.34"/>
    <n v="0.45"/>
    <n v="2"/>
    <n v="8.2000000000000003E-2"/>
    <n v="6"/>
    <n v="15"/>
    <n v="0.99880000000000002"/>
    <n v="2.94"/>
    <n v="0.66"/>
    <n v="9.1999999999999993"/>
    <n v="6"/>
    <x v="0"/>
    <s v="High"/>
    <n v="18.709999999999997"/>
    <n v="1286"/>
    <n v="9"/>
    <x v="0"/>
  </r>
  <r>
    <x v="668"/>
    <n v="10"/>
    <n v="0.73"/>
    <n v="0.43"/>
    <n v="2.2999999999999998"/>
    <n v="5.8999999999999997E-2"/>
    <n v="15"/>
    <n v="31"/>
    <n v="0.99660000000000004"/>
    <n v="3.15"/>
    <n v="0.56999999999999995"/>
    <n v="11"/>
    <n v="5"/>
    <x v="0"/>
    <s v="High"/>
    <n v="21.395"/>
    <n v="557"/>
    <n v="16"/>
    <x v="0"/>
  </r>
  <r>
    <x v="669"/>
    <n v="11.3"/>
    <n v="0.34"/>
    <n v="0.45"/>
    <n v="2"/>
    <n v="8.2000000000000003E-2"/>
    <n v="6"/>
    <n v="15"/>
    <n v="0.99880000000000002"/>
    <n v="2.94"/>
    <n v="0.66"/>
    <n v="9.1999999999999993"/>
    <n v="6"/>
    <x v="0"/>
    <s v="High"/>
    <n v="18.709999999999997"/>
    <n v="1286"/>
    <n v="9"/>
    <x v="0"/>
  </r>
  <r>
    <x v="670"/>
    <n v="6.9"/>
    <n v="0.4"/>
    <n v="0.24"/>
    <n v="2.5"/>
    <n v="8.3000000000000004E-2"/>
    <n v="30"/>
    <n v="45"/>
    <n v="0.99590000000000001"/>
    <n v="3.26"/>
    <n v="0.57999999999999996"/>
    <n v="10"/>
    <n v="5"/>
    <x v="0"/>
    <s v="Normal"/>
    <n v="20.07"/>
    <n v="846"/>
    <n v="15"/>
    <x v="1"/>
  </r>
  <r>
    <x v="671"/>
    <n v="8.1999999999999993"/>
    <n v="0.73"/>
    <n v="0.21"/>
    <n v="1.7"/>
    <n v="7.3999999999999996E-2"/>
    <n v="5"/>
    <n v="13"/>
    <n v="0.99680000000000002"/>
    <n v="3.2"/>
    <n v="0.52"/>
    <n v="9.5"/>
    <n v="5"/>
    <x v="0"/>
    <s v="Normal"/>
    <n v="18.32"/>
    <n v="1448"/>
    <n v="8"/>
    <x v="0"/>
  </r>
  <r>
    <x v="672"/>
    <n v="9.8000000000000007"/>
    <n v="1.24"/>
    <n v="0.34"/>
    <n v="2"/>
    <n v="7.9000000000000001E-2"/>
    <n v="32"/>
    <n v="151"/>
    <n v="0.998"/>
    <n v="3.15"/>
    <n v="0.53"/>
    <n v="9.5"/>
    <n v="5"/>
    <x v="0"/>
    <s v="High"/>
    <n v="17.315000000000001"/>
    <n v="1592"/>
    <n v="119"/>
    <x v="0"/>
  </r>
  <r>
    <x v="673"/>
    <n v="8.1999999999999993"/>
    <n v="0.73"/>
    <n v="0.21"/>
    <n v="1.7"/>
    <n v="7.3999999999999996E-2"/>
    <n v="5"/>
    <n v="13"/>
    <n v="0.99680000000000002"/>
    <n v="3.2"/>
    <n v="0.52"/>
    <n v="9.5"/>
    <n v="5"/>
    <x v="0"/>
    <s v="Normal"/>
    <n v="18.32"/>
    <n v="1448"/>
    <n v="8"/>
    <x v="0"/>
  </r>
  <r>
    <x v="674"/>
    <n v="10.8"/>
    <n v="0.4"/>
    <n v="0.41"/>
    <n v="2.2000000000000002"/>
    <n v="8.4000000000000005E-2"/>
    <n v="7"/>
    <n v="17"/>
    <n v="0.99839999999999995"/>
    <n v="3.08"/>
    <n v="0.67"/>
    <n v="9.3000000000000007"/>
    <n v="6"/>
    <x v="0"/>
    <s v="High"/>
    <n v="18.805"/>
    <n v="1246"/>
    <n v="10"/>
    <x v="0"/>
  </r>
  <r>
    <x v="675"/>
    <n v="9.3000000000000007"/>
    <n v="0.41"/>
    <n v="0.39"/>
    <n v="2.2000000000000002"/>
    <n v="6.4000000000000001E-2"/>
    <n v="12"/>
    <n v="31"/>
    <n v="0.99839999999999995"/>
    <n v="3.26"/>
    <n v="0.65"/>
    <n v="10.199999999999999"/>
    <n v="5"/>
    <x v="0"/>
    <s v="High"/>
    <n v="20.555"/>
    <n v="744"/>
    <n v="19"/>
    <x v="1"/>
  </r>
  <r>
    <x v="676"/>
    <n v="10.8"/>
    <n v="0.4"/>
    <n v="0.41"/>
    <n v="2.2000000000000002"/>
    <n v="8.4000000000000005E-2"/>
    <n v="7"/>
    <n v="17"/>
    <n v="0.99839999999999995"/>
    <n v="3.08"/>
    <n v="0.67"/>
    <n v="9.3000000000000007"/>
    <n v="6"/>
    <x v="0"/>
    <s v="High"/>
    <n v="18.805"/>
    <n v="1246"/>
    <n v="10"/>
    <x v="0"/>
  </r>
  <r>
    <x v="677"/>
    <n v="8.6"/>
    <n v="0.8"/>
    <n v="0.11"/>
    <n v="2.2999999999999998"/>
    <n v="8.4000000000000005E-2"/>
    <n v="12"/>
    <n v="31"/>
    <n v="0.99790000000000001"/>
    <n v="3.4"/>
    <n v="0.48"/>
    <n v="9.9"/>
    <n v="5"/>
    <x v="0"/>
    <s v="Normal"/>
    <n v="18.919999999999998"/>
    <n v="1197"/>
    <n v="19"/>
    <x v="0"/>
  </r>
  <r>
    <x v="678"/>
    <n v="8.3000000000000007"/>
    <n v="0.78"/>
    <n v="0.1"/>
    <n v="2.6"/>
    <n v="8.1000000000000003E-2"/>
    <n v="45"/>
    <n v="87"/>
    <n v="0.99829999999999997"/>
    <n v="3.48"/>
    <n v="0.53"/>
    <n v="10"/>
    <n v="5"/>
    <x v="0"/>
    <s v="Normal"/>
    <n v="19.235000000000003"/>
    <n v="1065"/>
    <n v="42"/>
    <x v="1"/>
  </r>
  <r>
    <x v="679"/>
    <n v="10.8"/>
    <n v="0.26"/>
    <n v="0.45"/>
    <n v="3.3"/>
    <n v="0.06"/>
    <n v="20"/>
    <n v="49"/>
    <n v="0.99719999999999998"/>
    <n v="3.13"/>
    <n v="0.54"/>
    <n v="9.6"/>
    <n v="5"/>
    <x v="0"/>
    <s v="High"/>
    <n v="19.489999999999998"/>
    <n v="974"/>
    <n v="29"/>
    <x v="0"/>
  </r>
  <r>
    <x v="680"/>
    <n v="13.3"/>
    <n v="0.43"/>
    <n v="0.57999999999999996"/>
    <n v="1.9"/>
    <n v="7.0000000000000007E-2"/>
    <n v="15"/>
    <n v="40"/>
    <n v="1.0004"/>
    <n v="3.06"/>
    <n v="0.49"/>
    <n v="9"/>
    <n v="5"/>
    <x v="0"/>
    <s v="High"/>
    <n v="17.875"/>
    <n v="1542"/>
    <n v="25"/>
    <x v="0"/>
  </r>
  <r>
    <x v="681"/>
    <n v="8"/>
    <n v="0.45"/>
    <n v="0.23"/>
    <n v="2.2000000000000002"/>
    <n v="9.4E-2"/>
    <n v="16"/>
    <n v="29"/>
    <n v="0.99619999999999997"/>
    <n v="3.21"/>
    <n v="0.49"/>
    <n v="10.199999999999999"/>
    <n v="6"/>
    <x v="0"/>
    <s v="Normal"/>
    <n v="20.234999999999999"/>
    <n v="801"/>
    <n v="13"/>
    <x v="1"/>
  </r>
  <r>
    <x v="682"/>
    <n v="8.5"/>
    <n v="0.46"/>
    <n v="0.31"/>
    <n v="2.25"/>
    <n v="7.8E-2"/>
    <n v="32"/>
    <n v="58"/>
    <n v="0.998"/>
    <n v="3.33"/>
    <n v="0.54"/>
    <n v="9.8000000000000007"/>
    <n v="5"/>
    <x v="0"/>
    <s v="Normal"/>
    <n v="19.489999999999998"/>
    <n v="974"/>
    <n v="26"/>
    <x v="0"/>
  </r>
  <r>
    <x v="683"/>
    <n v="8.1"/>
    <n v="0.78"/>
    <n v="0.23"/>
    <n v="2.6"/>
    <n v="5.8999999999999997E-2"/>
    <n v="5"/>
    <n v="15"/>
    <n v="0.997"/>
    <n v="3.37"/>
    <n v="0.56000000000000005"/>
    <n v="11.3"/>
    <n v="5"/>
    <x v="0"/>
    <s v="Normal"/>
    <n v="21.880000000000003"/>
    <n v="468"/>
    <n v="10"/>
    <x v="1"/>
  </r>
  <r>
    <x v="684"/>
    <n v="9.8000000000000007"/>
    <n v="0.98"/>
    <n v="0.32"/>
    <n v="2.2999999999999998"/>
    <n v="7.8E-2"/>
    <n v="35"/>
    <n v="152"/>
    <n v="0.998"/>
    <n v="3.25"/>
    <n v="0.48"/>
    <n v="9.4"/>
    <n v="5"/>
    <x v="0"/>
    <s v="High"/>
    <n v="17.559999999999999"/>
    <n v="1582"/>
    <n v="117"/>
    <x v="0"/>
  </r>
  <r>
    <x v="685"/>
    <n v="8.1"/>
    <n v="0.78"/>
    <n v="0.23"/>
    <n v="2.6"/>
    <n v="5.8999999999999997E-2"/>
    <n v="5"/>
    <n v="15"/>
    <n v="0.997"/>
    <n v="3.37"/>
    <n v="0.56000000000000005"/>
    <n v="11.3"/>
    <n v="5"/>
    <x v="0"/>
    <s v="Normal"/>
    <n v="21.880000000000003"/>
    <n v="468"/>
    <n v="10"/>
    <x v="1"/>
  </r>
  <r>
    <x v="686"/>
    <n v="7.1"/>
    <n v="0.65"/>
    <n v="0.18"/>
    <n v="1.8"/>
    <n v="7.0000000000000007E-2"/>
    <n v="13"/>
    <n v="40"/>
    <n v="0.997"/>
    <n v="3.44"/>
    <n v="0.6"/>
    <n v="9.1"/>
    <n v="5"/>
    <x v="0"/>
    <s v="Normal"/>
    <n v="17.799999999999997"/>
    <n v="1554"/>
    <n v="27"/>
    <x v="0"/>
  </r>
  <r>
    <x v="687"/>
    <n v="9.1"/>
    <n v="0.64"/>
    <n v="0.23"/>
    <n v="3.1"/>
    <n v="9.5000000000000001E-2"/>
    <n v="13"/>
    <n v="38"/>
    <n v="0.99980000000000002"/>
    <n v="3.28"/>
    <n v="0.59"/>
    <n v="9.6999999999999993"/>
    <n v="5"/>
    <x v="0"/>
    <s v="High"/>
    <n v="19.004999999999999"/>
    <n v="1164"/>
    <n v="25"/>
    <x v="0"/>
  </r>
  <r>
    <x v="688"/>
    <n v="7.7"/>
    <n v="0.66"/>
    <n v="0.04"/>
    <n v="1.6"/>
    <n v="3.9E-2"/>
    <n v="4"/>
    <n v="9"/>
    <n v="0.99619999999999997"/>
    <n v="3.4"/>
    <n v="0.47"/>
    <n v="9.4"/>
    <n v="5"/>
    <x v="0"/>
    <s v="Normal"/>
    <n v="18.184999999999999"/>
    <n v="1483"/>
    <n v="5"/>
    <x v="0"/>
  </r>
  <r>
    <x v="689"/>
    <n v="8.1"/>
    <n v="0.38"/>
    <n v="0.48"/>
    <n v="1.8"/>
    <n v="0.157"/>
    <n v="5"/>
    <n v="17"/>
    <n v="0.99760000000000004"/>
    <n v="3.3"/>
    <n v="1.05"/>
    <n v="9.4"/>
    <n v="5"/>
    <x v="0"/>
    <s v="Normal"/>
    <n v="19.614999999999998"/>
    <n v="950"/>
    <n v="12"/>
    <x v="0"/>
  </r>
  <r>
    <x v="690"/>
    <n v="7.4"/>
    <n v="1.1850000000000001"/>
    <n v="0"/>
    <n v="4.25"/>
    <n v="9.7000000000000003E-2"/>
    <n v="5"/>
    <n v="14"/>
    <n v="0.99660000000000004"/>
    <n v="3.63"/>
    <n v="0.54"/>
    <n v="10.7"/>
    <n v="3"/>
    <x v="2"/>
    <s v="Normal"/>
    <n v="19.839999999999996"/>
    <n v="896"/>
    <n v="9"/>
    <x v="1"/>
  </r>
  <r>
    <x v="691"/>
    <n v="9.1999999999999993"/>
    <n v="0.92"/>
    <n v="0.24"/>
    <n v="2.6"/>
    <n v="8.6999999999999994E-2"/>
    <n v="12"/>
    <n v="93"/>
    <n v="0.99980000000000002"/>
    <n v="3.48"/>
    <n v="0.54"/>
    <n v="9.8000000000000007"/>
    <n v="5"/>
    <x v="0"/>
    <s v="Normal"/>
    <n v="18.57"/>
    <n v="1351"/>
    <n v="81"/>
    <x v="0"/>
  </r>
  <r>
    <x v="692"/>
    <n v="8.6"/>
    <n v="0.49"/>
    <n v="0.51"/>
    <n v="2"/>
    <n v="0.42199999999999999"/>
    <n v="16"/>
    <n v="62"/>
    <n v="0.99790000000000001"/>
    <n v="3.03"/>
    <n v="1.17"/>
    <n v="9"/>
    <n v="5"/>
    <x v="0"/>
    <s v="High"/>
    <n v="18.774999999999999"/>
    <n v="1252"/>
    <n v="46"/>
    <x v="0"/>
  </r>
  <r>
    <x v="693"/>
    <n v="9"/>
    <n v="0.48"/>
    <n v="0.32"/>
    <n v="2.8"/>
    <n v="8.4000000000000005E-2"/>
    <n v="21"/>
    <n v="122"/>
    <n v="0.99839999999999995"/>
    <n v="3.32"/>
    <n v="0.62"/>
    <n v="9.4"/>
    <n v="5"/>
    <x v="0"/>
    <s v="Normal"/>
    <n v="18.77"/>
    <n v="1254"/>
    <n v="101"/>
    <x v="0"/>
  </r>
  <r>
    <x v="694"/>
    <n v="9"/>
    <n v="0.47"/>
    <n v="0.31"/>
    <n v="2.7"/>
    <n v="8.4000000000000005E-2"/>
    <n v="24"/>
    <n v="125"/>
    <n v="0.99839999999999995"/>
    <n v="3.31"/>
    <n v="0.61"/>
    <n v="9.4"/>
    <n v="5"/>
    <x v="0"/>
    <s v="High"/>
    <n v="18.774999999999999"/>
    <n v="1252"/>
    <n v="101"/>
    <x v="0"/>
  </r>
  <r>
    <x v="695"/>
    <n v="5.0999999999999996"/>
    <n v="0.47"/>
    <n v="0.02"/>
    <n v="1.3"/>
    <n v="3.4000000000000002E-2"/>
    <n v="18"/>
    <n v="44"/>
    <n v="0.99209999999999998"/>
    <n v="3.9"/>
    <n v="0.62"/>
    <n v="12.8"/>
    <n v="6"/>
    <x v="0"/>
    <s v="Normal"/>
    <n v="25.59"/>
    <n v="47"/>
    <n v="26"/>
    <x v="1"/>
  </r>
  <r>
    <x v="696"/>
    <n v="7"/>
    <n v="0.65"/>
    <n v="0.02"/>
    <n v="2.1"/>
    <n v="6.6000000000000003E-2"/>
    <n v="8"/>
    <n v="25"/>
    <n v="0.99719999999999998"/>
    <n v="3.47"/>
    <n v="0.67"/>
    <n v="9.5"/>
    <n v="6"/>
    <x v="0"/>
    <s v="Normal"/>
    <n v="18.704999999999998"/>
    <n v="1290"/>
    <n v="17"/>
    <x v="0"/>
  </r>
  <r>
    <x v="697"/>
    <n v="7"/>
    <n v="0.65"/>
    <n v="0.02"/>
    <n v="2.1"/>
    <n v="6.6000000000000003E-2"/>
    <n v="8"/>
    <n v="25"/>
    <n v="0.99719999999999998"/>
    <n v="3.47"/>
    <n v="0.67"/>
    <n v="9.5"/>
    <n v="6"/>
    <x v="0"/>
    <s v="Normal"/>
    <n v="18.704999999999998"/>
    <n v="1290"/>
    <n v="17"/>
    <x v="0"/>
  </r>
  <r>
    <x v="698"/>
    <n v="9.4"/>
    <n v="0.61499999999999999"/>
    <n v="0.28000000000000003"/>
    <n v="3.2"/>
    <n v="8.6999999999999994E-2"/>
    <n v="18"/>
    <n v="72"/>
    <n v="1.0001"/>
    <n v="3.31"/>
    <n v="0.53"/>
    <n v="9.6999999999999993"/>
    <n v="5"/>
    <x v="0"/>
    <s v="High"/>
    <n v="18.965"/>
    <n v="1175"/>
    <n v="54"/>
    <x v="0"/>
  </r>
  <r>
    <x v="699"/>
    <n v="11.8"/>
    <n v="0.38"/>
    <n v="0.55000000000000004"/>
    <n v="2.1"/>
    <n v="7.0999999999999994E-2"/>
    <n v="5"/>
    <n v="19"/>
    <n v="0.99860000000000004"/>
    <n v="3.11"/>
    <n v="0.62"/>
    <n v="10.8"/>
    <n v="6"/>
    <x v="0"/>
    <s v="High"/>
    <n v="21.77"/>
    <n v="488"/>
    <n v="14"/>
    <x v="0"/>
  </r>
  <r>
    <x v="700"/>
    <n v="10.6"/>
    <n v="1.02"/>
    <n v="0.43"/>
    <n v="2.9"/>
    <n v="7.5999999999999998E-2"/>
    <n v="26"/>
    <n v="88"/>
    <n v="0.99839999999999995"/>
    <n v="3.08"/>
    <n v="0.56999999999999995"/>
    <n v="10.1"/>
    <n v="6"/>
    <x v="0"/>
    <s v="High"/>
    <n v="19.015000000000001"/>
    <n v="1159"/>
    <n v="62"/>
    <x v="0"/>
  </r>
  <r>
    <x v="701"/>
    <n v="7"/>
    <n v="0.65"/>
    <n v="0.02"/>
    <n v="2.1"/>
    <n v="6.6000000000000003E-2"/>
    <n v="8"/>
    <n v="25"/>
    <n v="0.99719999999999998"/>
    <n v="3.47"/>
    <n v="0.67"/>
    <n v="9.5"/>
    <n v="6"/>
    <x v="0"/>
    <s v="Normal"/>
    <n v="18.704999999999998"/>
    <n v="1290"/>
    <n v="17"/>
    <x v="0"/>
  </r>
  <r>
    <x v="702"/>
    <n v="7"/>
    <n v="0.64"/>
    <n v="0.02"/>
    <n v="2.1"/>
    <n v="6.7000000000000004E-2"/>
    <n v="9"/>
    <n v="23"/>
    <n v="0.997"/>
    <n v="3.47"/>
    <n v="0.67"/>
    <n v="9.4"/>
    <n v="6"/>
    <x v="0"/>
    <s v="Normal"/>
    <n v="18.524999999999999"/>
    <n v="1369"/>
    <n v="14"/>
    <x v="0"/>
  </r>
  <r>
    <x v="703"/>
    <n v="7.5"/>
    <n v="0.38"/>
    <n v="0.48"/>
    <n v="2.6"/>
    <n v="7.2999999999999995E-2"/>
    <n v="22"/>
    <n v="84"/>
    <n v="0.99719999999999998"/>
    <n v="3.32"/>
    <n v="0.7"/>
    <n v="9.6"/>
    <n v="4"/>
    <x v="2"/>
    <s v="Normal"/>
    <n v="19.489999999999998"/>
    <n v="974"/>
    <n v="62"/>
    <x v="0"/>
  </r>
  <r>
    <x v="704"/>
    <n v="9.1"/>
    <n v="0.76500000000000001"/>
    <n v="0.04"/>
    <n v="1.6"/>
    <n v="7.8E-2"/>
    <n v="4"/>
    <n v="14"/>
    <n v="0.998"/>
    <n v="3.29"/>
    <n v="0.54"/>
    <n v="9.6999999999999993"/>
    <n v="4"/>
    <x v="2"/>
    <s v="High"/>
    <n v="18.679999999999996"/>
    <n v="1302"/>
    <n v="10"/>
    <x v="0"/>
  </r>
  <r>
    <x v="705"/>
    <n v="8.4"/>
    <n v="1.0349999999999999"/>
    <n v="0.15"/>
    <n v="6"/>
    <n v="7.2999999999999995E-2"/>
    <n v="11"/>
    <n v="54"/>
    <n v="0.999"/>
    <n v="3.37"/>
    <n v="0.49"/>
    <n v="9.9"/>
    <n v="5"/>
    <x v="0"/>
    <s v="Normal"/>
    <n v="18.465"/>
    <n v="1387"/>
    <n v="43"/>
    <x v="0"/>
  </r>
  <r>
    <x v="706"/>
    <n v="7"/>
    <n v="0.78"/>
    <n v="0.08"/>
    <n v="2"/>
    <n v="9.2999999999999999E-2"/>
    <n v="10"/>
    <n v="19"/>
    <n v="0.99560000000000004"/>
    <n v="3.4"/>
    <n v="0.47"/>
    <n v="10"/>
    <n v="5"/>
    <x v="0"/>
    <s v="Normal"/>
    <n v="19.145"/>
    <n v="1107"/>
    <n v="9"/>
    <x v="1"/>
  </r>
  <r>
    <x v="707"/>
    <n v="7.4"/>
    <n v="0.49"/>
    <n v="0.19"/>
    <n v="3"/>
    <n v="7.6999999999999999E-2"/>
    <n v="16"/>
    <n v="37"/>
    <n v="0.99660000000000004"/>
    <n v="3.37"/>
    <n v="0.51"/>
    <n v="10.5"/>
    <n v="5"/>
    <x v="0"/>
    <s v="Normal"/>
    <n v="20.785"/>
    <n v="706"/>
    <n v="21"/>
    <x v="1"/>
  </r>
  <r>
    <x v="708"/>
    <n v="7.8"/>
    <n v="0.54500000000000004"/>
    <n v="0.12"/>
    <n v="2.5"/>
    <n v="6.8000000000000005E-2"/>
    <n v="11"/>
    <n v="35"/>
    <n v="0.996"/>
    <n v="3.34"/>
    <n v="0.61"/>
    <n v="11.6"/>
    <n v="6"/>
    <x v="0"/>
    <s v="Normal"/>
    <n v="23.024999999999999"/>
    <n v="267"/>
    <n v="24"/>
    <x v="1"/>
  </r>
  <r>
    <x v="709"/>
    <n v="9.6999999999999993"/>
    <n v="0.31"/>
    <n v="0.47"/>
    <n v="1.6"/>
    <n v="6.2E-2"/>
    <n v="13"/>
    <n v="33"/>
    <n v="0.99829999999999997"/>
    <n v="3.27"/>
    <n v="0.66"/>
    <n v="10"/>
    <n v="6"/>
    <x v="0"/>
    <s v="High"/>
    <n v="20.369999999999997"/>
    <n v="778"/>
    <n v="20"/>
    <x v="1"/>
  </r>
  <r>
    <x v="710"/>
    <n v="10.6"/>
    <n v="1.0249999999999999"/>
    <n v="0.43"/>
    <n v="2.8"/>
    <n v="0.08"/>
    <n v="21"/>
    <n v="84"/>
    <n v="0.99850000000000005"/>
    <n v="3.06"/>
    <n v="0.56999999999999995"/>
    <n v="10.1"/>
    <n v="5"/>
    <x v="0"/>
    <s v="High"/>
    <n v="19.004999999999999"/>
    <n v="1164"/>
    <n v="63"/>
    <x v="0"/>
  </r>
  <r>
    <x v="711"/>
    <n v="8.9"/>
    <n v="0.56499999999999995"/>
    <n v="0.34"/>
    <n v="3"/>
    <n v="9.2999999999999999E-2"/>
    <n v="16"/>
    <n v="112"/>
    <n v="0.99980000000000002"/>
    <n v="3.38"/>
    <n v="0.61"/>
    <n v="9.5"/>
    <n v="5"/>
    <x v="0"/>
    <s v="Normal"/>
    <n v="18.785"/>
    <n v="1251"/>
    <n v="96"/>
    <x v="0"/>
  </r>
  <r>
    <x v="712"/>
    <n v="8.6999999999999993"/>
    <n v="0.69"/>
    <n v="0"/>
    <n v="3.2"/>
    <n v="8.4000000000000005E-2"/>
    <n v="13"/>
    <n v="33"/>
    <n v="0.99919999999999998"/>
    <n v="3.36"/>
    <n v="0.45"/>
    <n v="9.4"/>
    <n v="5"/>
    <x v="0"/>
    <s v="Normal"/>
    <n v="18.095000000000002"/>
    <n v="1500"/>
    <n v="20"/>
    <x v="0"/>
  </r>
  <r>
    <x v="713"/>
    <n v="8"/>
    <n v="0.43"/>
    <n v="0.36"/>
    <n v="2.2999999999999998"/>
    <n v="7.4999999999999997E-2"/>
    <n v="10"/>
    <n v="48"/>
    <n v="0.99760000000000004"/>
    <n v="3.34"/>
    <n v="0.46"/>
    <n v="9.4"/>
    <n v="5"/>
    <x v="0"/>
    <s v="Normal"/>
    <n v="18.630000000000003"/>
    <n v="1330"/>
    <n v="38"/>
    <x v="0"/>
  </r>
  <r>
    <x v="714"/>
    <n v="9.9"/>
    <n v="0.74"/>
    <n v="0.28000000000000003"/>
    <n v="2.6"/>
    <n v="7.8E-2"/>
    <n v="21"/>
    <n v="77"/>
    <n v="0.998"/>
    <n v="3.28"/>
    <n v="0.51"/>
    <n v="9.8000000000000007"/>
    <n v="5"/>
    <x v="0"/>
    <s v="High"/>
    <n v="18.885000000000002"/>
    <n v="1210"/>
    <n v="56"/>
    <x v="0"/>
  </r>
  <r>
    <x v="715"/>
    <n v="7.2"/>
    <n v="0.49"/>
    <n v="0.18"/>
    <n v="2.7"/>
    <n v="6.9000000000000006E-2"/>
    <n v="13"/>
    <n v="34"/>
    <n v="0.99670000000000003"/>
    <n v="3.29"/>
    <n v="0.48"/>
    <n v="9.1999999999999993"/>
    <n v="6"/>
    <x v="0"/>
    <s v="Normal"/>
    <n v="18.139999999999997"/>
    <n v="1493"/>
    <n v="21"/>
    <x v="0"/>
  </r>
  <r>
    <x v="716"/>
    <n v="8"/>
    <n v="0.43"/>
    <n v="0.36"/>
    <n v="2.2999999999999998"/>
    <n v="7.4999999999999997E-2"/>
    <n v="10"/>
    <n v="48"/>
    <n v="0.99760000000000004"/>
    <n v="3.34"/>
    <n v="0.46"/>
    <n v="9.4"/>
    <n v="5"/>
    <x v="0"/>
    <s v="Normal"/>
    <n v="18.630000000000003"/>
    <n v="1330"/>
    <n v="38"/>
    <x v="0"/>
  </r>
  <r>
    <x v="717"/>
    <n v="7.6"/>
    <n v="0.46"/>
    <n v="0.11"/>
    <n v="2.6"/>
    <n v="7.9000000000000001E-2"/>
    <n v="12"/>
    <n v="49"/>
    <n v="0.99680000000000002"/>
    <n v="3.21"/>
    <n v="0.56999999999999995"/>
    <n v="10"/>
    <n v="5"/>
    <x v="0"/>
    <s v="Normal"/>
    <n v="19.934999999999999"/>
    <n v="867"/>
    <n v="37"/>
    <x v="1"/>
  </r>
  <r>
    <x v="718"/>
    <n v="8.4"/>
    <n v="0.56000000000000005"/>
    <n v="0.04"/>
    <n v="2"/>
    <n v="8.2000000000000003E-2"/>
    <n v="10"/>
    <n v="22"/>
    <n v="0.99760000000000004"/>
    <n v="3.22"/>
    <n v="0.44"/>
    <n v="9.6"/>
    <n v="5"/>
    <x v="0"/>
    <s v="High"/>
    <n v="18.739999999999998"/>
    <n v="1266"/>
    <n v="12"/>
    <x v="0"/>
  </r>
  <r>
    <x v="719"/>
    <n v="7.1"/>
    <n v="0.66"/>
    <n v="0"/>
    <n v="3.9"/>
    <n v="8.5999999999999993E-2"/>
    <n v="17"/>
    <n v="45"/>
    <n v="0.99760000000000004"/>
    <n v="3.46"/>
    <n v="0.54"/>
    <n v="9.5"/>
    <n v="5"/>
    <x v="0"/>
    <s v="Normal"/>
    <n v="18.489999999999998"/>
    <n v="1377"/>
    <n v="28"/>
    <x v="0"/>
  </r>
  <r>
    <x v="720"/>
    <n v="8.4"/>
    <n v="0.56000000000000005"/>
    <n v="0.04"/>
    <n v="2"/>
    <n v="8.2000000000000003E-2"/>
    <n v="10"/>
    <n v="22"/>
    <n v="0.99760000000000004"/>
    <n v="3.22"/>
    <n v="0.44"/>
    <n v="9.6"/>
    <n v="5"/>
    <x v="0"/>
    <s v="High"/>
    <n v="18.739999999999998"/>
    <n v="1266"/>
    <n v="12"/>
    <x v="0"/>
  </r>
  <r>
    <x v="721"/>
    <n v="8.9"/>
    <n v="0.48"/>
    <n v="0.24"/>
    <n v="2.85"/>
    <n v="9.4E-2"/>
    <n v="35"/>
    <n v="106"/>
    <n v="0.99819999999999998"/>
    <n v="3.1"/>
    <n v="0.53"/>
    <n v="9.1999999999999993"/>
    <n v="5"/>
    <x v="0"/>
    <s v="High"/>
    <n v="18.234999999999999"/>
    <n v="1473"/>
    <n v="71"/>
    <x v="0"/>
  </r>
  <r>
    <x v="722"/>
    <n v="7.6"/>
    <n v="0.42"/>
    <n v="0.08"/>
    <n v="2.7"/>
    <n v="8.4000000000000005E-2"/>
    <n v="15"/>
    <n v="48"/>
    <n v="0.99680000000000002"/>
    <n v="3.21"/>
    <n v="0.59"/>
    <n v="10"/>
    <n v="5"/>
    <x v="0"/>
    <s v="Normal"/>
    <n v="20.045000000000002"/>
    <n v="849"/>
    <n v="33"/>
    <x v="1"/>
  </r>
  <r>
    <x v="723"/>
    <n v="7.1"/>
    <n v="0.31"/>
    <n v="0.3"/>
    <n v="2.2000000000000002"/>
    <n v="5.2999999999999999E-2"/>
    <n v="36"/>
    <n v="127"/>
    <n v="0.99650000000000005"/>
    <n v="2.94"/>
    <n v="1.62"/>
    <n v="9.5"/>
    <n v="5"/>
    <x v="0"/>
    <s v="Normal"/>
    <n v="20.81"/>
    <n v="695"/>
    <n v="91"/>
    <x v="0"/>
  </r>
  <r>
    <x v="724"/>
    <n v="7.5"/>
    <n v="1.115"/>
    <n v="0.1"/>
    <n v="3.1"/>
    <n v="8.5999999999999993E-2"/>
    <n v="5"/>
    <n v="12"/>
    <n v="0.99580000000000002"/>
    <n v="3.54"/>
    <n v="0.6"/>
    <n v="11.2"/>
    <n v="4"/>
    <x v="2"/>
    <s v="Normal"/>
    <n v="21.069999999999997"/>
    <n v="637"/>
    <n v="7"/>
    <x v="1"/>
  </r>
  <r>
    <x v="725"/>
    <n v="9"/>
    <n v="0.66"/>
    <n v="0.17"/>
    <n v="3"/>
    <n v="7.6999999999999999E-2"/>
    <n v="5"/>
    <n v="13"/>
    <n v="0.99760000000000004"/>
    <n v="3.29"/>
    <n v="0.55000000000000004"/>
    <n v="10.4"/>
    <n v="5"/>
    <x v="0"/>
    <s v="High"/>
    <n v="20.305"/>
    <n v="791"/>
    <n v="8"/>
    <x v="1"/>
  </r>
  <r>
    <x v="726"/>
    <n v="8.1"/>
    <n v="0.72"/>
    <n v="0.09"/>
    <n v="2.8"/>
    <n v="8.4000000000000005E-2"/>
    <n v="18"/>
    <n v="49"/>
    <n v="0.99939999999999996"/>
    <n v="3.43"/>
    <n v="0.72"/>
    <n v="11.1"/>
    <n v="6"/>
    <x v="0"/>
    <s v="Normal"/>
    <n v="21.84"/>
    <n v="475"/>
    <n v="31"/>
    <x v="1"/>
  </r>
  <r>
    <x v="727"/>
    <n v="6.4"/>
    <n v="0.56999999999999995"/>
    <n v="0.02"/>
    <n v="1.8"/>
    <n v="6.7000000000000004E-2"/>
    <n v="4"/>
    <n v="11"/>
    <n v="0.997"/>
    <n v="3.46"/>
    <n v="0.68"/>
    <n v="9.5"/>
    <n v="5"/>
    <x v="0"/>
    <s v="Normal"/>
    <n v="18.88"/>
    <n v="1211"/>
    <n v="7"/>
    <x v="0"/>
  </r>
  <r>
    <x v="728"/>
    <n v="6.4"/>
    <n v="0.56999999999999995"/>
    <n v="0.02"/>
    <n v="1.8"/>
    <n v="6.7000000000000004E-2"/>
    <n v="4"/>
    <n v="11"/>
    <n v="0.997"/>
    <n v="3.46"/>
    <n v="0.68"/>
    <n v="9.5"/>
    <n v="5"/>
    <x v="0"/>
    <s v="Normal"/>
    <n v="18.88"/>
    <n v="1211"/>
    <n v="7"/>
    <x v="0"/>
  </r>
  <r>
    <x v="729"/>
    <n v="6.4"/>
    <n v="0.86499999999999999"/>
    <n v="0.03"/>
    <n v="3.2"/>
    <n v="7.0999999999999994E-2"/>
    <n v="27"/>
    <n v="58"/>
    <n v="0.995"/>
    <n v="3.61"/>
    <n v="0.49"/>
    <n v="12.7"/>
    <n v="6"/>
    <x v="0"/>
    <s v="Normal"/>
    <n v="24.404999999999998"/>
    <n v="140"/>
    <n v="31"/>
    <x v="1"/>
  </r>
  <r>
    <x v="730"/>
    <n v="9.5"/>
    <n v="0.55000000000000004"/>
    <n v="0.66"/>
    <n v="2.2999999999999998"/>
    <n v="0.38700000000000001"/>
    <n v="12"/>
    <n v="37"/>
    <n v="0.99819999999999998"/>
    <n v="3.17"/>
    <n v="0.67"/>
    <n v="9.6"/>
    <n v="5"/>
    <x v="0"/>
    <s v="High"/>
    <n v="19.104999999999997"/>
    <n v="1120"/>
    <n v="25"/>
    <x v="0"/>
  </r>
  <r>
    <x v="731"/>
    <n v="8.9"/>
    <n v="0.875"/>
    <n v="0.13"/>
    <n v="3.45"/>
    <n v="8.7999999999999995E-2"/>
    <n v="4"/>
    <n v="14"/>
    <n v="0.99939999999999996"/>
    <n v="3.44"/>
    <n v="0.52"/>
    <n v="11.5"/>
    <n v="5"/>
    <x v="0"/>
    <s v="Normal"/>
    <n v="22.03"/>
    <n v="450"/>
    <n v="10"/>
    <x v="1"/>
  </r>
  <r>
    <x v="732"/>
    <n v="7.3"/>
    <n v="0.83499999999999996"/>
    <n v="0.03"/>
    <n v="2.1"/>
    <n v="9.1999999999999998E-2"/>
    <n v="10"/>
    <n v="19"/>
    <n v="0.99660000000000004"/>
    <n v="3.39"/>
    <n v="0.47"/>
    <n v="9.6"/>
    <n v="5"/>
    <x v="0"/>
    <s v="Normal"/>
    <n v="18.234999999999999"/>
    <n v="1473"/>
    <n v="9"/>
    <x v="0"/>
  </r>
  <r>
    <x v="733"/>
    <n v="7"/>
    <n v="0.45"/>
    <n v="0.34"/>
    <n v="2.7"/>
    <n v="8.2000000000000003E-2"/>
    <n v="16"/>
    <n v="72"/>
    <n v="0.998"/>
    <n v="3.55"/>
    <n v="0.6"/>
    <n v="9.5"/>
    <n v="5"/>
    <x v="0"/>
    <s v="Normal"/>
    <n v="19"/>
    <n v="1168"/>
    <n v="56"/>
    <x v="0"/>
  </r>
  <r>
    <x v="734"/>
    <n v="7.7"/>
    <n v="0.56000000000000005"/>
    <n v="0.2"/>
    <n v="2"/>
    <n v="7.4999999999999997E-2"/>
    <n v="9"/>
    <n v="39"/>
    <n v="0.99870000000000003"/>
    <n v="3.48"/>
    <n v="0.62"/>
    <n v="9.3000000000000007"/>
    <n v="5"/>
    <x v="0"/>
    <s v="Normal"/>
    <n v="18.41"/>
    <n v="1413"/>
    <n v="30"/>
    <x v="0"/>
  </r>
  <r>
    <x v="735"/>
    <n v="7.7"/>
    <n v="0.96499999999999997"/>
    <n v="0.1"/>
    <n v="2.1"/>
    <n v="0.112"/>
    <n v="11"/>
    <n v="22"/>
    <n v="0.99629999999999996"/>
    <n v="3.26"/>
    <n v="0.5"/>
    <n v="9.5"/>
    <n v="5"/>
    <x v="0"/>
    <s v="Normal"/>
    <n v="17.82"/>
    <n v="1551"/>
    <n v="11"/>
    <x v="0"/>
  </r>
  <r>
    <x v="736"/>
    <n v="7.7"/>
    <n v="0.96499999999999997"/>
    <n v="0.1"/>
    <n v="2.1"/>
    <n v="0.112"/>
    <n v="11"/>
    <n v="22"/>
    <n v="0.99629999999999996"/>
    <n v="3.26"/>
    <n v="0.5"/>
    <n v="9.5"/>
    <n v="5"/>
    <x v="0"/>
    <s v="Normal"/>
    <n v="17.82"/>
    <n v="1551"/>
    <n v="11"/>
    <x v="0"/>
  </r>
  <r>
    <x v="737"/>
    <n v="8.1999999999999993"/>
    <n v="0.59"/>
    <n v="0"/>
    <n v="2.5"/>
    <n v="9.2999999999999999E-2"/>
    <n v="19"/>
    <n v="58"/>
    <n v="1.0002"/>
    <n v="3.5"/>
    <n v="0.65"/>
    <n v="9.3000000000000007"/>
    <n v="6"/>
    <x v="0"/>
    <s v="Normal"/>
    <n v="18.395000000000003"/>
    <n v="1416"/>
    <n v="39"/>
    <x v="0"/>
  </r>
  <r>
    <x v="738"/>
    <n v="9"/>
    <n v="0.46"/>
    <n v="0.23"/>
    <n v="2.8"/>
    <n v="9.1999999999999998E-2"/>
    <n v="28"/>
    <n v="104"/>
    <n v="0.99829999999999997"/>
    <n v="3.1"/>
    <n v="0.56000000000000005"/>
    <n v="9.1999999999999993"/>
    <n v="5"/>
    <x v="0"/>
    <s v="High"/>
    <n v="18.319999999999997"/>
    <n v="1451"/>
    <n v="76"/>
    <x v="0"/>
  </r>
  <r>
    <x v="739"/>
    <n v="9"/>
    <n v="0.69"/>
    <n v="0"/>
    <n v="2.4"/>
    <n v="8.7999999999999995E-2"/>
    <n v="19"/>
    <n v="38"/>
    <n v="0.999"/>
    <n v="3.35"/>
    <n v="0.6"/>
    <n v="9.3000000000000007"/>
    <n v="5"/>
    <x v="0"/>
    <s v="Normal"/>
    <n v="18.12"/>
    <n v="1497"/>
    <n v="19"/>
    <x v="0"/>
  </r>
  <r>
    <x v="740"/>
    <n v="8.3000000000000007"/>
    <n v="0.76"/>
    <n v="0.28999999999999998"/>
    <n v="4.2"/>
    <n v="7.4999999999999997E-2"/>
    <n v="12"/>
    <n v="16"/>
    <n v="0.99650000000000005"/>
    <n v="3.45"/>
    <n v="0.68"/>
    <n v="11.5"/>
    <n v="6"/>
    <x v="0"/>
    <s v="Normal"/>
    <n v="22.5"/>
    <n v="370"/>
    <n v="4"/>
    <x v="1"/>
  </r>
  <r>
    <x v="741"/>
    <n v="9.1999999999999993"/>
    <n v="0.53"/>
    <n v="0.24"/>
    <n v="2.6"/>
    <n v="7.8E-2"/>
    <n v="28"/>
    <n v="139"/>
    <n v="0.99787999999999999"/>
    <n v="3.21"/>
    <n v="0.56999999999999995"/>
    <n v="9.5"/>
    <n v="5"/>
    <x v="0"/>
    <s v="High"/>
    <n v="18.795000000000002"/>
    <n v="1248"/>
    <n v="111"/>
    <x v="0"/>
  </r>
  <r>
    <x v="742"/>
    <n v="6.5"/>
    <n v="0.61499999999999999"/>
    <n v="0"/>
    <n v="1.9"/>
    <n v="6.5000000000000002E-2"/>
    <n v="9"/>
    <n v="18"/>
    <n v="0.99719999999999998"/>
    <n v="3.46"/>
    <n v="0.65"/>
    <n v="9.1999999999999993"/>
    <n v="5"/>
    <x v="0"/>
    <s v="Normal"/>
    <n v="18.145"/>
    <n v="1488"/>
    <n v="9"/>
    <x v="0"/>
  </r>
  <r>
    <x v="743"/>
    <n v="11.6"/>
    <n v="0.41"/>
    <n v="0.57999999999999996"/>
    <n v="2.8"/>
    <n v="9.6000000000000002E-2"/>
    <n v="25"/>
    <n v="101"/>
    <n v="1.00024"/>
    <n v="3.13"/>
    <n v="0.53"/>
    <n v="10"/>
    <n v="5"/>
    <x v="0"/>
    <s v="High"/>
    <n v="19.975000000000001"/>
    <n v="858"/>
    <n v="76"/>
    <x v="0"/>
  </r>
  <r>
    <x v="744"/>
    <n v="11.1"/>
    <n v="0.39"/>
    <n v="0.54"/>
    <n v="2.7"/>
    <n v="9.5000000000000001E-2"/>
    <n v="21"/>
    <n v="101"/>
    <n v="1.0001"/>
    <n v="3.13"/>
    <n v="0.51"/>
    <n v="9.5"/>
    <n v="5"/>
    <x v="0"/>
    <s v="High"/>
    <n v="18.984999999999999"/>
    <n v="1171"/>
    <n v="80"/>
    <x v="0"/>
  </r>
  <r>
    <x v="745"/>
    <n v="7.3"/>
    <n v="0.51"/>
    <n v="0.18"/>
    <n v="2.1"/>
    <n v="7.0000000000000007E-2"/>
    <n v="12"/>
    <n v="28"/>
    <n v="0.99768000000000001"/>
    <n v="3.52"/>
    <n v="0.73"/>
    <n v="9.5"/>
    <n v="6"/>
    <x v="0"/>
    <s v="Normal"/>
    <n v="19.074999999999999"/>
    <n v="1134"/>
    <n v="16"/>
    <x v="0"/>
  </r>
  <r>
    <x v="746"/>
    <n v="8.1999999999999993"/>
    <n v="0.34"/>
    <n v="0.38"/>
    <n v="2.5"/>
    <n v="0.08"/>
    <n v="12"/>
    <n v="57"/>
    <n v="0.99780000000000002"/>
    <n v="3.3"/>
    <n v="0.47"/>
    <n v="9"/>
    <n v="6"/>
    <x v="0"/>
    <s v="Normal"/>
    <n v="18.024999999999999"/>
    <n v="1517"/>
    <n v="45"/>
    <x v="0"/>
  </r>
  <r>
    <x v="747"/>
    <n v="8.6"/>
    <n v="0.33"/>
    <n v="0.4"/>
    <n v="2.6"/>
    <n v="8.3000000000000004E-2"/>
    <n v="16"/>
    <n v="68"/>
    <n v="0.99782000000000004"/>
    <n v="3.3"/>
    <n v="0.48"/>
    <n v="9.4"/>
    <n v="5"/>
    <x v="0"/>
    <s v="High"/>
    <n v="18.86"/>
    <n v="1222"/>
    <n v="52"/>
    <x v="0"/>
  </r>
  <r>
    <x v="748"/>
    <n v="7.2"/>
    <n v="0.5"/>
    <n v="0.18"/>
    <n v="2.1"/>
    <n v="7.0999999999999994E-2"/>
    <n v="12"/>
    <n v="31"/>
    <n v="0.99761"/>
    <n v="3.52"/>
    <n v="0.72"/>
    <n v="9.6"/>
    <n v="6"/>
    <x v="0"/>
    <s v="Normal"/>
    <n v="19.28"/>
    <n v="1046"/>
    <n v="19"/>
    <x v="0"/>
  </r>
  <r>
    <x v="749"/>
    <n v="7.3"/>
    <n v="0.51"/>
    <n v="0.18"/>
    <n v="2.1"/>
    <n v="7.0000000000000007E-2"/>
    <n v="12"/>
    <n v="28"/>
    <n v="0.99768000000000001"/>
    <n v="3.52"/>
    <n v="0.73"/>
    <n v="9.5"/>
    <n v="6"/>
    <x v="0"/>
    <s v="Normal"/>
    <n v="19.074999999999999"/>
    <n v="1134"/>
    <n v="16"/>
    <x v="0"/>
  </r>
  <r>
    <x v="750"/>
    <n v="8.3000000000000007"/>
    <n v="0.65"/>
    <n v="0.1"/>
    <n v="2.9"/>
    <n v="8.8999999999999996E-2"/>
    <n v="17"/>
    <n v="40"/>
    <n v="0.99802999999999997"/>
    <n v="3.29"/>
    <n v="0.55000000000000004"/>
    <n v="9.5"/>
    <n v="5"/>
    <x v="0"/>
    <s v="Normal"/>
    <n v="18.524999999999999"/>
    <n v="1369"/>
    <n v="23"/>
    <x v="0"/>
  </r>
  <r>
    <x v="751"/>
    <n v="8.3000000000000007"/>
    <n v="0.65"/>
    <n v="0.1"/>
    <n v="2.9"/>
    <n v="8.8999999999999996E-2"/>
    <n v="17"/>
    <n v="40"/>
    <n v="0.99802999999999997"/>
    <n v="3.29"/>
    <n v="0.55000000000000004"/>
    <n v="9.5"/>
    <n v="5"/>
    <x v="0"/>
    <s v="Normal"/>
    <n v="18.524999999999999"/>
    <n v="1369"/>
    <n v="23"/>
    <x v="0"/>
  </r>
  <r>
    <x v="752"/>
    <n v="7.6"/>
    <n v="0.54"/>
    <n v="0.13"/>
    <n v="2.5"/>
    <n v="9.7000000000000003E-2"/>
    <n v="24"/>
    <n v="66"/>
    <n v="0.99785000000000001"/>
    <n v="3.39"/>
    <n v="0.61"/>
    <n v="9.4"/>
    <n v="5"/>
    <x v="0"/>
    <s v="Normal"/>
    <n v="18.634999999999998"/>
    <n v="1328"/>
    <n v="42"/>
    <x v="0"/>
  </r>
  <r>
    <x v="753"/>
    <n v="8.3000000000000007"/>
    <n v="0.65"/>
    <n v="0.1"/>
    <n v="2.9"/>
    <n v="8.8999999999999996E-2"/>
    <n v="17"/>
    <n v="40"/>
    <n v="0.99802999999999997"/>
    <n v="3.29"/>
    <n v="0.55000000000000004"/>
    <n v="9.5"/>
    <n v="5"/>
    <x v="0"/>
    <s v="Normal"/>
    <n v="18.524999999999999"/>
    <n v="1369"/>
    <n v="23"/>
    <x v="0"/>
  </r>
  <r>
    <x v="754"/>
    <n v="7.8"/>
    <n v="0.48"/>
    <n v="0.68"/>
    <n v="1.7"/>
    <n v="0.41499999999999998"/>
    <n v="14"/>
    <n v="32"/>
    <n v="0.99656"/>
    <n v="3.09"/>
    <n v="1.06"/>
    <n v="9.1"/>
    <n v="6"/>
    <x v="0"/>
    <s v="Normal"/>
    <n v="18.829999999999998"/>
    <n v="1235"/>
    <n v="18"/>
    <x v="0"/>
  </r>
  <r>
    <x v="755"/>
    <n v="7.8"/>
    <n v="0.91"/>
    <n v="7.0000000000000007E-2"/>
    <n v="1.9"/>
    <n v="5.8000000000000003E-2"/>
    <n v="22"/>
    <n v="47"/>
    <n v="0.99524999999999997"/>
    <n v="3.51"/>
    <n v="0.43"/>
    <n v="10.7"/>
    <n v="6"/>
    <x v="0"/>
    <s v="Normal"/>
    <n v="20.224999999999998"/>
    <n v="806"/>
    <n v="25"/>
    <x v="1"/>
  </r>
  <r>
    <x v="756"/>
    <n v="6.3"/>
    <n v="0.98"/>
    <n v="0.01"/>
    <n v="2"/>
    <n v="5.7000000000000002E-2"/>
    <n v="15"/>
    <n v="33"/>
    <n v="0.99487999999999999"/>
    <n v="3.6"/>
    <n v="0.46"/>
    <n v="11.2"/>
    <n v="6"/>
    <x v="0"/>
    <s v="Normal"/>
    <n v="21.13"/>
    <n v="627"/>
    <n v="18"/>
    <x v="1"/>
  </r>
  <r>
    <x v="757"/>
    <n v="8.1"/>
    <n v="0.87"/>
    <n v="0"/>
    <n v="2.2000000000000002"/>
    <n v="8.4000000000000005E-2"/>
    <n v="10"/>
    <n v="31"/>
    <n v="0.99656"/>
    <n v="3.25"/>
    <n v="0.5"/>
    <n v="9.8000000000000007"/>
    <n v="5"/>
    <x v="0"/>
    <s v="Normal"/>
    <n v="18.610000000000003"/>
    <n v="1340"/>
    <n v="21"/>
    <x v="0"/>
  </r>
  <r>
    <x v="758"/>
    <n v="8.1"/>
    <n v="0.87"/>
    <n v="0"/>
    <n v="2.2000000000000002"/>
    <n v="8.4000000000000005E-2"/>
    <n v="10"/>
    <n v="31"/>
    <n v="0.99656"/>
    <n v="3.25"/>
    <n v="0.5"/>
    <n v="9.8000000000000007"/>
    <n v="5"/>
    <x v="0"/>
    <s v="Normal"/>
    <n v="18.610000000000003"/>
    <n v="1340"/>
    <n v="21"/>
    <x v="0"/>
  </r>
  <r>
    <x v="759"/>
    <n v="8.8000000000000007"/>
    <n v="0.42"/>
    <n v="0.21"/>
    <n v="2.5"/>
    <n v="9.1999999999999998E-2"/>
    <n v="33"/>
    <n v="88"/>
    <n v="0.99822999999999995"/>
    <n v="3.19"/>
    <n v="0.52"/>
    <n v="9.1999999999999993"/>
    <n v="5"/>
    <x v="0"/>
    <s v="High"/>
    <n v="18.34"/>
    <n v="1440"/>
    <n v="55"/>
    <x v="0"/>
  </r>
  <r>
    <x v="760"/>
    <n v="9"/>
    <n v="0.57999999999999996"/>
    <n v="0.25"/>
    <n v="2.8"/>
    <n v="7.4999999999999997E-2"/>
    <n v="9"/>
    <n v="104"/>
    <n v="0.99778999999999995"/>
    <n v="3.23"/>
    <n v="0.56999999999999995"/>
    <n v="9.6999999999999993"/>
    <n v="5"/>
    <x v="0"/>
    <s v="High"/>
    <n v="19.094999999999999"/>
    <n v="1124"/>
    <n v="95"/>
    <x v="0"/>
  </r>
  <r>
    <x v="761"/>
    <n v="9.3000000000000007"/>
    <n v="0.65500000000000003"/>
    <n v="0.26"/>
    <n v="2"/>
    <n v="9.6000000000000002E-2"/>
    <n v="5"/>
    <n v="35"/>
    <n v="0.99738000000000004"/>
    <n v="3.25"/>
    <n v="0.42"/>
    <n v="9.6"/>
    <n v="5"/>
    <x v="0"/>
    <s v="High"/>
    <n v="18.52"/>
    <n v="1374"/>
    <n v="30"/>
    <x v="0"/>
  </r>
  <r>
    <x v="762"/>
    <n v="8.8000000000000007"/>
    <n v="0.7"/>
    <n v="0"/>
    <n v="1.7"/>
    <n v="6.9000000000000006E-2"/>
    <n v="8"/>
    <n v="19"/>
    <n v="0.99700999999999995"/>
    <n v="3.31"/>
    <n v="0.53"/>
    <n v="10"/>
    <n v="6"/>
    <x v="0"/>
    <s v="High"/>
    <n v="19.395000000000003"/>
    <n v="1007"/>
    <n v="11"/>
    <x v="1"/>
  </r>
  <r>
    <x v="763"/>
    <n v="9.3000000000000007"/>
    <n v="0.65500000000000003"/>
    <n v="0.26"/>
    <n v="2"/>
    <n v="9.6000000000000002E-2"/>
    <n v="5"/>
    <n v="35"/>
    <n v="0.99738000000000004"/>
    <n v="3.25"/>
    <n v="0.42"/>
    <n v="9.6"/>
    <n v="5"/>
    <x v="0"/>
    <s v="High"/>
    <n v="18.52"/>
    <n v="1374"/>
    <n v="30"/>
    <x v="0"/>
  </r>
  <r>
    <x v="764"/>
    <n v="9.1"/>
    <n v="0.68"/>
    <n v="0.11"/>
    <n v="2.8"/>
    <n v="9.2999999999999999E-2"/>
    <n v="11"/>
    <n v="44"/>
    <n v="0.99887999999999999"/>
    <n v="3.31"/>
    <n v="0.55000000000000004"/>
    <n v="9.5"/>
    <n v="6"/>
    <x v="0"/>
    <s v="High"/>
    <n v="18.465"/>
    <n v="1387"/>
    <n v="33"/>
    <x v="0"/>
  </r>
  <r>
    <x v="765"/>
    <n v="9.1999999999999993"/>
    <n v="0.67"/>
    <n v="0.1"/>
    <n v="3"/>
    <n v="9.0999999999999998E-2"/>
    <n v="12"/>
    <n v="48"/>
    <n v="0.99887999999999999"/>
    <n v="3.31"/>
    <n v="0.54"/>
    <n v="9.5"/>
    <n v="6"/>
    <x v="0"/>
    <s v="High"/>
    <n v="18.47"/>
    <n v="1384"/>
    <n v="36"/>
    <x v="0"/>
  </r>
  <r>
    <x v="766"/>
    <n v="8.8000000000000007"/>
    <n v="0.59"/>
    <n v="0.18"/>
    <n v="2.9"/>
    <n v="8.8999999999999996E-2"/>
    <n v="12"/>
    <n v="74"/>
    <n v="0.99738000000000004"/>
    <n v="3.14"/>
    <n v="0.54"/>
    <n v="9.4"/>
    <n v="5"/>
    <x v="0"/>
    <s v="High"/>
    <n v="18.43"/>
    <n v="1399"/>
    <n v="62"/>
    <x v="0"/>
  </r>
  <r>
    <x v="767"/>
    <n v="7.5"/>
    <n v="0.6"/>
    <n v="0.32"/>
    <n v="2.7"/>
    <n v="0.10299999999999999"/>
    <n v="13"/>
    <n v="98"/>
    <n v="0.99938000000000005"/>
    <n v="3.45"/>
    <n v="0.62"/>
    <n v="9.5"/>
    <n v="5"/>
    <x v="0"/>
    <s v="Normal"/>
    <n v="18.73"/>
    <n v="1270"/>
    <n v="85"/>
    <x v="0"/>
  </r>
  <r>
    <x v="768"/>
    <n v="7.1"/>
    <n v="0.59"/>
    <n v="0.02"/>
    <n v="2.2999999999999998"/>
    <n v="8.2000000000000003E-2"/>
    <n v="24"/>
    <n v="94"/>
    <n v="0.99743999999999999"/>
    <n v="3.55"/>
    <n v="0.53"/>
    <n v="9.6999999999999993"/>
    <n v="6"/>
    <x v="0"/>
    <s v="Normal"/>
    <n v="19.015000000000001"/>
    <n v="1159"/>
    <n v="70"/>
    <x v="0"/>
  </r>
  <r>
    <x v="769"/>
    <n v="7.9"/>
    <n v="0.72"/>
    <n v="0.01"/>
    <n v="1.9"/>
    <n v="7.5999999999999998E-2"/>
    <n v="7"/>
    <n v="32"/>
    <n v="0.99668000000000001"/>
    <n v="3.39"/>
    <n v="0.54"/>
    <n v="9.6"/>
    <n v="5"/>
    <x v="0"/>
    <s v="Normal"/>
    <n v="18.569999999999997"/>
    <n v="1354"/>
    <n v="25"/>
    <x v="0"/>
  </r>
  <r>
    <x v="770"/>
    <n v="7.1"/>
    <n v="0.59"/>
    <n v="0.02"/>
    <n v="2.2999999999999998"/>
    <n v="8.2000000000000003E-2"/>
    <n v="24"/>
    <n v="94"/>
    <n v="0.99743999999999999"/>
    <n v="3.55"/>
    <n v="0.53"/>
    <n v="9.6999999999999993"/>
    <n v="6"/>
    <x v="0"/>
    <s v="Normal"/>
    <n v="19.015000000000001"/>
    <n v="1159"/>
    <n v="70"/>
    <x v="0"/>
  </r>
  <r>
    <x v="771"/>
    <n v="9.4"/>
    <n v="0.68500000000000005"/>
    <n v="0.26"/>
    <n v="2.4"/>
    <n v="8.2000000000000003E-2"/>
    <n v="23"/>
    <n v="143"/>
    <n v="0.99780000000000002"/>
    <n v="3.28"/>
    <n v="0.55000000000000004"/>
    <n v="9.4"/>
    <n v="5"/>
    <x v="0"/>
    <s v="High"/>
    <n v="18.254999999999999"/>
    <n v="1466"/>
    <n v="120"/>
    <x v="0"/>
  </r>
  <r>
    <x v="772"/>
    <n v="9.5"/>
    <n v="0.56999999999999995"/>
    <n v="0.27"/>
    <n v="2.2999999999999998"/>
    <n v="8.2000000000000003E-2"/>
    <n v="23"/>
    <n v="144"/>
    <n v="0.99782000000000004"/>
    <n v="3.27"/>
    <n v="0.55000000000000004"/>
    <n v="9.4"/>
    <n v="5"/>
    <x v="0"/>
    <s v="High"/>
    <n v="18.484999999999999"/>
    <n v="1379"/>
    <n v="121"/>
    <x v="0"/>
  </r>
  <r>
    <x v="773"/>
    <n v="7.9"/>
    <n v="0.4"/>
    <n v="0.28999999999999998"/>
    <n v="1.8"/>
    <n v="0.157"/>
    <n v="1"/>
    <n v="44"/>
    <n v="0.99729999999999996"/>
    <n v="3.3"/>
    <n v="0.92"/>
    <n v="9.5"/>
    <n v="6"/>
    <x v="0"/>
    <s v="Normal"/>
    <n v="19.579999999999998"/>
    <n v="955"/>
    <n v="43"/>
    <x v="0"/>
  </r>
  <r>
    <x v="774"/>
    <n v="7.9"/>
    <n v="0.4"/>
    <n v="0.3"/>
    <n v="1.8"/>
    <n v="0.157"/>
    <n v="2"/>
    <n v="45"/>
    <n v="0.99726999999999999"/>
    <n v="3.31"/>
    <n v="0.91"/>
    <n v="9.5"/>
    <n v="6"/>
    <x v="0"/>
    <s v="Normal"/>
    <n v="19.564999999999998"/>
    <n v="961"/>
    <n v="43"/>
    <x v="0"/>
  </r>
  <r>
    <x v="775"/>
    <n v="7.2"/>
    <n v="1"/>
    <n v="0"/>
    <n v="3"/>
    <n v="0.10199999999999999"/>
    <n v="7"/>
    <n v="16"/>
    <n v="0.99585999999999997"/>
    <n v="3.43"/>
    <n v="0.46"/>
    <n v="10"/>
    <n v="5"/>
    <x v="0"/>
    <s v="Normal"/>
    <n v="18.690000000000001"/>
    <n v="1296"/>
    <n v="9"/>
    <x v="1"/>
  </r>
  <r>
    <x v="776"/>
    <n v="6.9"/>
    <n v="0.76500000000000001"/>
    <n v="0.18"/>
    <n v="2.4"/>
    <n v="0.24299999999999999"/>
    <n v="5.5"/>
    <n v="48"/>
    <n v="0.99612000000000001"/>
    <n v="3.4"/>
    <n v="0.6"/>
    <n v="10.3"/>
    <n v="6"/>
    <x v="0"/>
    <s v="Normal"/>
    <n v="19.97"/>
    <n v="860"/>
    <n v="42.5"/>
    <x v="1"/>
  </r>
  <r>
    <x v="777"/>
    <n v="6.9"/>
    <n v="0.63500000000000001"/>
    <n v="0.17"/>
    <n v="2.4"/>
    <n v="0.24099999999999999"/>
    <n v="6"/>
    <n v="18"/>
    <n v="0.99609999999999999"/>
    <n v="3.4"/>
    <n v="0.59"/>
    <n v="10.3"/>
    <n v="6"/>
    <x v="0"/>
    <s v="Normal"/>
    <n v="20.215000000000003"/>
    <n v="810"/>
    <n v="12"/>
    <x v="1"/>
  </r>
  <r>
    <x v="778"/>
    <n v="8.3000000000000007"/>
    <n v="0.43"/>
    <n v="0.3"/>
    <n v="3.4"/>
    <n v="7.9000000000000001E-2"/>
    <n v="7"/>
    <n v="34"/>
    <n v="0.99787999999999999"/>
    <n v="3.36"/>
    <n v="0.61"/>
    <n v="10.5"/>
    <n v="5"/>
    <x v="0"/>
    <s v="Normal"/>
    <n v="21.055"/>
    <n v="641"/>
    <n v="27"/>
    <x v="1"/>
  </r>
  <r>
    <x v="779"/>
    <n v="7.1"/>
    <n v="0.52"/>
    <n v="0.03"/>
    <n v="2.6"/>
    <n v="7.5999999999999998E-2"/>
    <n v="21"/>
    <n v="92"/>
    <n v="0.99744999999999995"/>
    <n v="3.5"/>
    <n v="0.6"/>
    <n v="9.8000000000000007"/>
    <n v="5"/>
    <x v="0"/>
    <s v="Normal"/>
    <n v="19.46"/>
    <n v="991"/>
    <n v="71"/>
    <x v="0"/>
  </r>
  <r>
    <x v="780"/>
    <n v="7"/>
    <n v="0.56999999999999995"/>
    <n v="0"/>
    <n v="2"/>
    <n v="0.19"/>
    <n v="12"/>
    <n v="45"/>
    <n v="0.99675999999999998"/>
    <n v="3.31"/>
    <n v="0.6"/>
    <n v="9.4"/>
    <n v="6"/>
    <x v="0"/>
    <s v="Normal"/>
    <n v="18.559999999999999"/>
    <n v="1355"/>
    <n v="33"/>
    <x v="0"/>
  </r>
  <r>
    <x v="781"/>
    <n v="6.5"/>
    <n v="0.46"/>
    <n v="0.14000000000000001"/>
    <n v="2.4"/>
    <n v="0.114"/>
    <n v="9"/>
    <n v="37"/>
    <n v="0.99731999999999998"/>
    <n v="3.66"/>
    <n v="0.65"/>
    <n v="9.8000000000000007"/>
    <n v="5"/>
    <x v="0"/>
    <s v="Normal"/>
    <n v="19.655000000000001"/>
    <n v="936"/>
    <n v="28"/>
    <x v="0"/>
  </r>
  <r>
    <x v="782"/>
    <n v="9"/>
    <n v="0.82"/>
    <n v="0.05"/>
    <n v="2.4"/>
    <n v="8.1000000000000003E-2"/>
    <n v="26"/>
    <n v="96"/>
    <n v="0.99814000000000003"/>
    <n v="3.36"/>
    <n v="0.53"/>
    <n v="10"/>
    <n v="5"/>
    <x v="0"/>
    <s v="Normal"/>
    <n v="19.155000000000001"/>
    <n v="1104"/>
    <n v="70"/>
    <x v="1"/>
  </r>
  <r>
    <x v="783"/>
    <n v="6.5"/>
    <n v="0.46"/>
    <n v="0.14000000000000001"/>
    <n v="2.4"/>
    <n v="0.114"/>
    <n v="9"/>
    <n v="37"/>
    <n v="0.99731999999999998"/>
    <n v="3.66"/>
    <n v="0.65"/>
    <n v="9.8000000000000007"/>
    <n v="5"/>
    <x v="0"/>
    <s v="Normal"/>
    <n v="19.655000000000001"/>
    <n v="936"/>
    <n v="28"/>
    <x v="0"/>
  </r>
  <r>
    <x v="784"/>
    <n v="7.1"/>
    <n v="0.59"/>
    <n v="0.01"/>
    <n v="2.5"/>
    <n v="7.6999999999999999E-2"/>
    <n v="20"/>
    <n v="85"/>
    <n v="0.99746000000000001"/>
    <n v="3.55"/>
    <n v="0.59"/>
    <n v="9.8000000000000007"/>
    <n v="5"/>
    <x v="0"/>
    <s v="Normal"/>
    <n v="19.305000000000003"/>
    <n v="1041"/>
    <n v="65"/>
    <x v="0"/>
  </r>
  <r>
    <x v="785"/>
    <n v="9.9"/>
    <n v="0.35"/>
    <n v="0.41"/>
    <n v="2.2999999999999998"/>
    <n v="8.3000000000000004E-2"/>
    <n v="11"/>
    <n v="61"/>
    <n v="0.99819999999999998"/>
    <n v="3.21"/>
    <n v="0.5"/>
    <n v="9.5"/>
    <n v="5"/>
    <x v="0"/>
    <s v="High"/>
    <n v="19.05"/>
    <n v="1147"/>
    <n v="50"/>
    <x v="0"/>
  </r>
  <r>
    <x v="786"/>
    <n v="9.9"/>
    <n v="0.35"/>
    <n v="0.41"/>
    <n v="2.2999999999999998"/>
    <n v="8.3000000000000004E-2"/>
    <n v="11"/>
    <n v="61"/>
    <n v="0.99819999999999998"/>
    <n v="3.21"/>
    <n v="0.5"/>
    <n v="9.5"/>
    <n v="5"/>
    <x v="0"/>
    <s v="High"/>
    <n v="19.05"/>
    <n v="1147"/>
    <n v="50"/>
    <x v="0"/>
  </r>
  <r>
    <x v="787"/>
    <n v="10"/>
    <n v="0.56000000000000005"/>
    <n v="0.24"/>
    <n v="2.2000000000000002"/>
    <n v="7.9000000000000001E-2"/>
    <n v="19"/>
    <n v="58"/>
    <n v="0.99909999999999999"/>
    <n v="3.18"/>
    <n v="0.56000000000000005"/>
    <n v="10.1"/>
    <n v="6"/>
    <x v="0"/>
    <s v="High"/>
    <n v="19.919999999999998"/>
    <n v="873"/>
    <n v="39"/>
    <x v="0"/>
  </r>
  <r>
    <x v="788"/>
    <n v="10"/>
    <n v="0.56000000000000005"/>
    <n v="0.24"/>
    <n v="2.2000000000000002"/>
    <n v="7.9000000000000001E-2"/>
    <n v="19"/>
    <n v="58"/>
    <n v="0.99909999999999999"/>
    <n v="3.18"/>
    <n v="0.56000000000000005"/>
    <n v="10.1"/>
    <n v="6"/>
    <x v="0"/>
    <s v="High"/>
    <n v="19.919999999999998"/>
    <n v="873"/>
    <n v="39"/>
    <x v="0"/>
  </r>
  <r>
    <x v="789"/>
    <n v="8.6"/>
    <n v="0.63"/>
    <n v="0.17"/>
    <n v="2.9"/>
    <n v="9.9000000000000005E-2"/>
    <n v="21"/>
    <n v="119"/>
    <n v="0.998"/>
    <n v="3.09"/>
    <n v="0.52"/>
    <n v="9.3000000000000007"/>
    <n v="5"/>
    <x v="0"/>
    <s v="High"/>
    <n v="18.12"/>
    <n v="1497"/>
    <n v="98"/>
    <x v="0"/>
  </r>
  <r>
    <x v="790"/>
    <n v="7.4"/>
    <n v="0.37"/>
    <n v="0.43"/>
    <n v="2.6"/>
    <n v="8.2000000000000003E-2"/>
    <n v="18"/>
    <n v="82"/>
    <n v="0.99707999999999997"/>
    <n v="3.33"/>
    <n v="0.68"/>
    <n v="9.6999999999999993"/>
    <n v="6"/>
    <x v="0"/>
    <s v="Normal"/>
    <n v="19.68"/>
    <n v="929"/>
    <n v="64"/>
    <x v="0"/>
  </r>
  <r>
    <x v="791"/>
    <n v="8.8000000000000007"/>
    <n v="0.64"/>
    <n v="0.17"/>
    <n v="2.9"/>
    <n v="8.4000000000000005E-2"/>
    <n v="25"/>
    <n v="130"/>
    <n v="0.99817999999999996"/>
    <n v="3.23"/>
    <n v="0.54"/>
    <n v="9.6"/>
    <n v="5"/>
    <x v="0"/>
    <s v="High"/>
    <n v="18.729999999999997"/>
    <n v="1272"/>
    <n v="105"/>
    <x v="0"/>
  </r>
  <r>
    <x v="792"/>
    <n v="7.1"/>
    <n v="0.61"/>
    <n v="0.02"/>
    <n v="2.5"/>
    <n v="8.1000000000000003E-2"/>
    <n v="17"/>
    <n v="87"/>
    <n v="0.99744999999999995"/>
    <n v="3.48"/>
    <n v="0.6"/>
    <n v="9.6999999999999993"/>
    <n v="6"/>
    <x v="0"/>
    <s v="Normal"/>
    <n v="19.079999999999998"/>
    <n v="1133"/>
    <n v="70"/>
    <x v="0"/>
  </r>
  <r>
    <x v="793"/>
    <n v="7.7"/>
    <n v="0.6"/>
    <n v="0"/>
    <n v="2.6"/>
    <n v="5.5E-2"/>
    <n v="7"/>
    <n v="13"/>
    <n v="0.99639"/>
    <n v="3.38"/>
    <n v="0.56000000000000005"/>
    <n v="10.8"/>
    <n v="5"/>
    <x v="0"/>
    <s v="Normal"/>
    <n v="21.240000000000002"/>
    <n v="590"/>
    <n v="6"/>
    <x v="1"/>
  </r>
  <r>
    <x v="794"/>
    <n v="10.1"/>
    <n v="0.27"/>
    <n v="0.54"/>
    <n v="2.2999999999999998"/>
    <n v="6.5000000000000002E-2"/>
    <n v="7"/>
    <n v="26"/>
    <n v="0.99531000000000003"/>
    <n v="3.17"/>
    <n v="0.53"/>
    <n v="12.5"/>
    <n v="6"/>
    <x v="0"/>
    <s v="High"/>
    <n v="25.255000000000003"/>
    <n v="75"/>
    <n v="19"/>
    <x v="0"/>
  </r>
  <r>
    <x v="795"/>
    <n v="10.8"/>
    <n v="0.89"/>
    <n v="0.3"/>
    <n v="2.6"/>
    <n v="0.13200000000000001"/>
    <n v="7"/>
    <n v="60"/>
    <n v="0.99785999999999997"/>
    <n v="2.99"/>
    <n v="1.18"/>
    <n v="10.199999999999999"/>
    <n v="5"/>
    <x v="0"/>
    <s v="High"/>
    <n v="20.389999999999997"/>
    <n v="771"/>
    <n v="53"/>
    <x v="0"/>
  </r>
  <r>
    <x v="796"/>
    <n v="8.6999999999999993"/>
    <n v="0.46"/>
    <n v="0.31"/>
    <n v="2.5"/>
    <n v="0.126"/>
    <n v="24"/>
    <n v="64"/>
    <n v="0.99746000000000001"/>
    <n v="3.1"/>
    <n v="0.74"/>
    <n v="9.6"/>
    <n v="5"/>
    <x v="0"/>
    <s v="High"/>
    <n v="19.389999999999997"/>
    <n v="1010"/>
    <n v="40"/>
    <x v="0"/>
  </r>
  <r>
    <x v="797"/>
    <n v="9.3000000000000007"/>
    <n v="0.37"/>
    <n v="0.44"/>
    <n v="1.6"/>
    <n v="3.7999999999999999E-2"/>
    <n v="21"/>
    <n v="42"/>
    <n v="0.99526000000000003"/>
    <n v="3.24"/>
    <n v="0.81"/>
    <n v="10.8"/>
    <n v="7"/>
    <x v="1"/>
    <s v="High"/>
    <n v="22.075000000000003"/>
    <n v="444"/>
    <n v="21"/>
    <x v="1"/>
  </r>
  <r>
    <x v="798"/>
    <n v="9.4"/>
    <n v="0.5"/>
    <n v="0.34"/>
    <n v="3.6"/>
    <n v="8.2000000000000003E-2"/>
    <n v="5"/>
    <n v="14"/>
    <n v="0.99870000000000003"/>
    <n v="3.29"/>
    <n v="0.52"/>
    <n v="10.7"/>
    <n v="6"/>
    <x v="0"/>
    <s v="High"/>
    <n v="21.18"/>
    <n v="610"/>
    <n v="9"/>
    <x v="1"/>
  </r>
  <r>
    <x v="799"/>
    <n v="9.4"/>
    <n v="0.5"/>
    <n v="0.34"/>
    <n v="3.6"/>
    <n v="8.2000000000000003E-2"/>
    <n v="5"/>
    <n v="14"/>
    <n v="0.99870000000000003"/>
    <n v="3.29"/>
    <n v="0.52"/>
    <n v="10.7"/>
    <n v="6"/>
    <x v="0"/>
    <s v="High"/>
    <n v="21.18"/>
    <n v="610"/>
    <n v="9"/>
    <x v="1"/>
  </r>
  <r>
    <x v="800"/>
    <n v="7.2"/>
    <n v="0.61"/>
    <n v="0.08"/>
    <n v="4"/>
    <n v="8.2000000000000003E-2"/>
    <n v="26"/>
    <n v="108"/>
    <n v="0.99641000000000002"/>
    <n v="3.25"/>
    <n v="0.51"/>
    <n v="9.4"/>
    <n v="5"/>
    <x v="0"/>
    <s v="Normal"/>
    <n v="18.345000000000002"/>
    <n v="1435"/>
    <n v="82"/>
    <x v="0"/>
  </r>
  <r>
    <x v="801"/>
    <n v="8.6"/>
    <n v="0.55000000000000004"/>
    <n v="0.09"/>
    <n v="3.3"/>
    <n v="6.8000000000000005E-2"/>
    <n v="8"/>
    <n v="17"/>
    <n v="0.99734999999999996"/>
    <n v="3.23"/>
    <n v="0.44"/>
    <n v="10"/>
    <n v="5"/>
    <x v="0"/>
    <s v="High"/>
    <n v="19.559999999999999"/>
    <n v="962"/>
    <n v="9"/>
    <x v="1"/>
  </r>
  <r>
    <x v="802"/>
    <n v="5.0999999999999996"/>
    <n v="0.58499999999999996"/>
    <n v="0"/>
    <n v="1.7"/>
    <n v="4.3999999999999997E-2"/>
    <n v="14"/>
    <n v="86"/>
    <n v="0.99263999999999997"/>
    <n v="3.56"/>
    <n v="0.94"/>
    <n v="12.9"/>
    <n v="7"/>
    <x v="1"/>
    <s v="Normal"/>
    <n v="26.04"/>
    <n v="32"/>
    <n v="72"/>
    <x v="1"/>
  </r>
  <r>
    <x v="803"/>
    <n v="7.7"/>
    <n v="0.56000000000000005"/>
    <n v="0.08"/>
    <n v="2.5"/>
    <n v="0.114"/>
    <n v="14"/>
    <n v="46"/>
    <n v="0.99709999999999999"/>
    <n v="3.24"/>
    <n v="0.66"/>
    <n v="9.6"/>
    <n v="6"/>
    <x v="0"/>
    <s v="Normal"/>
    <n v="19.069999999999997"/>
    <n v="1139"/>
    <n v="32"/>
    <x v="0"/>
  </r>
  <r>
    <x v="804"/>
    <n v="8.4"/>
    <n v="0.52"/>
    <n v="0.22"/>
    <n v="2.7"/>
    <n v="8.4000000000000005E-2"/>
    <n v="4"/>
    <n v="18"/>
    <n v="0.99682000000000004"/>
    <n v="3.26"/>
    <n v="0.56999999999999995"/>
    <n v="9.9"/>
    <n v="6"/>
    <x v="0"/>
    <s v="High"/>
    <n v="19.615000000000002"/>
    <n v="949"/>
    <n v="14"/>
    <x v="0"/>
  </r>
  <r>
    <x v="805"/>
    <n v="8.1999999999999993"/>
    <n v="0.28000000000000003"/>
    <n v="0.4"/>
    <n v="2.4"/>
    <n v="5.1999999999999998E-2"/>
    <n v="4"/>
    <n v="10"/>
    <n v="0.99356"/>
    <n v="3.33"/>
    <n v="0.7"/>
    <n v="12.8"/>
    <n v="7"/>
    <x v="1"/>
    <s v="Normal"/>
    <n v="26.090000000000003"/>
    <n v="27"/>
    <n v="6"/>
    <x v="1"/>
  </r>
  <r>
    <x v="806"/>
    <n v="8.4"/>
    <n v="0.25"/>
    <n v="0.39"/>
    <n v="2"/>
    <n v="4.1000000000000002E-2"/>
    <n v="4"/>
    <n v="10"/>
    <n v="0.99385999999999997"/>
    <n v="3.27"/>
    <n v="0.71"/>
    <n v="12.5"/>
    <n v="7"/>
    <x v="1"/>
    <s v="High"/>
    <n v="25.565000000000001"/>
    <n v="48"/>
    <n v="6"/>
    <x v="1"/>
  </r>
  <r>
    <x v="807"/>
    <n v="8.1999999999999993"/>
    <n v="0.28000000000000003"/>
    <n v="0.4"/>
    <n v="2.4"/>
    <n v="5.1999999999999998E-2"/>
    <n v="4"/>
    <n v="10"/>
    <n v="0.99356"/>
    <n v="3.33"/>
    <n v="0.7"/>
    <n v="12.8"/>
    <n v="7"/>
    <x v="1"/>
    <s v="Normal"/>
    <n v="26.090000000000003"/>
    <n v="27"/>
    <n v="6"/>
    <x v="1"/>
  </r>
  <r>
    <x v="808"/>
    <n v="7.4"/>
    <n v="0.53"/>
    <n v="0.12"/>
    <n v="1.9"/>
    <n v="0.16500000000000001"/>
    <n v="4"/>
    <n v="12"/>
    <n v="0.99702000000000002"/>
    <n v="3.26"/>
    <n v="0.86"/>
    <n v="9.1999999999999993"/>
    <n v="5"/>
    <x v="0"/>
    <s v="Normal"/>
    <n v="18.63"/>
    <n v="1332"/>
    <n v="8"/>
    <x v="0"/>
  </r>
  <r>
    <x v="809"/>
    <n v="7.6"/>
    <n v="0.48"/>
    <n v="0.31"/>
    <n v="2.8"/>
    <n v="7.0000000000000007E-2"/>
    <n v="4"/>
    <n v="15"/>
    <n v="0.99692999999999998"/>
    <n v="3.22"/>
    <n v="0.55000000000000004"/>
    <n v="10.3"/>
    <n v="6"/>
    <x v="0"/>
    <s v="Normal"/>
    <n v="20.465"/>
    <n v="758"/>
    <n v="11"/>
    <x v="1"/>
  </r>
  <r>
    <x v="810"/>
    <n v="7.3"/>
    <n v="0.49"/>
    <n v="0.1"/>
    <n v="2.6"/>
    <n v="6.8000000000000005E-2"/>
    <n v="4"/>
    <n v="14"/>
    <n v="0.99561999999999995"/>
    <n v="3.3"/>
    <n v="0.47"/>
    <n v="10.5"/>
    <n v="5"/>
    <x v="0"/>
    <s v="Normal"/>
    <n v="20.724999999999998"/>
    <n v="720"/>
    <n v="10"/>
    <x v="1"/>
  </r>
  <r>
    <x v="811"/>
    <n v="12.9"/>
    <n v="0.5"/>
    <n v="0.55000000000000004"/>
    <n v="2.8"/>
    <n v="7.1999999999999995E-2"/>
    <n v="7"/>
    <n v="24"/>
    <n v="1.0001199999999999"/>
    <n v="3.09"/>
    <n v="0.68"/>
    <n v="10.9"/>
    <n v="6"/>
    <x v="0"/>
    <s v="High"/>
    <n v="21.82"/>
    <n v="476"/>
    <n v="17"/>
    <x v="0"/>
  </r>
  <r>
    <x v="812"/>
    <n v="10.8"/>
    <n v="0.45"/>
    <n v="0.33"/>
    <n v="2.5"/>
    <n v="9.9000000000000005E-2"/>
    <n v="20"/>
    <n v="38"/>
    <n v="0.99817999999999996"/>
    <n v="3.24"/>
    <n v="0.71"/>
    <n v="10.8"/>
    <n v="5"/>
    <x v="0"/>
    <s v="High"/>
    <n v="21.765000000000004"/>
    <n v="490"/>
    <n v="18"/>
    <x v="1"/>
  </r>
  <r>
    <x v="813"/>
    <n v="6.9"/>
    <n v="0.39"/>
    <n v="0.24"/>
    <n v="2.1"/>
    <n v="0.10199999999999999"/>
    <n v="4"/>
    <n v="7"/>
    <n v="0.99461999999999995"/>
    <n v="3.44"/>
    <n v="0.57999999999999996"/>
    <n v="11.4"/>
    <n v="4"/>
    <x v="2"/>
    <s v="Normal"/>
    <n v="22.89"/>
    <n v="292"/>
    <n v="3"/>
    <x v="1"/>
  </r>
  <r>
    <x v="814"/>
    <n v="12.6"/>
    <n v="0.41"/>
    <n v="0.54"/>
    <n v="2.8"/>
    <n v="0.10299999999999999"/>
    <n v="19"/>
    <n v="41"/>
    <n v="0.99939"/>
    <n v="3.21"/>
    <n v="0.76"/>
    <n v="11.3"/>
    <n v="6"/>
    <x v="0"/>
    <s v="High"/>
    <n v="22.92"/>
    <n v="287"/>
    <n v="22"/>
    <x v="1"/>
  </r>
  <r>
    <x v="815"/>
    <n v="10.8"/>
    <n v="0.45"/>
    <n v="0.33"/>
    <n v="2.5"/>
    <n v="9.9000000000000005E-2"/>
    <n v="20"/>
    <n v="38"/>
    <n v="0.99817999999999996"/>
    <n v="3.24"/>
    <n v="0.71"/>
    <n v="10.8"/>
    <n v="5"/>
    <x v="0"/>
    <s v="High"/>
    <n v="21.765000000000004"/>
    <n v="490"/>
    <n v="18"/>
    <x v="1"/>
  </r>
  <r>
    <x v="816"/>
    <n v="9.8000000000000007"/>
    <n v="0.51"/>
    <n v="0.19"/>
    <n v="3.2"/>
    <n v="8.1000000000000003E-2"/>
    <n v="8"/>
    <n v="30"/>
    <n v="0.99839999999999995"/>
    <n v="3.23"/>
    <n v="0.57999999999999996"/>
    <n v="10.5"/>
    <n v="6"/>
    <x v="0"/>
    <s v="High"/>
    <n v="20.85"/>
    <n v="685"/>
    <n v="22"/>
    <x v="1"/>
  </r>
  <r>
    <x v="817"/>
    <n v="10.8"/>
    <n v="0.28999999999999998"/>
    <n v="0.42"/>
    <n v="1.6"/>
    <n v="8.4000000000000005E-2"/>
    <n v="19"/>
    <n v="27"/>
    <n v="0.99544999999999995"/>
    <n v="3.28"/>
    <n v="0.73"/>
    <n v="11.9"/>
    <n v="6"/>
    <x v="0"/>
    <s v="High"/>
    <n v="24.315000000000001"/>
    <n v="150"/>
    <n v="8"/>
    <x v="1"/>
  </r>
  <r>
    <x v="818"/>
    <n v="7.1"/>
    <n v="0.71499999999999997"/>
    <n v="0"/>
    <n v="2.35"/>
    <n v="7.0999999999999994E-2"/>
    <n v="21"/>
    <n v="47"/>
    <n v="0.99631999999999998"/>
    <n v="3.29"/>
    <n v="0.45"/>
    <n v="9.4"/>
    <n v="5"/>
    <x v="0"/>
    <s v="Normal"/>
    <n v="18.045000000000002"/>
    <n v="1514"/>
    <n v="26"/>
    <x v="0"/>
  </r>
  <r>
    <x v="819"/>
    <n v="9.1"/>
    <n v="0.66"/>
    <n v="0.15"/>
    <n v="3.2"/>
    <n v="9.7000000000000003E-2"/>
    <n v="9"/>
    <n v="59"/>
    <n v="0.99975999999999998"/>
    <n v="3.28"/>
    <n v="0.54"/>
    <n v="9.6"/>
    <n v="5"/>
    <x v="0"/>
    <s v="High"/>
    <n v="18.689999999999998"/>
    <n v="1297"/>
    <n v="50"/>
    <x v="0"/>
  </r>
  <r>
    <x v="820"/>
    <n v="7"/>
    <n v="0.68500000000000005"/>
    <n v="0"/>
    <n v="1.9"/>
    <n v="9.9000000000000005E-2"/>
    <n v="9"/>
    <n v="22"/>
    <n v="0.99605999999999995"/>
    <n v="3.34"/>
    <n v="0.6"/>
    <n v="9.6999999999999993"/>
    <n v="5"/>
    <x v="0"/>
    <s v="Normal"/>
    <n v="18.929999999999996"/>
    <n v="1192"/>
    <n v="13"/>
    <x v="0"/>
  </r>
  <r>
    <x v="821"/>
    <n v="4.9000000000000004"/>
    <n v="0.42"/>
    <n v="0"/>
    <n v="2.1"/>
    <n v="4.8000000000000001E-2"/>
    <n v="16"/>
    <n v="42"/>
    <n v="0.99153999999999998"/>
    <n v="3.71"/>
    <n v="0.74"/>
    <n v="14"/>
    <n v="7"/>
    <x v="1"/>
    <s v="Normal"/>
    <n v="28.27"/>
    <n v="5"/>
    <n v="26"/>
    <x v="1"/>
  </r>
  <r>
    <x v="822"/>
    <n v="6.7"/>
    <n v="0.54"/>
    <n v="0.13"/>
    <n v="2"/>
    <n v="7.5999999999999998E-2"/>
    <n v="15"/>
    <n v="36"/>
    <n v="0.99729999999999996"/>
    <n v="3.61"/>
    <n v="0.64"/>
    <n v="9.8000000000000007"/>
    <n v="5"/>
    <x v="0"/>
    <s v="Normal"/>
    <n v="19.480000000000004"/>
    <n v="981"/>
    <n v="21"/>
    <x v="0"/>
  </r>
  <r>
    <x v="823"/>
    <n v="6.7"/>
    <n v="0.54"/>
    <n v="0.13"/>
    <n v="2"/>
    <n v="7.5999999999999998E-2"/>
    <n v="15"/>
    <n v="36"/>
    <n v="0.99729999999999996"/>
    <n v="3.61"/>
    <n v="0.64"/>
    <n v="9.8000000000000007"/>
    <n v="5"/>
    <x v="0"/>
    <s v="Normal"/>
    <n v="19.480000000000004"/>
    <n v="981"/>
    <n v="21"/>
    <x v="0"/>
  </r>
  <r>
    <x v="824"/>
    <n v="7.1"/>
    <n v="0.48"/>
    <n v="0.28000000000000003"/>
    <n v="2.8"/>
    <n v="6.8000000000000005E-2"/>
    <n v="6"/>
    <n v="16"/>
    <n v="0.99682000000000004"/>
    <n v="3.24"/>
    <n v="0.53"/>
    <n v="10.3"/>
    <n v="5"/>
    <x v="0"/>
    <s v="Normal"/>
    <n v="20.435000000000002"/>
    <n v="763"/>
    <n v="10"/>
    <x v="1"/>
  </r>
  <r>
    <x v="825"/>
    <n v="7.1"/>
    <n v="0.46"/>
    <n v="0.14000000000000001"/>
    <n v="2.8"/>
    <n v="7.5999999999999998E-2"/>
    <n v="15"/>
    <n v="37"/>
    <n v="0.99624000000000001"/>
    <n v="3.36"/>
    <n v="0.49"/>
    <n v="10.7"/>
    <n v="5"/>
    <x v="0"/>
    <s v="Normal"/>
    <n v="21.214999999999996"/>
    <n v="598"/>
    <n v="22"/>
    <x v="1"/>
  </r>
  <r>
    <x v="826"/>
    <n v="7.5"/>
    <n v="0.27"/>
    <n v="0.34"/>
    <n v="2.2999999999999998"/>
    <n v="0.05"/>
    <n v="4"/>
    <n v="8"/>
    <n v="0.99509999999999998"/>
    <n v="3.4"/>
    <n v="0.64"/>
    <n v="11"/>
    <n v="7"/>
    <x v="1"/>
    <s v="Normal"/>
    <n v="22.42"/>
    <n v="390"/>
    <n v="4"/>
    <x v="1"/>
  </r>
  <r>
    <x v="827"/>
    <n v="7.1"/>
    <n v="0.46"/>
    <n v="0.14000000000000001"/>
    <n v="2.8"/>
    <n v="7.5999999999999998E-2"/>
    <n v="15"/>
    <n v="37"/>
    <n v="0.99624000000000001"/>
    <n v="3.36"/>
    <n v="0.49"/>
    <n v="10.7"/>
    <n v="5"/>
    <x v="0"/>
    <s v="Normal"/>
    <n v="21.214999999999996"/>
    <n v="598"/>
    <n v="22"/>
    <x v="1"/>
  </r>
  <r>
    <x v="828"/>
    <n v="7.8"/>
    <n v="0.56999999999999995"/>
    <n v="0.09"/>
    <n v="2.2999999999999998"/>
    <n v="6.5000000000000002E-2"/>
    <n v="34"/>
    <n v="45"/>
    <n v="0.99417"/>
    <n v="3.46"/>
    <n v="0.74"/>
    <n v="12.7"/>
    <n v="8"/>
    <x v="1"/>
    <s v="Normal"/>
    <n v="25.369999999999997"/>
    <n v="64"/>
    <n v="11"/>
    <x v="1"/>
  </r>
  <r>
    <x v="829"/>
    <n v="5.9"/>
    <n v="0.61"/>
    <n v="0.08"/>
    <n v="2.1"/>
    <n v="7.0999999999999994E-2"/>
    <n v="16"/>
    <n v="24"/>
    <n v="0.99375999999999998"/>
    <n v="3.56"/>
    <n v="0.77"/>
    <n v="11.1"/>
    <n v="6"/>
    <x v="0"/>
    <s v="Normal"/>
    <n v="22.135000000000002"/>
    <n v="430"/>
    <n v="8"/>
    <x v="1"/>
  </r>
  <r>
    <x v="830"/>
    <n v="7.5"/>
    <n v="0.68500000000000005"/>
    <n v="7.0000000000000007E-2"/>
    <n v="2.5"/>
    <n v="5.8000000000000003E-2"/>
    <n v="5"/>
    <n v="9"/>
    <n v="0.99631999999999998"/>
    <n v="3.38"/>
    <n v="0.55000000000000004"/>
    <n v="10.9"/>
    <n v="4"/>
    <x v="2"/>
    <s v="Normal"/>
    <n v="21.254999999999999"/>
    <n v="589"/>
    <n v="4"/>
    <x v="1"/>
  </r>
  <r>
    <x v="831"/>
    <n v="5.9"/>
    <n v="0.61"/>
    <n v="0.08"/>
    <n v="2.1"/>
    <n v="7.0999999999999994E-2"/>
    <n v="16"/>
    <n v="24"/>
    <n v="0.99375999999999998"/>
    <n v="3.56"/>
    <n v="0.77"/>
    <n v="11.1"/>
    <n v="6"/>
    <x v="0"/>
    <s v="Normal"/>
    <n v="22.135000000000002"/>
    <n v="430"/>
    <n v="8"/>
    <x v="1"/>
  </r>
  <r>
    <x v="832"/>
    <n v="10.4"/>
    <n v="0.44"/>
    <n v="0.42"/>
    <n v="1.5"/>
    <n v="0.14499999999999999"/>
    <n v="34"/>
    <n v="48"/>
    <n v="0.99831999999999999"/>
    <n v="3.38"/>
    <n v="0.86"/>
    <n v="9.9"/>
    <n v="3"/>
    <x v="2"/>
    <s v="Normal"/>
    <n v="20.21"/>
    <n v="811"/>
    <n v="14"/>
    <x v="0"/>
  </r>
  <r>
    <x v="833"/>
    <n v="11.6"/>
    <n v="0.47"/>
    <n v="0.44"/>
    <n v="1.6"/>
    <n v="0.14699999999999999"/>
    <n v="36"/>
    <n v="51"/>
    <n v="0.99836000000000003"/>
    <n v="3.38"/>
    <n v="0.86"/>
    <n v="9.9"/>
    <n v="4"/>
    <x v="2"/>
    <s v="Normal"/>
    <n v="20.149999999999999"/>
    <n v="828"/>
    <n v="15"/>
    <x v="0"/>
  </r>
  <r>
    <x v="834"/>
    <n v="8.8000000000000007"/>
    <n v="0.68500000000000005"/>
    <n v="0.26"/>
    <n v="1.6"/>
    <n v="8.7999999999999995E-2"/>
    <n v="16"/>
    <n v="23"/>
    <n v="0.99694000000000005"/>
    <n v="3.32"/>
    <n v="0.47"/>
    <n v="9.4"/>
    <n v="5"/>
    <x v="0"/>
    <s v="Normal"/>
    <n v="18.134999999999998"/>
    <n v="1495"/>
    <n v="7"/>
    <x v="0"/>
  </r>
  <r>
    <x v="835"/>
    <n v="7.6"/>
    <n v="0.66500000000000004"/>
    <n v="0.1"/>
    <n v="1.5"/>
    <n v="6.6000000000000003E-2"/>
    <n v="27"/>
    <n v="55"/>
    <n v="0.99655000000000005"/>
    <n v="3.39"/>
    <n v="0.51"/>
    <n v="9.3000000000000007"/>
    <n v="5"/>
    <x v="0"/>
    <s v="Normal"/>
    <n v="18.035000000000004"/>
    <n v="1515"/>
    <n v="28"/>
    <x v="0"/>
  </r>
  <r>
    <x v="836"/>
    <n v="6.7"/>
    <n v="0.28000000000000003"/>
    <n v="0.28000000000000003"/>
    <n v="2.4"/>
    <n v="1.2E-2"/>
    <n v="36"/>
    <n v="100"/>
    <n v="0.99063999999999997"/>
    <n v="3.26"/>
    <n v="0.39"/>
    <n v="11.7"/>
    <n v="7"/>
    <x v="1"/>
    <s v="Normal"/>
    <n v="23.425000000000001"/>
    <n v="225"/>
    <n v="64"/>
    <x v="1"/>
  </r>
  <r>
    <x v="837"/>
    <n v="6.7"/>
    <n v="0.28000000000000003"/>
    <n v="0.28000000000000003"/>
    <n v="2.4"/>
    <n v="1.2E-2"/>
    <n v="36"/>
    <n v="100"/>
    <n v="0.99063999999999997"/>
    <n v="3.26"/>
    <n v="0.39"/>
    <n v="11.7"/>
    <n v="7"/>
    <x v="1"/>
    <s v="Normal"/>
    <n v="23.425000000000001"/>
    <n v="225"/>
    <n v="64"/>
    <x v="1"/>
  </r>
  <r>
    <x v="838"/>
    <n v="10.1"/>
    <n v="0.31"/>
    <n v="0.35"/>
    <n v="1.6"/>
    <n v="7.4999999999999997E-2"/>
    <n v="9"/>
    <n v="28"/>
    <n v="0.99672000000000005"/>
    <n v="3.24"/>
    <n v="0.83"/>
    <n v="11.2"/>
    <n v="7"/>
    <x v="1"/>
    <s v="High"/>
    <n v="23.024999999999999"/>
    <n v="267"/>
    <n v="19"/>
    <x v="1"/>
  </r>
  <r>
    <x v="839"/>
    <n v="6"/>
    <n v="0.5"/>
    <n v="0.04"/>
    <n v="2.2000000000000002"/>
    <n v="9.1999999999999998E-2"/>
    <n v="13"/>
    <n v="26"/>
    <n v="0.99646999999999997"/>
    <n v="3.46"/>
    <n v="0.47"/>
    <n v="10"/>
    <n v="5"/>
    <x v="0"/>
    <s v="Normal"/>
    <n v="19.704999999999998"/>
    <n v="927"/>
    <n v="13"/>
    <x v="1"/>
  </r>
  <r>
    <x v="840"/>
    <n v="11.1"/>
    <n v="0.42"/>
    <n v="0.47"/>
    <n v="2.65"/>
    <n v="8.5000000000000006E-2"/>
    <n v="9"/>
    <n v="34"/>
    <n v="0.99736000000000002"/>
    <n v="3.24"/>
    <n v="0.77"/>
    <n v="12.1"/>
    <n v="7"/>
    <x v="1"/>
    <s v="High"/>
    <n v="24.515000000000001"/>
    <n v="127"/>
    <n v="25"/>
    <x v="1"/>
  </r>
  <r>
    <x v="841"/>
    <n v="6.6"/>
    <n v="0.66"/>
    <n v="0"/>
    <n v="3"/>
    <n v="0.115"/>
    <n v="21"/>
    <n v="31"/>
    <n v="0.99629000000000001"/>
    <n v="3.45"/>
    <n v="0.63"/>
    <n v="10.3"/>
    <n v="5"/>
    <x v="0"/>
    <s v="Normal"/>
    <n v="20.225000000000001"/>
    <n v="805"/>
    <n v="10"/>
    <x v="1"/>
  </r>
  <r>
    <x v="842"/>
    <n v="10.6"/>
    <n v="0.5"/>
    <n v="0.45"/>
    <n v="2.6"/>
    <n v="0.11899999999999999"/>
    <n v="34"/>
    <n v="68"/>
    <n v="0.99707999999999997"/>
    <n v="3.23"/>
    <n v="0.72"/>
    <n v="10.9"/>
    <n v="6"/>
    <x v="0"/>
    <s v="High"/>
    <n v="21.880000000000003"/>
    <n v="468"/>
    <n v="34"/>
    <x v="1"/>
  </r>
  <r>
    <x v="843"/>
    <n v="7.1"/>
    <n v="0.68500000000000005"/>
    <n v="0.35"/>
    <n v="2"/>
    <n v="8.7999999999999995E-2"/>
    <n v="9"/>
    <n v="92"/>
    <n v="0.99629999999999996"/>
    <n v="3.28"/>
    <n v="0.62"/>
    <n v="9.4"/>
    <n v="5"/>
    <x v="0"/>
    <s v="Normal"/>
    <n v="18.36"/>
    <n v="1431"/>
    <n v="83"/>
    <x v="0"/>
  </r>
  <r>
    <x v="844"/>
    <n v="9.9"/>
    <n v="0.25"/>
    <n v="0.46"/>
    <n v="1.7"/>
    <n v="6.2E-2"/>
    <n v="26"/>
    <n v="42"/>
    <n v="0.99590000000000001"/>
    <n v="3.18"/>
    <n v="0.83"/>
    <n v="10.6"/>
    <n v="6"/>
    <x v="0"/>
    <s v="High"/>
    <n v="21.945"/>
    <n v="462"/>
    <n v="16"/>
    <x v="0"/>
  </r>
  <r>
    <x v="845"/>
    <n v="6.4"/>
    <n v="0.64"/>
    <n v="0.21"/>
    <n v="1.8"/>
    <n v="8.1000000000000003E-2"/>
    <n v="14"/>
    <n v="31"/>
    <n v="0.99689000000000005"/>
    <n v="3.59"/>
    <n v="0.66"/>
    <n v="9.8000000000000007"/>
    <n v="5"/>
    <x v="0"/>
    <s v="Normal"/>
    <n v="19.309999999999999"/>
    <n v="1037"/>
    <n v="17"/>
    <x v="0"/>
  </r>
  <r>
    <x v="846"/>
    <n v="6.4"/>
    <n v="0.64"/>
    <n v="0.21"/>
    <n v="1.8"/>
    <n v="8.1000000000000003E-2"/>
    <n v="14"/>
    <n v="31"/>
    <n v="0.99689000000000005"/>
    <n v="3.59"/>
    <n v="0.66"/>
    <n v="9.8000000000000007"/>
    <n v="5"/>
    <x v="0"/>
    <s v="Normal"/>
    <n v="19.309999999999999"/>
    <n v="1037"/>
    <n v="17"/>
    <x v="0"/>
  </r>
  <r>
    <x v="847"/>
    <n v="7.4"/>
    <n v="0.68"/>
    <n v="0.16"/>
    <n v="1.8"/>
    <n v="7.8E-2"/>
    <n v="12"/>
    <n v="39"/>
    <n v="0.99770000000000003"/>
    <n v="3.5"/>
    <n v="0.7"/>
    <n v="9.9"/>
    <n v="6"/>
    <x v="0"/>
    <s v="Normal"/>
    <n v="19.490000000000002"/>
    <n v="973"/>
    <n v="27"/>
    <x v="0"/>
  </r>
  <r>
    <x v="848"/>
    <n v="6.4"/>
    <n v="0.64"/>
    <n v="0.21"/>
    <n v="1.8"/>
    <n v="8.1000000000000003E-2"/>
    <n v="14"/>
    <n v="31"/>
    <n v="0.99689000000000005"/>
    <n v="3.59"/>
    <n v="0.66"/>
    <n v="9.8000000000000007"/>
    <n v="5"/>
    <x v="0"/>
    <s v="Normal"/>
    <n v="19.309999999999999"/>
    <n v="1037"/>
    <n v="17"/>
    <x v="0"/>
  </r>
  <r>
    <x v="849"/>
    <n v="6.4"/>
    <n v="0.63"/>
    <n v="0.21"/>
    <n v="1.6"/>
    <n v="0.08"/>
    <n v="12"/>
    <n v="32"/>
    <n v="0.99689000000000005"/>
    <n v="3.58"/>
    <n v="0.66"/>
    <n v="9.8000000000000007"/>
    <n v="5"/>
    <x v="0"/>
    <s v="Normal"/>
    <n v="19.329999999999998"/>
    <n v="1032"/>
    <n v="20"/>
    <x v="0"/>
  </r>
  <r>
    <x v="850"/>
    <n v="9.3000000000000007"/>
    <n v="0.43"/>
    <n v="0.44"/>
    <n v="1.9"/>
    <n v="8.5000000000000006E-2"/>
    <n v="9"/>
    <n v="22"/>
    <n v="0.99707999999999997"/>
    <n v="3.28"/>
    <n v="0.55000000000000004"/>
    <n v="9.5"/>
    <n v="5"/>
    <x v="0"/>
    <s v="High"/>
    <n v="18.965"/>
    <n v="1175"/>
    <n v="13"/>
    <x v="0"/>
  </r>
  <r>
    <x v="851"/>
    <n v="9.3000000000000007"/>
    <n v="0.43"/>
    <n v="0.44"/>
    <n v="1.9"/>
    <n v="8.5000000000000006E-2"/>
    <n v="9"/>
    <n v="22"/>
    <n v="0.99707999999999997"/>
    <n v="3.28"/>
    <n v="0.55000000000000004"/>
    <n v="9.5"/>
    <n v="5"/>
    <x v="0"/>
    <s v="High"/>
    <n v="18.965"/>
    <n v="1175"/>
    <n v="13"/>
    <x v="0"/>
  </r>
  <r>
    <x v="852"/>
    <n v="8"/>
    <n v="0.42"/>
    <n v="0.32"/>
    <n v="2.5"/>
    <n v="0.08"/>
    <n v="26"/>
    <n v="122"/>
    <n v="0.99800999999999995"/>
    <n v="3.22"/>
    <n v="1.07"/>
    <n v="9.6999999999999993"/>
    <n v="5"/>
    <x v="0"/>
    <s v="Normal"/>
    <n v="20.164999999999999"/>
    <n v="824"/>
    <n v="96"/>
    <x v="0"/>
  </r>
  <r>
    <x v="853"/>
    <n v="9.3000000000000007"/>
    <n v="0.36"/>
    <n v="0.39"/>
    <n v="1.5"/>
    <n v="0.08"/>
    <n v="41"/>
    <n v="55"/>
    <n v="0.99651999999999996"/>
    <n v="3.47"/>
    <n v="0.73"/>
    <n v="10.9"/>
    <n v="6"/>
    <x v="0"/>
    <s v="Normal"/>
    <n v="22.175000000000001"/>
    <n v="421"/>
    <n v="14"/>
    <x v="1"/>
  </r>
  <r>
    <x v="854"/>
    <n v="9.3000000000000007"/>
    <n v="0.36"/>
    <n v="0.39"/>
    <n v="1.5"/>
    <n v="0.08"/>
    <n v="41"/>
    <n v="55"/>
    <n v="0.99651999999999996"/>
    <n v="3.47"/>
    <n v="0.73"/>
    <n v="10.9"/>
    <n v="6"/>
    <x v="0"/>
    <s v="Normal"/>
    <n v="22.175000000000001"/>
    <n v="421"/>
    <n v="14"/>
    <x v="1"/>
  </r>
  <r>
    <x v="855"/>
    <n v="7.6"/>
    <n v="0.73499999999999999"/>
    <n v="0.02"/>
    <n v="2.5"/>
    <n v="7.0999999999999994E-2"/>
    <n v="10"/>
    <n v="14"/>
    <n v="0.99538000000000004"/>
    <n v="3.51"/>
    <n v="0.71"/>
    <n v="11.7"/>
    <n v="7"/>
    <x v="1"/>
    <s v="Normal"/>
    <n v="22.995000000000001"/>
    <n v="272"/>
    <n v="4"/>
    <x v="1"/>
  </r>
  <r>
    <x v="856"/>
    <n v="9.3000000000000007"/>
    <n v="0.36"/>
    <n v="0.39"/>
    <n v="1.5"/>
    <n v="0.08"/>
    <n v="41"/>
    <n v="55"/>
    <n v="0.99651999999999996"/>
    <n v="3.47"/>
    <n v="0.73"/>
    <n v="10.9"/>
    <n v="6"/>
    <x v="0"/>
    <s v="Normal"/>
    <n v="22.175000000000001"/>
    <n v="421"/>
    <n v="14"/>
    <x v="1"/>
  </r>
  <r>
    <x v="857"/>
    <n v="8.1999999999999993"/>
    <n v="0.26"/>
    <n v="0.34"/>
    <n v="2.5"/>
    <n v="7.2999999999999995E-2"/>
    <n v="16"/>
    <n v="47"/>
    <n v="0.99594000000000005"/>
    <n v="3.4"/>
    <n v="0.78"/>
    <n v="11.3"/>
    <n v="7"/>
    <x v="1"/>
    <s v="Normal"/>
    <n v="23.250000000000004"/>
    <n v="240"/>
    <n v="31"/>
    <x v="1"/>
  </r>
  <r>
    <x v="858"/>
    <n v="11.7"/>
    <n v="0.28000000000000003"/>
    <n v="0.47"/>
    <n v="1.7"/>
    <n v="5.3999999999999999E-2"/>
    <n v="17"/>
    <n v="32"/>
    <n v="0.99685999999999997"/>
    <n v="3.15"/>
    <n v="0.67"/>
    <n v="10.6"/>
    <n v="7"/>
    <x v="1"/>
    <s v="High"/>
    <n v="21.645"/>
    <n v="519"/>
    <n v="15"/>
    <x v="0"/>
  </r>
  <r>
    <x v="859"/>
    <n v="6.8"/>
    <n v="0.56000000000000005"/>
    <n v="0.22"/>
    <n v="1.8"/>
    <n v="7.3999999999999996E-2"/>
    <n v="15"/>
    <n v="24"/>
    <n v="0.99438000000000004"/>
    <n v="3.4"/>
    <n v="0.82"/>
    <n v="11.2"/>
    <n v="6"/>
    <x v="0"/>
    <s v="Normal"/>
    <n v="22.509999999999998"/>
    <n v="366"/>
    <n v="9"/>
    <x v="1"/>
  </r>
  <r>
    <x v="860"/>
    <n v="7.2"/>
    <n v="0.62"/>
    <n v="0.06"/>
    <n v="2.7"/>
    <n v="7.6999999999999999E-2"/>
    <n v="15"/>
    <n v="85"/>
    <n v="0.99746000000000001"/>
    <n v="3.51"/>
    <n v="0.54"/>
    <n v="9.5"/>
    <n v="5"/>
    <x v="0"/>
    <s v="Normal"/>
    <n v="18.57"/>
    <n v="1351"/>
    <n v="70"/>
    <x v="0"/>
  </r>
  <r>
    <x v="861"/>
    <n v="5.8"/>
    <n v="1.01"/>
    <n v="0.66"/>
    <n v="2"/>
    <n v="3.9E-2"/>
    <n v="15"/>
    <n v="88"/>
    <n v="0.99356999999999995"/>
    <n v="3.66"/>
    <n v="0.6"/>
    <n v="11.5"/>
    <n v="6"/>
    <x v="0"/>
    <s v="Normal"/>
    <n v="21.88"/>
    <n v="471"/>
    <n v="73"/>
    <x v="1"/>
  </r>
  <r>
    <x v="862"/>
    <n v="7.5"/>
    <n v="0.42"/>
    <n v="0.32"/>
    <n v="2.7"/>
    <n v="6.7000000000000004E-2"/>
    <n v="7"/>
    <n v="25"/>
    <n v="0.99628000000000005"/>
    <n v="3.24"/>
    <n v="0.44"/>
    <n v="10.4"/>
    <n v="5"/>
    <x v="0"/>
    <s v="Normal"/>
    <n v="20.62"/>
    <n v="738"/>
    <n v="18"/>
    <x v="1"/>
  </r>
  <r>
    <x v="863"/>
    <n v="7.2"/>
    <n v="0.62"/>
    <n v="0.06"/>
    <n v="2.5"/>
    <n v="7.8E-2"/>
    <n v="17"/>
    <n v="84"/>
    <n v="0.99746000000000001"/>
    <n v="3.51"/>
    <n v="0.53"/>
    <n v="9.6999999999999993"/>
    <n v="5"/>
    <x v="0"/>
    <s v="Normal"/>
    <n v="18.955000000000002"/>
    <n v="1179"/>
    <n v="67"/>
    <x v="0"/>
  </r>
  <r>
    <x v="864"/>
    <n v="7.2"/>
    <n v="0.62"/>
    <n v="0.06"/>
    <n v="2.7"/>
    <n v="7.6999999999999999E-2"/>
    <n v="15"/>
    <n v="85"/>
    <n v="0.99746000000000001"/>
    <n v="3.51"/>
    <n v="0.54"/>
    <n v="9.5"/>
    <n v="5"/>
    <x v="0"/>
    <s v="Normal"/>
    <n v="18.57"/>
    <n v="1351"/>
    <n v="70"/>
    <x v="0"/>
  </r>
  <r>
    <x v="865"/>
    <n v="7.2"/>
    <n v="0.63500000000000001"/>
    <n v="7.0000000000000007E-2"/>
    <n v="2.6"/>
    <n v="7.6999999999999999E-2"/>
    <n v="16"/>
    <n v="86"/>
    <n v="0.99748000000000003"/>
    <n v="3.51"/>
    <n v="0.54"/>
    <n v="9.6999999999999993"/>
    <n v="5"/>
    <x v="0"/>
    <s v="Normal"/>
    <n v="18.939999999999998"/>
    <n v="1188"/>
    <n v="70"/>
    <x v="0"/>
  </r>
  <r>
    <x v="866"/>
    <n v="6.8"/>
    <n v="0.49"/>
    <n v="0.22"/>
    <n v="2.2999999999999998"/>
    <n v="7.0999999999999994E-2"/>
    <n v="13"/>
    <n v="24"/>
    <n v="0.99438000000000004"/>
    <n v="3.41"/>
    <n v="0.83"/>
    <n v="11.3"/>
    <n v="6"/>
    <x v="0"/>
    <s v="Normal"/>
    <n v="22.865000000000002"/>
    <n v="299"/>
    <n v="11"/>
    <x v="1"/>
  </r>
  <r>
    <x v="867"/>
    <n v="6.9"/>
    <n v="0.51"/>
    <n v="0.23"/>
    <n v="2"/>
    <n v="7.1999999999999995E-2"/>
    <n v="13"/>
    <n v="22"/>
    <n v="0.99438000000000004"/>
    <n v="3.4"/>
    <n v="0.84"/>
    <n v="11.2"/>
    <n v="6"/>
    <x v="0"/>
    <s v="Normal"/>
    <n v="22.64"/>
    <n v="339"/>
    <n v="9"/>
    <x v="1"/>
  </r>
  <r>
    <x v="868"/>
    <n v="6.8"/>
    <n v="0.56000000000000005"/>
    <n v="0.22"/>
    <n v="1.8"/>
    <n v="7.3999999999999996E-2"/>
    <n v="15"/>
    <n v="24"/>
    <n v="0.99438000000000004"/>
    <n v="3.4"/>
    <n v="0.82"/>
    <n v="11.2"/>
    <n v="6"/>
    <x v="0"/>
    <s v="Normal"/>
    <n v="22.509999999999998"/>
    <n v="366"/>
    <n v="9"/>
    <x v="1"/>
  </r>
  <r>
    <x v="869"/>
    <n v="7.6"/>
    <n v="0.63"/>
    <n v="0.03"/>
    <n v="2"/>
    <n v="0.08"/>
    <n v="27"/>
    <n v="43"/>
    <n v="0.99578"/>
    <n v="3.44"/>
    <n v="0.64"/>
    <n v="10.9"/>
    <n v="6"/>
    <x v="0"/>
    <s v="Normal"/>
    <n v="21.5"/>
    <n v="542"/>
    <n v="16"/>
    <x v="1"/>
  </r>
  <r>
    <x v="870"/>
    <n v="7.7"/>
    <n v="0.71499999999999997"/>
    <n v="0.01"/>
    <n v="2.1"/>
    <n v="6.4000000000000001E-2"/>
    <n v="31"/>
    <n v="43"/>
    <n v="0.99370999999999998"/>
    <n v="3.41"/>
    <n v="0.56999999999999995"/>
    <n v="11.8"/>
    <n v="6"/>
    <x v="0"/>
    <s v="Normal"/>
    <n v="23.025000000000002"/>
    <n v="265"/>
    <n v="12"/>
    <x v="1"/>
  </r>
  <r>
    <x v="871"/>
    <n v="6.9"/>
    <n v="0.56000000000000005"/>
    <n v="0.03"/>
    <n v="1.5"/>
    <n v="8.5999999999999993E-2"/>
    <n v="36"/>
    <n v="46"/>
    <n v="0.99521999999999999"/>
    <n v="3.53"/>
    <n v="0.56999999999999995"/>
    <n v="10.6"/>
    <n v="5"/>
    <x v="0"/>
    <s v="Normal"/>
    <n v="20.934999999999999"/>
    <n v="667"/>
    <n v="10"/>
    <x v="1"/>
  </r>
  <r>
    <x v="872"/>
    <n v="7.3"/>
    <n v="0.35"/>
    <n v="0.24"/>
    <n v="2"/>
    <n v="6.7000000000000004E-2"/>
    <n v="28"/>
    <n v="48"/>
    <n v="0.99575999999999998"/>
    <n v="3.43"/>
    <n v="0.54"/>
    <n v="10"/>
    <n v="4"/>
    <x v="2"/>
    <s v="Normal"/>
    <n v="20.11"/>
    <n v="836"/>
    <n v="20"/>
    <x v="1"/>
  </r>
  <r>
    <x v="873"/>
    <n v="9.1"/>
    <n v="0.21"/>
    <n v="0.37"/>
    <n v="1.6"/>
    <n v="6.7000000000000004E-2"/>
    <n v="6"/>
    <n v="10"/>
    <n v="0.99551999999999996"/>
    <n v="3.23"/>
    <n v="0.57999999999999996"/>
    <n v="11.1"/>
    <n v="7"/>
    <x v="1"/>
    <s v="High"/>
    <n v="22.65"/>
    <n v="337"/>
    <n v="4"/>
    <x v="1"/>
  </r>
  <r>
    <x v="874"/>
    <n v="10.4"/>
    <n v="0.38"/>
    <n v="0.46"/>
    <n v="2.1"/>
    <n v="0.104"/>
    <n v="6"/>
    <n v="10"/>
    <n v="0.99663999999999997"/>
    <n v="3.12"/>
    <n v="0.65"/>
    <n v="11.8"/>
    <n v="7"/>
    <x v="1"/>
    <s v="High"/>
    <n v="23.815000000000001"/>
    <n v="193"/>
    <n v="4"/>
    <x v="0"/>
  </r>
  <r>
    <x v="875"/>
    <n v="8.8000000000000007"/>
    <n v="0.31"/>
    <n v="0.4"/>
    <n v="2.8"/>
    <n v="0.109"/>
    <n v="7"/>
    <n v="16"/>
    <n v="0.99614000000000003"/>
    <n v="3.31"/>
    <n v="0.79"/>
    <n v="11.8"/>
    <n v="7"/>
    <x v="1"/>
    <s v="High"/>
    <n v="24.164999999999999"/>
    <n v="160"/>
    <n v="9"/>
    <x v="1"/>
  </r>
  <r>
    <x v="876"/>
    <n v="7.1"/>
    <n v="0.47"/>
    <n v="0"/>
    <n v="2.2000000000000002"/>
    <n v="6.7000000000000004E-2"/>
    <n v="7"/>
    <n v="14"/>
    <n v="0.99517"/>
    <n v="3.4"/>
    <n v="0.57999999999999996"/>
    <n v="10.9"/>
    <n v="4"/>
    <x v="2"/>
    <s v="Normal"/>
    <n v="21.73"/>
    <n v="500"/>
    <n v="7"/>
    <x v="1"/>
  </r>
  <r>
    <x v="877"/>
    <n v="7.7"/>
    <n v="0.71499999999999997"/>
    <n v="0.01"/>
    <n v="2.1"/>
    <n v="6.4000000000000001E-2"/>
    <n v="31"/>
    <n v="43"/>
    <n v="0.99370999999999998"/>
    <n v="3.41"/>
    <n v="0.56999999999999995"/>
    <n v="11.8"/>
    <n v="6"/>
    <x v="0"/>
    <s v="Normal"/>
    <n v="23.025000000000002"/>
    <n v="265"/>
    <n v="12"/>
    <x v="1"/>
  </r>
  <r>
    <x v="878"/>
    <n v="8.8000000000000007"/>
    <n v="0.61"/>
    <n v="0.19"/>
    <n v="4"/>
    <n v="9.4E-2"/>
    <n v="30"/>
    <n v="69"/>
    <n v="0.99787000000000003"/>
    <n v="3.22"/>
    <n v="0.5"/>
    <n v="10"/>
    <n v="6"/>
    <x v="0"/>
    <s v="High"/>
    <n v="19.53"/>
    <n v="967"/>
    <n v="39"/>
    <x v="1"/>
  </r>
  <r>
    <x v="879"/>
    <n v="7.2"/>
    <n v="0.6"/>
    <n v="0.04"/>
    <n v="2.5"/>
    <n v="7.5999999999999998E-2"/>
    <n v="18"/>
    <n v="88"/>
    <n v="0.99744999999999995"/>
    <n v="3.53"/>
    <n v="0.55000000000000004"/>
    <n v="9.5"/>
    <n v="5"/>
    <x v="0"/>
    <s v="Normal"/>
    <n v="18.625"/>
    <n v="1334"/>
    <n v="70"/>
    <x v="0"/>
  </r>
  <r>
    <x v="880"/>
    <n v="9.1999999999999993"/>
    <n v="0.56000000000000005"/>
    <n v="0.18"/>
    <n v="1.6"/>
    <n v="7.8E-2"/>
    <n v="10"/>
    <n v="21"/>
    <n v="0.99575999999999998"/>
    <n v="3.15"/>
    <n v="0.49"/>
    <n v="9.9"/>
    <n v="5"/>
    <x v="0"/>
    <s v="High"/>
    <n v="19.414999999999999"/>
    <n v="1000"/>
    <n v="11"/>
    <x v="0"/>
  </r>
  <r>
    <x v="881"/>
    <n v="7.6"/>
    <n v="0.71499999999999997"/>
    <n v="0"/>
    <n v="2.1"/>
    <n v="6.8000000000000005E-2"/>
    <n v="30"/>
    <n v="35"/>
    <n v="0.99533000000000005"/>
    <n v="3.48"/>
    <n v="0.65"/>
    <n v="11.4"/>
    <n v="6"/>
    <x v="0"/>
    <s v="Normal"/>
    <n v="22.345000000000002"/>
    <n v="401"/>
    <n v="5"/>
    <x v="1"/>
  </r>
  <r>
    <x v="882"/>
    <n v="8.4"/>
    <n v="0.31"/>
    <n v="0.28999999999999998"/>
    <n v="3.1"/>
    <n v="0.19400000000000001"/>
    <n v="14"/>
    <n v="26"/>
    <n v="0.99536000000000002"/>
    <n v="3.22"/>
    <n v="0.78"/>
    <n v="12"/>
    <n v="6"/>
    <x v="0"/>
    <s v="High"/>
    <n v="24.55"/>
    <n v="124"/>
    <n v="12"/>
    <x v="1"/>
  </r>
  <r>
    <x v="883"/>
    <n v="7.2"/>
    <n v="0.6"/>
    <n v="0.04"/>
    <n v="2.5"/>
    <n v="7.5999999999999998E-2"/>
    <n v="18"/>
    <n v="88"/>
    <n v="0.99744999999999995"/>
    <n v="3.53"/>
    <n v="0.55000000000000004"/>
    <n v="9.5"/>
    <n v="5"/>
    <x v="0"/>
    <s v="Normal"/>
    <n v="18.625"/>
    <n v="1334"/>
    <n v="70"/>
    <x v="0"/>
  </r>
  <r>
    <x v="884"/>
    <n v="8.8000000000000007"/>
    <n v="0.61"/>
    <n v="0.19"/>
    <n v="4"/>
    <n v="9.4E-2"/>
    <n v="30"/>
    <n v="69"/>
    <n v="0.99787000000000003"/>
    <n v="3.22"/>
    <n v="0.5"/>
    <n v="10"/>
    <n v="6"/>
    <x v="0"/>
    <s v="High"/>
    <n v="19.53"/>
    <n v="967"/>
    <n v="39"/>
    <x v="1"/>
  </r>
  <r>
    <x v="885"/>
    <n v="8.9"/>
    <n v="0.75"/>
    <n v="0.14000000000000001"/>
    <n v="2.5"/>
    <n v="8.5999999999999993E-2"/>
    <n v="9"/>
    <n v="30"/>
    <n v="0.99824000000000002"/>
    <n v="3.34"/>
    <n v="0.64"/>
    <n v="10.5"/>
    <n v="5"/>
    <x v="0"/>
    <s v="Normal"/>
    <n v="20.46"/>
    <n v="759"/>
    <n v="21"/>
    <x v="1"/>
  </r>
  <r>
    <x v="886"/>
    <n v="9"/>
    <n v="0.8"/>
    <n v="0.12"/>
    <n v="2.4"/>
    <n v="8.3000000000000004E-2"/>
    <n v="8"/>
    <n v="28"/>
    <n v="0.99836000000000003"/>
    <n v="3.33"/>
    <n v="0.65"/>
    <n v="10.4"/>
    <n v="6"/>
    <x v="0"/>
    <s v="Normal"/>
    <n v="20.175000000000001"/>
    <n v="821"/>
    <n v="20"/>
    <x v="1"/>
  </r>
  <r>
    <x v="887"/>
    <n v="10.7"/>
    <n v="0.52"/>
    <n v="0.38"/>
    <n v="2.6"/>
    <n v="6.6000000000000003E-2"/>
    <n v="29"/>
    <n v="56"/>
    <n v="0.99577000000000004"/>
    <n v="3.15"/>
    <n v="0.79"/>
    <n v="12.1"/>
    <n v="7"/>
    <x v="1"/>
    <s v="High"/>
    <n v="24.344999999999999"/>
    <n v="149"/>
    <n v="27"/>
    <x v="0"/>
  </r>
  <r>
    <x v="888"/>
    <n v="6.8"/>
    <n v="0.56999999999999995"/>
    <n v="0"/>
    <n v="2.5"/>
    <n v="7.1999999999999995E-2"/>
    <n v="32"/>
    <n v="64"/>
    <n v="0.99490999999999996"/>
    <n v="3.43"/>
    <n v="0.56000000000000005"/>
    <n v="11.2"/>
    <n v="6"/>
    <x v="0"/>
    <s v="Normal"/>
    <n v="22.099999999999998"/>
    <n v="443"/>
    <n v="32"/>
    <x v="1"/>
  </r>
  <r>
    <x v="889"/>
    <n v="10.7"/>
    <n v="0.9"/>
    <n v="0.34"/>
    <n v="6.6"/>
    <n v="0.112"/>
    <n v="23"/>
    <n v="99"/>
    <n v="1.0028900000000001"/>
    <n v="3.22"/>
    <n v="0.68"/>
    <n v="9.3000000000000007"/>
    <n v="5"/>
    <x v="0"/>
    <s v="High"/>
    <n v="17.82"/>
    <n v="1551"/>
    <n v="76"/>
    <x v="0"/>
  </r>
  <r>
    <x v="890"/>
    <n v="7.2"/>
    <n v="0.34"/>
    <n v="0.24"/>
    <n v="2"/>
    <n v="7.0999999999999994E-2"/>
    <n v="30"/>
    <n v="52"/>
    <n v="0.99575999999999998"/>
    <n v="3.44"/>
    <n v="0.57999999999999996"/>
    <n v="10.1"/>
    <n v="5"/>
    <x v="0"/>
    <s v="Normal"/>
    <n v="20.39"/>
    <n v="768"/>
    <n v="22"/>
    <x v="1"/>
  </r>
  <r>
    <x v="891"/>
    <n v="7.2"/>
    <n v="0.66"/>
    <n v="0.03"/>
    <n v="2.2999999999999998"/>
    <n v="7.8E-2"/>
    <n v="16"/>
    <n v="86"/>
    <n v="0.99743000000000004"/>
    <n v="3.53"/>
    <n v="0.56999999999999995"/>
    <n v="9.6999999999999993"/>
    <n v="5"/>
    <x v="0"/>
    <s v="Normal"/>
    <n v="18.934999999999999"/>
    <n v="1189"/>
    <n v="70"/>
    <x v="0"/>
  </r>
  <r>
    <x v="892"/>
    <n v="10.1"/>
    <n v="0.45"/>
    <n v="0.23"/>
    <n v="1.9"/>
    <n v="8.2000000000000003E-2"/>
    <n v="10"/>
    <n v="18"/>
    <n v="0.99773999999999996"/>
    <n v="3.22"/>
    <n v="0.65"/>
    <n v="9.3000000000000007"/>
    <n v="6"/>
    <x v="0"/>
    <s v="High"/>
    <n v="18.675000000000004"/>
    <n v="1303"/>
    <n v="8"/>
    <x v="0"/>
  </r>
  <r>
    <x v="893"/>
    <n v="7.2"/>
    <n v="0.66"/>
    <n v="0.03"/>
    <n v="2.2999999999999998"/>
    <n v="7.8E-2"/>
    <n v="16"/>
    <n v="86"/>
    <n v="0.99743000000000004"/>
    <n v="3.53"/>
    <n v="0.56999999999999995"/>
    <n v="9.6999999999999993"/>
    <n v="5"/>
    <x v="0"/>
    <s v="Normal"/>
    <n v="18.934999999999999"/>
    <n v="1189"/>
    <n v="70"/>
    <x v="0"/>
  </r>
  <r>
    <x v="894"/>
    <n v="7.2"/>
    <n v="0.63"/>
    <n v="0.03"/>
    <n v="2.2000000000000002"/>
    <n v="0.08"/>
    <n v="17"/>
    <n v="88"/>
    <n v="0.99744999999999995"/>
    <n v="3.53"/>
    <n v="0.57999999999999996"/>
    <n v="9.8000000000000007"/>
    <n v="6"/>
    <x v="0"/>
    <s v="Normal"/>
    <n v="19.21"/>
    <n v="1075"/>
    <n v="71"/>
    <x v="0"/>
  </r>
  <r>
    <x v="895"/>
    <n v="7.1"/>
    <n v="0.59"/>
    <n v="0.01"/>
    <n v="2.2999999999999998"/>
    <n v="0.08"/>
    <n v="27"/>
    <n v="43"/>
    <n v="0.99550000000000005"/>
    <n v="3.42"/>
    <n v="0.57999999999999996"/>
    <n v="10.7"/>
    <n v="6"/>
    <x v="0"/>
    <s v="Normal"/>
    <n v="21.09"/>
    <n v="632"/>
    <n v="16"/>
    <x v="1"/>
  </r>
  <r>
    <x v="896"/>
    <n v="8.3000000000000007"/>
    <n v="0.31"/>
    <n v="0.39"/>
    <n v="2.4"/>
    <n v="7.8E-2"/>
    <n v="17"/>
    <n v="43"/>
    <n v="0.99443999999999999"/>
    <n v="3.31"/>
    <n v="0.77"/>
    <n v="12.5"/>
    <n v="7"/>
    <x v="1"/>
    <s v="Normal"/>
    <n v="25.535"/>
    <n v="50"/>
    <n v="26"/>
    <x v="1"/>
  </r>
  <r>
    <x v="897"/>
    <n v="7.1"/>
    <n v="0.59"/>
    <n v="0.01"/>
    <n v="2.2999999999999998"/>
    <n v="0.08"/>
    <n v="27"/>
    <n v="43"/>
    <n v="0.99550000000000005"/>
    <n v="3.42"/>
    <n v="0.57999999999999996"/>
    <n v="10.7"/>
    <n v="6"/>
    <x v="0"/>
    <s v="Normal"/>
    <n v="21.09"/>
    <n v="632"/>
    <n v="16"/>
    <x v="1"/>
  </r>
  <r>
    <x v="898"/>
    <n v="8.3000000000000007"/>
    <n v="0.31"/>
    <n v="0.39"/>
    <n v="2.4"/>
    <n v="7.8E-2"/>
    <n v="17"/>
    <n v="43"/>
    <n v="0.99443999999999999"/>
    <n v="3.31"/>
    <n v="0.77"/>
    <n v="12.5"/>
    <n v="7"/>
    <x v="1"/>
    <s v="Normal"/>
    <n v="25.535"/>
    <n v="50"/>
    <n v="26"/>
    <x v="1"/>
  </r>
  <r>
    <x v="899"/>
    <n v="8.3000000000000007"/>
    <n v="1.02"/>
    <n v="0.02"/>
    <n v="3.4"/>
    <n v="8.4000000000000005E-2"/>
    <n v="6"/>
    <n v="11"/>
    <n v="0.99892000000000003"/>
    <n v="3.48"/>
    <n v="0.49"/>
    <n v="11"/>
    <n v="3"/>
    <x v="2"/>
    <s v="Normal"/>
    <n v="20.695"/>
    <n v="724"/>
    <n v="5"/>
    <x v="1"/>
  </r>
  <r>
    <x v="900"/>
    <n v="8.9"/>
    <n v="0.31"/>
    <n v="0.36"/>
    <n v="2.6"/>
    <n v="5.6000000000000001E-2"/>
    <n v="10"/>
    <n v="39"/>
    <n v="0.99561999999999995"/>
    <n v="3.4"/>
    <n v="0.69"/>
    <n v="11.8"/>
    <n v="5"/>
    <x v="0"/>
    <s v="Normal"/>
    <n v="24.015000000000001"/>
    <n v="179"/>
    <n v="29"/>
    <x v="1"/>
  </r>
  <r>
    <x v="901"/>
    <n v="7.4"/>
    <n v="0.63500000000000001"/>
    <n v="0.1"/>
    <n v="2.4"/>
    <n v="0.08"/>
    <n v="16"/>
    <n v="33"/>
    <n v="0.99736000000000002"/>
    <n v="3.58"/>
    <n v="0.69"/>
    <n v="10.8"/>
    <n v="7"/>
    <x v="1"/>
    <s v="Normal"/>
    <n v="21.365000000000002"/>
    <n v="564"/>
    <n v="17"/>
    <x v="1"/>
  </r>
  <r>
    <x v="902"/>
    <n v="7.4"/>
    <n v="0.63500000000000001"/>
    <n v="0.1"/>
    <n v="2.4"/>
    <n v="0.08"/>
    <n v="16"/>
    <n v="33"/>
    <n v="0.99736000000000002"/>
    <n v="3.58"/>
    <n v="0.69"/>
    <n v="10.8"/>
    <n v="7"/>
    <x v="1"/>
    <s v="Normal"/>
    <n v="21.365000000000002"/>
    <n v="564"/>
    <n v="17"/>
    <x v="1"/>
  </r>
  <r>
    <x v="903"/>
    <n v="6.8"/>
    <n v="0.59"/>
    <n v="0.06"/>
    <n v="6"/>
    <n v="0.06"/>
    <n v="11"/>
    <n v="18"/>
    <n v="0.99619999999999997"/>
    <n v="3.41"/>
    <n v="0.59"/>
    <n v="10.8"/>
    <n v="7"/>
    <x v="1"/>
    <s v="Normal"/>
    <n v="21.305000000000003"/>
    <n v="577"/>
    <n v="7"/>
    <x v="1"/>
  </r>
  <r>
    <x v="904"/>
    <n v="6.8"/>
    <n v="0.59"/>
    <n v="0.06"/>
    <n v="6"/>
    <n v="0.06"/>
    <n v="11"/>
    <n v="18"/>
    <n v="0.99619999999999997"/>
    <n v="3.41"/>
    <n v="0.59"/>
    <n v="10.8"/>
    <n v="7"/>
    <x v="1"/>
    <s v="Normal"/>
    <n v="21.305000000000003"/>
    <n v="577"/>
    <n v="7"/>
    <x v="1"/>
  </r>
  <r>
    <x v="905"/>
    <n v="9.1999999999999993"/>
    <n v="0.57999999999999996"/>
    <n v="0.2"/>
    <n v="3"/>
    <n v="8.1000000000000003E-2"/>
    <n v="15"/>
    <n v="115"/>
    <n v="0.998"/>
    <n v="3.23"/>
    <n v="0.59"/>
    <n v="9.5"/>
    <n v="5"/>
    <x v="0"/>
    <s v="High"/>
    <n v="18.725000000000001"/>
    <n v="1274"/>
    <n v="100"/>
    <x v="0"/>
  </r>
  <r>
    <x v="906"/>
    <n v="7.2"/>
    <n v="0.54"/>
    <n v="0.27"/>
    <n v="2.6"/>
    <n v="8.4000000000000005E-2"/>
    <n v="12"/>
    <n v="78"/>
    <n v="0.99639999999999995"/>
    <n v="3.39"/>
    <n v="0.71"/>
    <n v="11"/>
    <n v="5"/>
    <x v="0"/>
    <s v="Normal"/>
    <n v="21.984999999999999"/>
    <n v="458"/>
    <n v="66"/>
    <x v="1"/>
  </r>
  <r>
    <x v="907"/>
    <n v="6.1"/>
    <n v="0.56000000000000005"/>
    <n v="0"/>
    <n v="2.2000000000000002"/>
    <n v="7.9000000000000001E-2"/>
    <n v="6"/>
    <n v="9"/>
    <n v="0.99480000000000002"/>
    <n v="3.59"/>
    <n v="0.54"/>
    <n v="11.5"/>
    <n v="6"/>
    <x v="0"/>
    <s v="Normal"/>
    <n v="22.689999999999998"/>
    <n v="327"/>
    <n v="3"/>
    <x v="1"/>
  </r>
  <r>
    <x v="908"/>
    <n v="7.4"/>
    <n v="0.52"/>
    <n v="0.13"/>
    <n v="2.4"/>
    <n v="7.8E-2"/>
    <n v="34"/>
    <n v="61"/>
    <n v="0.99528000000000005"/>
    <n v="3.43"/>
    <n v="0.59"/>
    <n v="10.8"/>
    <n v="6"/>
    <x v="0"/>
    <s v="Normal"/>
    <n v="21.445000000000004"/>
    <n v="550"/>
    <n v="27"/>
    <x v="1"/>
  </r>
  <r>
    <x v="909"/>
    <n v="7.3"/>
    <n v="0.30499999999999999"/>
    <n v="0.39"/>
    <n v="1.2"/>
    <n v="5.8999999999999997E-2"/>
    <n v="7"/>
    <n v="11"/>
    <n v="0.99331000000000003"/>
    <n v="3.29"/>
    <n v="0.52"/>
    <n v="11.5"/>
    <n v="6"/>
    <x v="0"/>
    <s v="Normal"/>
    <n v="23.17"/>
    <n v="252"/>
    <n v="4"/>
    <x v="1"/>
  </r>
  <r>
    <x v="910"/>
    <n v="9.3000000000000007"/>
    <n v="0.38"/>
    <n v="0.48"/>
    <n v="3.8"/>
    <n v="0.13200000000000001"/>
    <n v="3"/>
    <n v="11"/>
    <n v="0.99577000000000004"/>
    <n v="3.23"/>
    <n v="0.56999999999999995"/>
    <n v="13.2"/>
    <n v="6"/>
    <x v="0"/>
    <s v="High"/>
    <n v="26.494999999999997"/>
    <n v="21"/>
    <n v="8"/>
    <x v="1"/>
  </r>
  <r>
    <x v="911"/>
    <n v="9.1"/>
    <n v="0.28000000000000003"/>
    <n v="0.46"/>
    <n v="9"/>
    <n v="0.114"/>
    <n v="3"/>
    <n v="9"/>
    <n v="0.99900999999999995"/>
    <n v="3.18"/>
    <n v="0.6"/>
    <n v="10.9"/>
    <n v="6"/>
    <x v="0"/>
    <s v="High"/>
    <n v="22.14"/>
    <n v="429"/>
    <n v="6"/>
    <x v="0"/>
  </r>
  <r>
    <x v="912"/>
    <n v="10"/>
    <n v="0.46"/>
    <n v="0.44"/>
    <n v="2.9"/>
    <n v="6.5000000000000002E-2"/>
    <n v="4"/>
    <n v="8"/>
    <n v="0.99673999999999996"/>
    <n v="3.33"/>
    <n v="0.62"/>
    <n v="12.2"/>
    <n v="6"/>
    <x v="0"/>
    <s v="Normal"/>
    <n v="24.409999999999997"/>
    <n v="137"/>
    <n v="4"/>
    <x v="1"/>
  </r>
  <r>
    <x v="913"/>
    <n v="9.4"/>
    <n v="0.39500000000000002"/>
    <n v="0.46"/>
    <n v="4.5999999999999996"/>
    <n v="9.4E-2"/>
    <n v="3"/>
    <n v="10"/>
    <n v="0.99639"/>
    <n v="3.27"/>
    <n v="0.64"/>
    <n v="12.2"/>
    <n v="7"/>
    <x v="1"/>
    <s v="High"/>
    <n v="24.57"/>
    <n v="121"/>
    <n v="7"/>
    <x v="1"/>
  </r>
  <r>
    <x v="914"/>
    <n v="7.3"/>
    <n v="0.30499999999999999"/>
    <n v="0.39"/>
    <n v="1.2"/>
    <n v="5.8999999999999997E-2"/>
    <n v="7"/>
    <n v="11"/>
    <n v="0.99331000000000003"/>
    <n v="3.29"/>
    <n v="0.52"/>
    <n v="11.5"/>
    <n v="6"/>
    <x v="0"/>
    <s v="Normal"/>
    <n v="23.17"/>
    <n v="252"/>
    <n v="4"/>
    <x v="1"/>
  </r>
  <r>
    <x v="915"/>
    <n v="8.6"/>
    <n v="0.315"/>
    <n v="0.4"/>
    <n v="2.2000000000000002"/>
    <n v="7.9000000000000001E-2"/>
    <n v="3"/>
    <n v="6"/>
    <n v="0.99512"/>
    <n v="3.27"/>
    <n v="0.67"/>
    <n v="11.9"/>
    <n v="6"/>
    <x v="0"/>
    <s v="High"/>
    <n v="24.175000000000001"/>
    <n v="159"/>
    <n v="3"/>
    <x v="1"/>
  </r>
  <r>
    <x v="916"/>
    <n v="5.3"/>
    <n v="0.71499999999999997"/>
    <n v="0.19"/>
    <n v="1.5"/>
    <n v="0.161"/>
    <n v="7"/>
    <n v="62"/>
    <n v="0.99395"/>
    <n v="3.62"/>
    <n v="0.61"/>
    <n v="11"/>
    <n v="5"/>
    <x v="0"/>
    <s v="Normal"/>
    <n v="21.484999999999999"/>
    <n v="544"/>
    <n v="55"/>
    <x v="1"/>
  </r>
  <r>
    <x v="917"/>
    <n v="6.8"/>
    <n v="0.41"/>
    <n v="0.31"/>
    <n v="8.8000000000000007"/>
    <n v="8.4000000000000005E-2"/>
    <n v="26"/>
    <n v="45"/>
    <n v="0.99824000000000002"/>
    <n v="3.38"/>
    <n v="0.64"/>
    <n v="10.1"/>
    <n v="6"/>
    <x v="0"/>
    <s v="Normal"/>
    <n v="20.34"/>
    <n v="782"/>
    <n v="19"/>
    <x v="1"/>
  </r>
  <r>
    <x v="918"/>
    <n v="8.4"/>
    <n v="0.36"/>
    <n v="0.32"/>
    <n v="2.2000000000000002"/>
    <n v="8.1000000000000003E-2"/>
    <n v="32"/>
    <n v="79"/>
    <n v="0.99639999999999995"/>
    <n v="3.3"/>
    <n v="0.72"/>
    <n v="11"/>
    <n v="6"/>
    <x v="0"/>
    <s v="High"/>
    <n v="22.36"/>
    <n v="398"/>
    <n v="47"/>
    <x v="1"/>
  </r>
  <r>
    <x v="919"/>
    <n v="8.4"/>
    <n v="0.62"/>
    <n v="0.12"/>
    <n v="1.8"/>
    <n v="7.1999999999999995E-2"/>
    <n v="38"/>
    <n v="46"/>
    <n v="0.99504000000000004"/>
    <n v="3.38"/>
    <n v="0.89"/>
    <n v="11.8"/>
    <n v="6"/>
    <x v="0"/>
    <s v="Normal"/>
    <n v="23.695000000000004"/>
    <n v="201"/>
    <n v="8"/>
    <x v="1"/>
  </r>
  <r>
    <x v="920"/>
    <n v="9.6"/>
    <n v="0.41"/>
    <n v="0.37"/>
    <n v="2.2999999999999998"/>
    <n v="9.0999999999999998E-2"/>
    <n v="10"/>
    <n v="23"/>
    <n v="0.99785999999999997"/>
    <n v="3.24"/>
    <n v="0.56000000000000005"/>
    <n v="10.5"/>
    <n v="5"/>
    <x v="0"/>
    <s v="High"/>
    <n v="21.02"/>
    <n v="647"/>
    <n v="13"/>
    <x v="1"/>
  </r>
  <r>
    <x v="921"/>
    <n v="8.4"/>
    <n v="0.36"/>
    <n v="0.32"/>
    <n v="2.2000000000000002"/>
    <n v="8.1000000000000003E-2"/>
    <n v="32"/>
    <n v="79"/>
    <n v="0.99639999999999995"/>
    <n v="3.3"/>
    <n v="0.72"/>
    <n v="11"/>
    <n v="6"/>
    <x v="0"/>
    <s v="High"/>
    <n v="22.36"/>
    <n v="398"/>
    <n v="47"/>
    <x v="1"/>
  </r>
  <r>
    <x v="922"/>
    <n v="8.4"/>
    <n v="0.62"/>
    <n v="0.12"/>
    <n v="1.8"/>
    <n v="7.1999999999999995E-2"/>
    <n v="38"/>
    <n v="46"/>
    <n v="0.99504000000000004"/>
    <n v="3.38"/>
    <n v="0.89"/>
    <n v="11.8"/>
    <n v="6"/>
    <x v="0"/>
    <s v="Normal"/>
    <n v="23.695000000000004"/>
    <n v="201"/>
    <n v="8"/>
    <x v="1"/>
  </r>
  <r>
    <x v="923"/>
    <n v="6.8"/>
    <n v="0.41"/>
    <n v="0.31"/>
    <n v="8.8000000000000007"/>
    <n v="8.4000000000000005E-2"/>
    <n v="26"/>
    <n v="45"/>
    <n v="0.99824000000000002"/>
    <n v="3.38"/>
    <n v="0.64"/>
    <n v="10.1"/>
    <n v="6"/>
    <x v="0"/>
    <s v="Normal"/>
    <n v="20.34"/>
    <n v="782"/>
    <n v="19"/>
    <x v="1"/>
  </r>
  <r>
    <x v="924"/>
    <n v="8.6"/>
    <n v="0.47"/>
    <n v="0.27"/>
    <n v="2.2999999999999998"/>
    <n v="5.5E-2"/>
    <n v="14"/>
    <n v="28"/>
    <n v="0.99516000000000004"/>
    <n v="3.18"/>
    <n v="0.8"/>
    <n v="11.2"/>
    <n v="5"/>
    <x v="0"/>
    <s v="High"/>
    <n v="22.659999999999997"/>
    <n v="333"/>
    <n v="14"/>
    <x v="0"/>
  </r>
  <r>
    <x v="925"/>
    <n v="8.6"/>
    <n v="0.22"/>
    <n v="0.36"/>
    <n v="1.9"/>
    <n v="6.4000000000000001E-2"/>
    <n v="53"/>
    <n v="77"/>
    <n v="0.99604000000000004"/>
    <n v="3.47"/>
    <n v="0.87"/>
    <n v="11"/>
    <n v="7"/>
    <x v="1"/>
    <s v="Normal"/>
    <n v="22.864999999999998"/>
    <n v="300"/>
    <n v="24"/>
    <x v="1"/>
  </r>
  <r>
    <x v="926"/>
    <n v="9.4"/>
    <n v="0.24"/>
    <n v="0.33"/>
    <n v="2.2999999999999998"/>
    <n v="6.0999999999999999E-2"/>
    <n v="52"/>
    <n v="73"/>
    <n v="0.99785999999999997"/>
    <n v="3.47"/>
    <n v="0.9"/>
    <n v="10.199999999999999"/>
    <n v="6"/>
    <x v="0"/>
    <s v="Normal"/>
    <n v="21.27"/>
    <n v="587"/>
    <n v="21"/>
    <x v="1"/>
  </r>
  <r>
    <x v="927"/>
    <n v="8.4"/>
    <n v="0.67"/>
    <n v="0.19"/>
    <n v="2.2000000000000002"/>
    <n v="9.2999999999999999E-2"/>
    <n v="11"/>
    <n v="75"/>
    <n v="0.99736000000000002"/>
    <n v="3.2"/>
    <n v="0.59"/>
    <n v="9.1999999999999993"/>
    <n v="4"/>
    <x v="2"/>
    <s v="High"/>
    <n v="17.945"/>
    <n v="1529"/>
    <n v="64"/>
    <x v="0"/>
  </r>
  <r>
    <x v="928"/>
    <n v="8.6"/>
    <n v="0.47"/>
    <n v="0.27"/>
    <n v="2.2999999999999998"/>
    <n v="5.5E-2"/>
    <n v="14"/>
    <n v="28"/>
    <n v="0.99516000000000004"/>
    <n v="3.18"/>
    <n v="0.8"/>
    <n v="11.2"/>
    <n v="5"/>
    <x v="0"/>
    <s v="High"/>
    <n v="22.659999999999997"/>
    <n v="333"/>
    <n v="14"/>
    <x v="0"/>
  </r>
  <r>
    <x v="929"/>
    <n v="8.6999999999999993"/>
    <n v="0.33"/>
    <n v="0.38"/>
    <n v="3.3"/>
    <n v="6.3E-2"/>
    <n v="10"/>
    <n v="19"/>
    <n v="0.99468000000000001"/>
    <n v="3.3"/>
    <n v="0.73"/>
    <n v="12"/>
    <n v="7"/>
    <x v="1"/>
    <s v="High"/>
    <n v="24.434999999999999"/>
    <n v="131"/>
    <n v="9"/>
    <x v="1"/>
  </r>
  <r>
    <x v="930"/>
    <n v="6.6"/>
    <n v="0.61"/>
    <n v="0.01"/>
    <n v="1.9"/>
    <n v="0.08"/>
    <n v="8"/>
    <n v="25"/>
    <n v="0.99746000000000001"/>
    <n v="3.69"/>
    <n v="0.73"/>
    <n v="10.5"/>
    <n v="5"/>
    <x v="0"/>
    <s v="Normal"/>
    <n v="20.875"/>
    <n v="679"/>
    <n v="17"/>
    <x v="1"/>
  </r>
  <r>
    <x v="931"/>
    <n v="7.4"/>
    <n v="0.61"/>
    <n v="0.01"/>
    <n v="2"/>
    <n v="7.3999999999999996E-2"/>
    <n v="13"/>
    <n v="38"/>
    <n v="0.99748000000000003"/>
    <n v="3.48"/>
    <n v="0.65"/>
    <n v="9.8000000000000007"/>
    <n v="5"/>
    <x v="0"/>
    <s v="Normal"/>
    <n v="19.355000000000004"/>
    <n v="1020"/>
    <n v="25"/>
    <x v="0"/>
  </r>
  <r>
    <x v="932"/>
    <n v="7.6"/>
    <n v="0.4"/>
    <n v="0.28999999999999998"/>
    <n v="1.9"/>
    <n v="7.8E-2"/>
    <n v="29"/>
    <n v="66"/>
    <n v="0.99709999999999999"/>
    <n v="3.45"/>
    <n v="0.59"/>
    <n v="9.5"/>
    <n v="6"/>
    <x v="0"/>
    <s v="Normal"/>
    <n v="19.085000000000001"/>
    <n v="1127"/>
    <n v="37"/>
    <x v="0"/>
  </r>
  <r>
    <x v="933"/>
    <n v="7.4"/>
    <n v="0.61"/>
    <n v="0.01"/>
    <n v="2"/>
    <n v="7.3999999999999996E-2"/>
    <n v="13"/>
    <n v="38"/>
    <n v="0.99748000000000003"/>
    <n v="3.48"/>
    <n v="0.65"/>
    <n v="9.8000000000000007"/>
    <n v="5"/>
    <x v="0"/>
    <s v="Normal"/>
    <n v="19.355000000000004"/>
    <n v="1020"/>
    <n v="25"/>
    <x v="0"/>
  </r>
  <r>
    <x v="934"/>
    <n v="6.6"/>
    <n v="0.61"/>
    <n v="0.01"/>
    <n v="1.9"/>
    <n v="0.08"/>
    <n v="8"/>
    <n v="25"/>
    <n v="0.99746000000000001"/>
    <n v="3.69"/>
    <n v="0.73"/>
    <n v="10.5"/>
    <n v="5"/>
    <x v="0"/>
    <s v="Normal"/>
    <n v="20.875"/>
    <n v="679"/>
    <n v="17"/>
    <x v="1"/>
  </r>
  <r>
    <x v="935"/>
    <n v="8.8000000000000007"/>
    <n v="0.3"/>
    <n v="0.38"/>
    <n v="2.2999999999999998"/>
    <n v="0.06"/>
    <n v="19"/>
    <n v="72"/>
    <n v="0.99543000000000004"/>
    <n v="3.39"/>
    <n v="0.72"/>
    <n v="11.8"/>
    <n v="6"/>
    <x v="0"/>
    <s v="Normal"/>
    <n v="24.08"/>
    <n v="170"/>
    <n v="53"/>
    <x v="1"/>
  </r>
  <r>
    <x v="936"/>
    <n v="8.8000000000000007"/>
    <n v="0.3"/>
    <n v="0.38"/>
    <n v="2.2999999999999998"/>
    <n v="0.06"/>
    <n v="19"/>
    <n v="72"/>
    <n v="0.99543000000000004"/>
    <n v="3.39"/>
    <n v="0.72"/>
    <n v="11.8"/>
    <n v="6"/>
    <x v="0"/>
    <s v="Normal"/>
    <n v="24.08"/>
    <n v="170"/>
    <n v="53"/>
    <x v="1"/>
  </r>
  <r>
    <x v="937"/>
    <n v="12"/>
    <n v="0.63"/>
    <n v="0.5"/>
    <n v="1.4"/>
    <n v="7.0999999999999994E-2"/>
    <n v="6"/>
    <n v="26"/>
    <n v="0.99790999999999996"/>
    <n v="3.07"/>
    <n v="0.6"/>
    <n v="10.4"/>
    <n v="4"/>
    <x v="2"/>
    <s v="High"/>
    <n v="20.439999999999998"/>
    <n v="762"/>
    <n v="20"/>
    <x v="0"/>
  </r>
  <r>
    <x v="938"/>
    <n v="7.2"/>
    <n v="0.38"/>
    <n v="0.38"/>
    <n v="2.8"/>
    <n v="6.8000000000000005E-2"/>
    <n v="23"/>
    <n v="42"/>
    <n v="0.99356"/>
    <n v="3.34"/>
    <n v="0.72"/>
    <n v="12.9"/>
    <n v="7"/>
    <x v="1"/>
    <s v="Normal"/>
    <n v="26.12"/>
    <n v="25"/>
    <n v="19"/>
    <x v="1"/>
  </r>
  <r>
    <x v="939"/>
    <n v="6.2"/>
    <n v="0.46"/>
    <n v="0.17"/>
    <n v="1.6"/>
    <n v="7.2999999999999995E-2"/>
    <n v="7"/>
    <n v="11"/>
    <n v="0.99424999999999997"/>
    <n v="3.61"/>
    <n v="0.54"/>
    <n v="11.4"/>
    <n v="5"/>
    <x v="0"/>
    <s v="Normal"/>
    <n v="22.689999999999998"/>
    <n v="327"/>
    <n v="4"/>
    <x v="1"/>
  </r>
  <r>
    <x v="940"/>
    <n v="9.6"/>
    <n v="0.33"/>
    <n v="0.52"/>
    <n v="2.2000000000000002"/>
    <n v="7.3999999999999996E-2"/>
    <n v="13"/>
    <n v="25"/>
    <n v="0.99509000000000003"/>
    <n v="3.36"/>
    <n v="0.76"/>
    <n v="12.4"/>
    <n v="7"/>
    <x v="1"/>
    <s v="Normal"/>
    <n v="25.28"/>
    <n v="71"/>
    <n v="12"/>
    <x v="1"/>
  </r>
  <r>
    <x v="941"/>
    <n v="9.9"/>
    <n v="0.27"/>
    <n v="0.49"/>
    <n v="5"/>
    <n v="8.2000000000000003E-2"/>
    <n v="9"/>
    <n v="17"/>
    <n v="0.99483999999999995"/>
    <n v="3.19"/>
    <n v="0.52"/>
    <n v="12.5"/>
    <n v="7"/>
    <x v="1"/>
    <s v="High"/>
    <n v="25.240000000000002"/>
    <n v="76"/>
    <n v="8"/>
    <x v="0"/>
  </r>
  <r>
    <x v="942"/>
    <n v="10.1"/>
    <n v="0.43"/>
    <n v="0.4"/>
    <n v="2.6"/>
    <n v="9.1999999999999998E-2"/>
    <n v="13"/>
    <n v="52"/>
    <n v="0.99834000000000001"/>
    <n v="3.22"/>
    <n v="0.64"/>
    <n v="10"/>
    <n v="7"/>
    <x v="1"/>
    <s v="High"/>
    <n v="20.100000000000001"/>
    <n v="837"/>
    <n v="39"/>
    <x v="1"/>
  </r>
  <r>
    <x v="943"/>
    <n v="9.8000000000000007"/>
    <n v="0.5"/>
    <n v="0.34"/>
    <n v="2.2999999999999998"/>
    <n v="9.4E-2"/>
    <n v="10"/>
    <n v="45"/>
    <n v="0.99863999999999997"/>
    <n v="3.24"/>
    <n v="0.6"/>
    <n v="9.6999999999999993"/>
    <n v="7"/>
    <x v="1"/>
    <s v="High"/>
    <n v="19.299999999999997"/>
    <n v="1043"/>
    <n v="35"/>
    <x v="0"/>
  </r>
  <r>
    <x v="944"/>
    <n v="8.3000000000000007"/>
    <n v="0.3"/>
    <n v="0.49"/>
    <n v="3.8"/>
    <n v="0.09"/>
    <n v="11"/>
    <n v="24"/>
    <n v="0.99497999999999998"/>
    <n v="3.27"/>
    <n v="0.64"/>
    <n v="12.1"/>
    <n v="7"/>
    <x v="1"/>
    <s v="Normal"/>
    <n v="24.56"/>
    <n v="122"/>
    <n v="13"/>
    <x v="1"/>
  </r>
  <r>
    <x v="945"/>
    <n v="10.199999999999999"/>
    <n v="0.44"/>
    <n v="0.42"/>
    <n v="2"/>
    <n v="7.0999999999999994E-2"/>
    <n v="7"/>
    <n v="20"/>
    <n v="0.99565999999999999"/>
    <n v="3.14"/>
    <n v="0.79"/>
    <n v="11.1"/>
    <n v="7"/>
    <x v="1"/>
    <s v="High"/>
    <n v="22.504999999999999"/>
    <n v="368"/>
    <n v="13"/>
    <x v="0"/>
  </r>
  <r>
    <x v="946"/>
    <n v="10.199999999999999"/>
    <n v="0.44"/>
    <n v="0.57999999999999996"/>
    <n v="4.0999999999999996"/>
    <n v="9.1999999999999998E-2"/>
    <n v="11"/>
    <n v="24"/>
    <n v="0.99744999999999995"/>
    <n v="3.29"/>
    <n v="0.99"/>
    <n v="12"/>
    <n v="7"/>
    <x v="1"/>
    <s v="High"/>
    <n v="24.605"/>
    <n v="118"/>
    <n v="13"/>
    <x v="1"/>
  </r>
  <r>
    <x v="947"/>
    <n v="8.3000000000000007"/>
    <n v="0.28000000000000003"/>
    <n v="0.48"/>
    <n v="2.1"/>
    <n v="9.2999999999999999E-2"/>
    <n v="6"/>
    <n v="12"/>
    <n v="0.99407999999999996"/>
    <n v="3.26"/>
    <n v="0.62"/>
    <n v="12.4"/>
    <n v="7"/>
    <x v="1"/>
    <s v="Normal"/>
    <n v="25.17"/>
    <n v="84"/>
    <n v="6"/>
    <x v="1"/>
  </r>
  <r>
    <x v="948"/>
    <n v="8.9"/>
    <n v="0.12"/>
    <n v="0.45"/>
    <n v="1.8"/>
    <n v="7.4999999999999997E-2"/>
    <n v="10"/>
    <n v="21"/>
    <n v="0.99551999999999996"/>
    <n v="3.41"/>
    <n v="0.76"/>
    <n v="11.9"/>
    <n v="7"/>
    <x v="1"/>
    <s v="Normal"/>
    <n v="24.700000000000003"/>
    <n v="109"/>
    <n v="11"/>
    <x v="1"/>
  </r>
  <r>
    <x v="949"/>
    <n v="8.9"/>
    <n v="0.12"/>
    <n v="0.45"/>
    <n v="1.8"/>
    <n v="7.4999999999999997E-2"/>
    <n v="10"/>
    <n v="21"/>
    <n v="0.99551999999999996"/>
    <n v="3.41"/>
    <n v="0.76"/>
    <n v="11.9"/>
    <n v="7"/>
    <x v="1"/>
    <s v="Normal"/>
    <n v="24.700000000000003"/>
    <n v="109"/>
    <n v="11"/>
    <x v="1"/>
  </r>
  <r>
    <x v="950"/>
    <n v="8.9"/>
    <n v="0.12"/>
    <n v="0.45"/>
    <n v="1.8"/>
    <n v="7.4999999999999997E-2"/>
    <n v="10"/>
    <n v="21"/>
    <n v="0.99551999999999996"/>
    <n v="3.41"/>
    <n v="0.76"/>
    <n v="11.9"/>
    <n v="7"/>
    <x v="1"/>
    <s v="Normal"/>
    <n v="24.700000000000003"/>
    <n v="109"/>
    <n v="11"/>
    <x v="1"/>
  </r>
  <r>
    <x v="951"/>
    <n v="8.3000000000000007"/>
    <n v="0.28000000000000003"/>
    <n v="0.48"/>
    <n v="2.1"/>
    <n v="9.2999999999999999E-2"/>
    <n v="6"/>
    <n v="12"/>
    <n v="0.99407999999999996"/>
    <n v="3.26"/>
    <n v="0.62"/>
    <n v="12.4"/>
    <n v="7"/>
    <x v="1"/>
    <s v="Normal"/>
    <n v="25.17"/>
    <n v="84"/>
    <n v="6"/>
    <x v="1"/>
  </r>
  <r>
    <x v="952"/>
    <n v="8.1999999999999993"/>
    <n v="0.31"/>
    <n v="0.4"/>
    <n v="2.2000000000000002"/>
    <n v="5.8000000000000003E-2"/>
    <n v="6"/>
    <n v="10"/>
    <n v="0.99536000000000002"/>
    <n v="3.31"/>
    <n v="0.68"/>
    <n v="11.2"/>
    <n v="7"/>
    <x v="1"/>
    <s v="Normal"/>
    <n v="22.799999999999997"/>
    <n v="313"/>
    <n v="4"/>
    <x v="1"/>
  </r>
  <r>
    <x v="953"/>
    <n v="10.199999999999999"/>
    <n v="0.34"/>
    <n v="0.48"/>
    <n v="2.1"/>
    <n v="5.1999999999999998E-2"/>
    <n v="5"/>
    <n v="9"/>
    <n v="0.99458000000000002"/>
    <n v="3.2"/>
    <n v="0.69"/>
    <n v="12.1"/>
    <n v="7"/>
    <x v="1"/>
    <s v="High"/>
    <n v="24.555"/>
    <n v="123"/>
    <n v="4"/>
    <x v="1"/>
  </r>
  <r>
    <x v="954"/>
    <n v="7.6"/>
    <n v="0.43"/>
    <n v="0.4"/>
    <n v="2.7"/>
    <n v="8.2000000000000003E-2"/>
    <n v="6"/>
    <n v="11"/>
    <n v="0.99538000000000004"/>
    <n v="3.44"/>
    <n v="0.54"/>
    <n v="12.2"/>
    <n v="6"/>
    <x v="0"/>
    <s v="Normal"/>
    <n v="24.349999999999998"/>
    <n v="147"/>
    <n v="5"/>
    <x v="1"/>
  </r>
  <r>
    <x v="955"/>
    <n v="8.5"/>
    <n v="0.21"/>
    <n v="0.52"/>
    <n v="1.9"/>
    <n v="0.09"/>
    <n v="9"/>
    <n v="23"/>
    <n v="0.99648000000000003"/>
    <n v="3.36"/>
    <n v="0.67"/>
    <n v="10.4"/>
    <n v="5"/>
    <x v="0"/>
    <s v="Normal"/>
    <n v="21.384999999999998"/>
    <n v="562"/>
    <n v="14"/>
    <x v="1"/>
  </r>
  <r>
    <x v="956"/>
    <n v="9"/>
    <n v="0.36"/>
    <n v="0.52"/>
    <n v="2.1"/>
    <n v="0.111"/>
    <n v="5"/>
    <n v="10"/>
    <n v="0.99568000000000001"/>
    <n v="3.31"/>
    <n v="0.62"/>
    <n v="11.3"/>
    <n v="6"/>
    <x v="0"/>
    <s v="High"/>
    <n v="22.810000000000002"/>
    <n v="311"/>
    <n v="5"/>
    <x v="1"/>
  </r>
  <r>
    <x v="957"/>
    <n v="9.5"/>
    <n v="0.37"/>
    <n v="0.52"/>
    <n v="2"/>
    <n v="8.7999999999999995E-2"/>
    <n v="12"/>
    <n v="51"/>
    <n v="0.99612999999999996"/>
    <n v="3.29"/>
    <n v="0.57999999999999996"/>
    <n v="11.1"/>
    <n v="6"/>
    <x v="0"/>
    <s v="High"/>
    <n v="22.330000000000002"/>
    <n v="403"/>
    <n v="39"/>
    <x v="1"/>
  </r>
  <r>
    <x v="958"/>
    <n v="6.4"/>
    <n v="0.56999999999999995"/>
    <n v="0.12"/>
    <n v="2.2999999999999998"/>
    <n v="0.12"/>
    <n v="25"/>
    <n v="36"/>
    <n v="0.99519000000000002"/>
    <n v="3.47"/>
    <n v="0.71"/>
    <n v="11.3"/>
    <n v="7"/>
    <x v="1"/>
    <s v="Normal"/>
    <n v="22.525000000000002"/>
    <n v="360"/>
    <n v="11"/>
    <x v="1"/>
  </r>
  <r>
    <x v="959"/>
    <n v="8"/>
    <n v="0.59"/>
    <n v="0.05"/>
    <n v="2"/>
    <n v="8.8999999999999996E-2"/>
    <n v="12"/>
    <n v="32"/>
    <n v="0.99734999999999996"/>
    <n v="3.36"/>
    <n v="0.61"/>
    <n v="10"/>
    <n v="5"/>
    <x v="0"/>
    <s v="Normal"/>
    <n v="19.734999999999999"/>
    <n v="920"/>
    <n v="20"/>
    <x v="1"/>
  </r>
  <r>
    <x v="960"/>
    <n v="8.5"/>
    <n v="0.47"/>
    <n v="0.27"/>
    <n v="1.9"/>
    <n v="5.8000000000000003E-2"/>
    <n v="18"/>
    <n v="38"/>
    <n v="0.99517999999999995"/>
    <n v="3.16"/>
    <n v="0.85"/>
    <n v="11.1"/>
    <n v="6"/>
    <x v="0"/>
    <s v="High"/>
    <n v="22.534999999999997"/>
    <n v="356"/>
    <n v="20"/>
    <x v="0"/>
  </r>
  <r>
    <x v="961"/>
    <n v="7.1"/>
    <n v="0.56000000000000005"/>
    <n v="0.14000000000000001"/>
    <n v="1.6"/>
    <n v="7.8E-2"/>
    <n v="7"/>
    <n v="18"/>
    <n v="0.99592000000000003"/>
    <n v="3.27"/>
    <n v="0.62"/>
    <n v="9.3000000000000007"/>
    <n v="5"/>
    <x v="0"/>
    <s v="Normal"/>
    <n v="18.41"/>
    <n v="1413"/>
    <n v="11"/>
    <x v="0"/>
  </r>
  <r>
    <x v="962"/>
    <n v="6.6"/>
    <n v="0.56999999999999995"/>
    <n v="0.02"/>
    <n v="2.1"/>
    <n v="0.115"/>
    <n v="6"/>
    <n v="16"/>
    <n v="0.99653999999999998"/>
    <n v="3.38"/>
    <n v="0.69"/>
    <n v="9.5"/>
    <n v="5"/>
    <x v="0"/>
    <s v="Normal"/>
    <n v="18.895"/>
    <n v="1205"/>
    <n v="10"/>
    <x v="0"/>
  </r>
  <r>
    <x v="963"/>
    <n v="8.8000000000000007"/>
    <n v="0.27"/>
    <n v="0.39"/>
    <n v="2"/>
    <n v="0.1"/>
    <n v="20"/>
    <n v="27"/>
    <n v="0.99546000000000001"/>
    <n v="3.15"/>
    <n v="0.69"/>
    <n v="11.2"/>
    <n v="6"/>
    <x v="0"/>
    <s v="High"/>
    <n v="22.895"/>
    <n v="291"/>
    <n v="7"/>
    <x v="0"/>
  </r>
  <r>
    <x v="964"/>
    <n v="8.5"/>
    <n v="0.47"/>
    <n v="0.27"/>
    <n v="1.9"/>
    <n v="5.8000000000000003E-2"/>
    <n v="18"/>
    <n v="38"/>
    <n v="0.99517999999999995"/>
    <n v="3.16"/>
    <n v="0.85"/>
    <n v="11.1"/>
    <n v="6"/>
    <x v="0"/>
    <s v="High"/>
    <n v="22.534999999999997"/>
    <n v="356"/>
    <n v="20"/>
    <x v="0"/>
  </r>
  <r>
    <x v="965"/>
    <n v="8.3000000000000007"/>
    <n v="0.34"/>
    <n v="0.4"/>
    <n v="2.4"/>
    <n v="6.5000000000000002E-2"/>
    <n v="24"/>
    <n v="48"/>
    <n v="0.99553999999999998"/>
    <n v="3.34"/>
    <n v="0.86"/>
    <n v="11"/>
    <n v="6"/>
    <x v="0"/>
    <s v="Normal"/>
    <n v="22.61"/>
    <n v="342"/>
    <n v="24"/>
    <x v="1"/>
  </r>
  <r>
    <x v="966"/>
    <n v="9"/>
    <n v="0.38"/>
    <n v="0.41"/>
    <n v="2.4"/>
    <n v="0.10299999999999999"/>
    <n v="6"/>
    <n v="10"/>
    <n v="0.99604000000000004"/>
    <n v="3.13"/>
    <n v="0.57999999999999996"/>
    <n v="11.9"/>
    <n v="7"/>
    <x v="1"/>
    <s v="High"/>
    <n v="23.91"/>
    <n v="188"/>
    <n v="4"/>
    <x v="0"/>
  </r>
  <r>
    <x v="967"/>
    <n v="8.5"/>
    <n v="0.66"/>
    <n v="0.2"/>
    <n v="2.1"/>
    <n v="9.7000000000000003E-2"/>
    <n v="23"/>
    <n v="113"/>
    <n v="0.99733000000000005"/>
    <n v="3.13"/>
    <n v="0.48"/>
    <n v="9.1999999999999993"/>
    <n v="5"/>
    <x v="0"/>
    <s v="High"/>
    <n v="17.799999999999997"/>
    <n v="1554"/>
    <n v="90"/>
    <x v="0"/>
  </r>
  <r>
    <x v="968"/>
    <n v="9"/>
    <n v="0.4"/>
    <n v="0.43"/>
    <n v="2.4"/>
    <n v="6.8000000000000005E-2"/>
    <n v="29"/>
    <n v="46"/>
    <n v="0.99429999999999996"/>
    <n v="3.2"/>
    <n v="0.6"/>
    <n v="12.2"/>
    <n v="6"/>
    <x v="0"/>
    <s v="High"/>
    <n v="24.499999999999996"/>
    <n v="128"/>
    <n v="17"/>
    <x v="1"/>
  </r>
  <r>
    <x v="969"/>
    <n v="6.7"/>
    <n v="0.56000000000000005"/>
    <n v="0.09"/>
    <n v="2.9"/>
    <n v="7.9000000000000001E-2"/>
    <n v="7"/>
    <n v="22"/>
    <n v="0.99668999999999996"/>
    <n v="3.46"/>
    <n v="0.61"/>
    <n v="10.199999999999999"/>
    <n v="5"/>
    <x v="0"/>
    <s v="Normal"/>
    <n v="20.194999999999997"/>
    <n v="815"/>
    <n v="15"/>
    <x v="1"/>
  </r>
  <r>
    <x v="970"/>
    <n v="10.4"/>
    <n v="0.26"/>
    <n v="0.48"/>
    <n v="1.9"/>
    <n v="6.6000000000000003E-2"/>
    <n v="6"/>
    <n v="10"/>
    <n v="0.99724000000000002"/>
    <n v="3.33"/>
    <n v="0.87"/>
    <n v="10.9"/>
    <n v="6"/>
    <x v="0"/>
    <s v="Normal"/>
    <n v="22.585000000000001"/>
    <n v="345"/>
    <n v="4"/>
    <x v="1"/>
  </r>
  <r>
    <x v="971"/>
    <n v="10.4"/>
    <n v="0.26"/>
    <n v="0.48"/>
    <n v="1.9"/>
    <n v="6.6000000000000003E-2"/>
    <n v="6"/>
    <n v="10"/>
    <n v="0.99724000000000002"/>
    <n v="3.33"/>
    <n v="0.87"/>
    <n v="10.9"/>
    <n v="6"/>
    <x v="0"/>
    <s v="Normal"/>
    <n v="22.585000000000001"/>
    <n v="345"/>
    <n v="4"/>
    <x v="1"/>
  </r>
  <r>
    <x v="972"/>
    <n v="10.1"/>
    <n v="0.38"/>
    <n v="0.5"/>
    <n v="2.4"/>
    <n v="0.104"/>
    <n v="6"/>
    <n v="13"/>
    <n v="0.99643000000000004"/>
    <n v="3.22"/>
    <n v="0.65"/>
    <n v="11.6"/>
    <n v="7"/>
    <x v="1"/>
    <s v="High"/>
    <n v="23.414999999999999"/>
    <n v="227"/>
    <n v="7"/>
    <x v="1"/>
  </r>
  <r>
    <x v="973"/>
    <n v="8.5"/>
    <n v="0.34"/>
    <n v="0.44"/>
    <n v="1.7"/>
    <n v="7.9000000000000001E-2"/>
    <n v="6"/>
    <n v="12"/>
    <n v="0.99604999999999999"/>
    <n v="3.52"/>
    <n v="0.63"/>
    <n v="10.7"/>
    <n v="5"/>
    <x v="0"/>
    <s v="Normal"/>
    <n v="21.664999999999999"/>
    <n v="511"/>
    <n v="6"/>
    <x v="1"/>
  </r>
  <r>
    <x v="974"/>
    <n v="8.8000000000000007"/>
    <n v="0.33"/>
    <n v="0.41"/>
    <n v="5.9"/>
    <n v="7.2999999999999995E-2"/>
    <n v="7"/>
    <n v="13"/>
    <n v="0.99658000000000002"/>
    <n v="3.3"/>
    <n v="0.62"/>
    <n v="12.1"/>
    <n v="7"/>
    <x v="1"/>
    <s v="High"/>
    <n v="24.47"/>
    <n v="130"/>
    <n v="6"/>
    <x v="1"/>
  </r>
  <r>
    <x v="975"/>
    <n v="7.2"/>
    <n v="0.41"/>
    <n v="0.3"/>
    <n v="2.1"/>
    <n v="8.3000000000000004E-2"/>
    <n v="35"/>
    <n v="72"/>
    <n v="0.997"/>
    <n v="3.44"/>
    <n v="0.52"/>
    <n v="9.4"/>
    <n v="5"/>
    <x v="0"/>
    <s v="Normal"/>
    <n v="18.760000000000002"/>
    <n v="1258"/>
    <n v="37"/>
    <x v="0"/>
  </r>
  <r>
    <x v="976"/>
    <n v="7.2"/>
    <n v="0.41"/>
    <n v="0.3"/>
    <n v="2.1"/>
    <n v="8.3000000000000004E-2"/>
    <n v="35"/>
    <n v="72"/>
    <n v="0.997"/>
    <n v="3.44"/>
    <n v="0.52"/>
    <n v="9.4"/>
    <n v="5"/>
    <x v="0"/>
    <s v="Normal"/>
    <n v="18.760000000000002"/>
    <n v="1258"/>
    <n v="37"/>
    <x v="0"/>
  </r>
  <r>
    <x v="977"/>
    <n v="8.4"/>
    <n v="0.59"/>
    <n v="0.28999999999999998"/>
    <n v="2.6"/>
    <n v="0.109"/>
    <n v="31"/>
    <n v="119"/>
    <n v="0.99800999999999995"/>
    <n v="3.15"/>
    <n v="0.5"/>
    <n v="9.1"/>
    <n v="5"/>
    <x v="0"/>
    <s v="High"/>
    <n v="17.77"/>
    <n v="1561"/>
    <n v="88"/>
    <x v="0"/>
  </r>
  <r>
    <x v="978"/>
    <n v="7"/>
    <n v="0.4"/>
    <n v="0.32"/>
    <n v="3.6"/>
    <n v="6.0999999999999999E-2"/>
    <n v="9"/>
    <n v="29"/>
    <n v="0.99416000000000004"/>
    <n v="3.28"/>
    <n v="0.49"/>
    <n v="11.3"/>
    <n v="7"/>
    <x v="1"/>
    <s v="Normal"/>
    <n v="22.535"/>
    <n v="355"/>
    <n v="20"/>
    <x v="1"/>
  </r>
  <r>
    <x v="979"/>
    <n v="12.2"/>
    <n v="0.45"/>
    <n v="0.49"/>
    <n v="1.4"/>
    <n v="7.4999999999999997E-2"/>
    <n v="3"/>
    <n v="6"/>
    <n v="0.99690000000000001"/>
    <n v="3.13"/>
    <n v="0.63"/>
    <n v="10.4"/>
    <n v="5"/>
    <x v="0"/>
    <s v="High"/>
    <n v="20.845000000000002"/>
    <n v="688"/>
    <n v="3"/>
    <x v="0"/>
  </r>
  <r>
    <x v="980"/>
    <n v="9.1"/>
    <n v="0.5"/>
    <n v="0.3"/>
    <n v="1.9"/>
    <n v="6.5000000000000002E-2"/>
    <n v="8"/>
    <n v="17"/>
    <n v="0.99773999999999996"/>
    <n v="3.32"/>
    <n v="0.71"/>
    <n v="10.5"/>
    <n v="6"/>
    <x v="0"/>
    <s v="Normal"/>
    <n v="21.065000000000001"/>
    <n v="638"/>
    <n v="9"/>
    <x v="1"/>
  </r>
  <r>
    <x v="981"/>
    <n v="9.5"/>
    <n v="0.86"/>
    <n v="0.26"/>
    <n v="1.9"/>
    <n v="7.9000000000000001E-2"/>
    <n v="13"/>
    <n v="28"/>
    <n v="0.99712000000000001"/>
    <n v="3.25"/>
    <n v="0.62"/>
    <n v="10"/>
    <n v="5"/>
    <x v="0"/>
    <s v="High"/>
    <n v="19.21"/>
    <n v="1075"/>
    <n v="15"/>
    <x v="1"/>
  </r>
  <r>
    <x v="982"/>
    <n v="7.3"/>
    <n v="0.52"/>
    <n v="0.32"/>
    <n v="2.1"/>
    <n v="7.0000000000000007E-2"/>
    <n v="51"/>
    <n v="70"/>
    <n v="0.99417999999999995"/>
    <n v="3.34"/>
    <n v="0.82"/>
    <n v="12.9"/>
    <n v="6"/>
    <x v="0"/>
    <s v="Normal"/>
    <n v="25.990000000000002"/>
    <n v="34"/>
    <n v="19"/>
    <x v="1"/>
  </r>
  <r>
    <x v="983"/>
    <n v="9.1"/>
    <n v="0.5"/>
    <n v="0.3"/>
    <n v="1.9"/>
    <n v="6.5000000000000002E-2"/>
    <n v="8"/>
    <n v="17"/>
    <n v="0.99773999999999996"/>
    <n v="3.32"/>
    <n v="0.71"/>
    <n v="10.5"/>
    <n v="6"/>
    <x v="0"/>
    <s v="Normal"/>
    <n v="21.065000000000001"/>
    <n v="638"/>
    <n v="9"/>
    <x v="1"/>
  </r>
  <r>
    <x v="984"/>
    <n v="12.2"/>
    <n v="0.45"/>
    <n v="0.49"/>
    <n v="1.4"/>
    <n v="7.4999999999999997E-2"/>
    <n v="3"/>
    <n v="6"/>
    <n v="0.99690000000000001"/>
    <n v="3.13"/>
    <n v="0.63"/>
    <n v="10.4"/>
    <n v="5"/>
    <x v="0"/>
    <s v="High"/>
    <n v="20.845000000000002"/>
    <n v="688"/>
    <n v="3"/>
    <x v="0"/>
  </r>
  <r>
    <x v="985"/>
    <n v="7.4"/>
    <n v="0.57999999999999996"/>
    <n v="0"/>
    <n v="2"/>
    <n v="6.4000000000000001E-2"/>
    <n v="7"/>
    <n v="11"/>
    <n v="0.99561999999999995"/>
    <n v="3.45"/>
    <n v="0.57999999999999996"/>
    <n v="11.3"/>
    <n v="6"/>
    <x v="0"/>
    <s v="Normal"/>
    <n v="22.310000000000002"/>
    <n v="405"/>
    <n v="4"/>
    <x v="1"/>
  </r>
  <r>
    <x v="986"/>
    <n v="9.8000000000000007"/>
    <n v="0.34"/>
    <n v="0.39"/>
    <n v="1.4"/>
    <n v="6.6000000000000003E-2"/>
    <n v="3"/>
    <n v="7"/>
    <n v="0.99470000000000003"/>
    <n v="3.19"/>
    <n v="0.55000000000000004"/>
    <n v="11.4"/>
    <n v="7"/>
    <x v="1"/>
    <s v="High"/>
    <n v="22.945"/>
    <n v="281"/>
    <n v="4"/>
    <x v="0"/>
  </r>
  <r>
    <x v="987"/>
    <n v="7.1"/>
    <n v="0.36"/>
    <n v="0.3"/>
    <n v="1.6"/>
    <n v="0.08"/>
    <n v="35"/>
    <n v="70"/>
    <n v="0.99692999999999998"/>
    <n v="3.44"/>
    <n v="0.5"/>
    <n v="9.4"/>
    <n v="5"/>
    <x v="0"/>
    <s v="Normal"/>
    <n v="18.830000000000002"/>
    <n v="1232"/>
    <n v="35"/>
    <x v="0"/>
  </r>
  <r>
    <x v="988"/>
    <n v="7.7"/>
    <n v="0.39"/>
    <n v="0.12"/>
    <n v="1.7"/>
    <n v="9.7000000000000003E-2"/>
    <n v="19"/>
    <n v="27"/>
    <n v="0.99595999999999996"/>
    <n v="3.16"/>
    <n v="0.49"/>
    <n v="9.4"/>
    <n v="5"/>
    <x v="0"/>
    <s v="Normal"/>
    <n v="18.754999999999999"/>
    <n v="1262"/>
    <n v="8"/>
    <x v="0"/>
  </r>
  <r>
    <x v="989"/>
    <n v="9.6999999999999993"/>
    <n v="0.29499999999999998"/>
    <n v="0.4"/>
    <n v="1.5"/>
    <n v="7.2999999999999995E-2"/>
    <n v="14"/>
    <n v="21"/>
    <n v="0.99556"/>
    <n v="3.14"/>
    <n v="0.51"/>
    <n v="10.9"/>
    <n v="6"/>
    <x v="0"/>
    <s v="High"/>
    <n v="21.975000000000001"/>
    <n v="460"/>
    <n v="7"/>
    <x v="0"/>
  </r>
  <r>
    <x v="990"/>
    <n v="7.7"/>
    <n v="0.39"/>
    <n v="0.12"/>
    <n v="1.7"/>
    <n v="9.7000000000000003E-2"/>
    <n v="19"/>
    <n v="27"/>
    <n v="0.99595999999999996"/>
    <n v="3.16"/>
    <n v="0.49"/>
    <n v="9.4"/>
    <n v="5"/>
    <x v="0"/>
    <s v="Normal"/>
    <n v="18.754999999999999"/>
    <n v="1262"/>
    <n v="8"/>
    <x v="0"/>
  </r>
  <r>
    <x v="991"/>
    <n v="7.1"/>
    <n v="0.34"/>
    <n v="0.28000000000000003"/>
    <n v="2"/>
    <n v="8.2000000000000003E-2"/>
    <n v="31"/>
    <n v="68"/>
    <n v="0.99694000000000005"/>
    <n v="3.45"/>
    <n v="0.48"/>
    <n v="9.4"/>
    <n v="5"/>
    <x v="0"/>
    <s v="Normal"/>
    <n v="18.84"/>
    <n v="1229"/>
    <n v="37"/>
    <x v="0"/>
  </r>
  <r>
    <x v="992"/>
    <n v="6.5"/>
    <n v="0.4"/>
    <n v="0.1"/>
    <n v="2"/>
    <n v="7.5999999999999998E-2"/>
    <n v="30"/>
    <n v="47"/>
    <n v="0.99553999999999998"/>
    <n v="3.36"/>
    <n v="0.48"/>
    <n v="9.4"/>
    <n v="6"/>
    <x v="0"/>
    <s v="Normal"/>
    <n v="18.72"/>
    <n v="1281"/>
    <n v="17"/>
    <x v="0"/>
  </r>
  <r>
    <x v="993"/>
    <n v="7.1"/>
    <n v="0.34"/>
    <n v="0.28000000000000003"/>
    <n v="2"/>
    <n v="8.2000000000000003E-2"/>
    <n v="31"/>
    <n v="68"/>
    <n v="0.99694000000000005"/>
    <n v="3.45"/>
    <n v="0.48"/>
    <n v="9.4"/>
    <n v="5"/>
    <x v="0"/>
    <s v="Normal"/>
    <n v="18.84"/>
    <n v="1229"/>
    <n v="37"/>
    <x v="0"/>
  </r>
  <r>
    <x v="994"/>
    <n v="10"/>
    <n v="0.35"/>
    <n v="0.45"/>
    <n v="2.5"/>
    <n v="9.1999999999999998E-2"/>
    <n v="20"/>
    <n v="88"/>
    <n v="0.99917999999999996"/>
    <n v="3.15"/>
    <n v="0.43"/>
    <n v="9.4"/>
    <n v="5"/>
    <x v="0"/>
    <s v="High"/>
    <n v="18.745000000000001"/>
    <n v="1265"/>
    <n v="68"/>
    <x v="0"/>
  </r>
  <r>
    <x v="995"/>
    <n v="7.7"/>
    <n v="0.6"/>
    <n v="0.06"/>
    <n v="2"/>
    <n v="7.9000000000000001E-2"/>
    <n v="19"/>
    <n v="41"/>
    <n v="0.99697000000000002"/>
    <n v="3.39"/>
    <n v="0.62"/>
    <n v="10.1"/>
    <n v="6"/>
    <x v="0"/>
    <s v="Normal"/>
    <n v="19.93"/>
    <n v="868"/>
    <n v="22"/>
    <x v="1"/>
  </r>
  <r>
    <x v="996"/>
    <n v="5.6"/>
    <n v="0.66"/>
    <n v="0"/>
    <n v="2.2000000000000002"/>
    <n v="8.6999999999999994E-2"/>
    <n v="3"/>
    <n v="11"/>
    <n v="0.99378"/>
    <n v="3.71"/>
    <n v="0.63"/>
    <n v="12.8"/>
    <n v="7"/>
    <x v="1"/>
    <s v="Normal"/>
    <n v="25.225000000000001"/>
    <n v="78"/>
    <n v="8"/>
    <x v="1"/>
  </r>
  <r>
    <x v="997"/>
    <n v="5.6"/>
    <n v="0.66"/>
    <n v="0"/>
    <n v="2.2000000000000002"/>
    <n v="8.6999999999999994E-2"/>
    <n v="3"/>
    <n v="11"/>
    <n v="0.99378"/>
    <n v="3.71"/>
    <n v="0.63"/>
    <n v="12.8"/>
    <n v="7"/>
    <x v="1"/>
    <s v="Normal"/>
    <n v="25.225000000000001"/>
    <n v="78"/>
    <n v="8"/>
    <x v="1"/>
  </r>
  <r>
    <x v="998"/>
    <n v="8.9"/>
    <n v="0.84"/>
    <n v="0.34"/>
    <n v="1.4"/>
    <n v="0.05"/>
    <n v="4"/>
    <n v="10"/>
    <n v="0.99553999999999998"/>
    <n v="3.12"/>
    <n v="0.48"/>
    <n v="9.1"/>
    <n v="6"/>
    <x v="0"/>
    <s v="High"/>
    <n v="17.239999999999998"/>
    <n v="1593"/>
    <n v="6"/>
    <x v="0"/>
  </r>
  <r>
    <x v="999"/>
    <n v="6.4"/>
    <n v="0.69"/>
    <n v="0"/>
    <n v="1.65"/>
    <n v="5.5E-2"/>
    <n v="7"/>
    <n v="12"/>
    <n v="0.99161999999999995"/>
    <n v="3.47"/>
    <n v="0.53"/>
    <n v="12.9"/>
    <n v="6"/>
    <x v="0"/>
    <s v="Normal"/>
    <n v="25.215000000000003"/>
    <n v="80"/>
    <n v="5"/>
    <x v="1"/>
  </r>
  <r>
    <x v="1000"/>
    <n v="7.5"/>
    <n v="0.43"/>
    <n v="0.3"/>
    <n v="2.2000000000000002"/>
    <n v="6.2E-2"/>
    <n v="6"/>
    <n v="12"/>
    <n v="0.99495"/>
    <n v="3.44"/>
    <n v="0.72"/>
    <n v="11.5"/>
    <n v="7"/>
    <x v="1"/>
    <s v="Normal"/>
    <n v="23.22"/>
    <n v="243"/>
    <n v="6"/>
    <x v="1"/>
  </r>
  <r>
    <x v="1001"/>
    <n v="9.9"/>
    <n v="0.35"/>
    <n v="0.38"/>
    <n v="1.5"/>
    <n v="5.8000000000000003E-2"/>
    <n v="31"/>
    <n v="47"/>
    <n v="0.99675999999999998"/>
    <n v="3.26"/>
    <n v="0.82"/>
    <n v="10.6"/>
    <n v="7"/>
    <x v="1"/>
    <s v="High"/>
    <n v="21.73"/>
    <n v="500"/>
    <n v="16"/>
    <x v="1"/>
  </r>
  <r>
    <x v="1002"/>
    <n v="9.1"/>
    <n v="0.28999999999999998"/>
    <n v="0.33"/>
    <n v="2.0499999999999998"/>
    <n v="6.3E-2"/>
    <n v="13"/>
    <n v="27"/>
    <n v="0.99516000000000004"/>
    <n v="3.26"/>
    <n v="0.84"/>
    <n v="11.7"/>
    <n v="7"/>
    <x v="1"/>
    <s v="High"/>
    <n v="24.080000000000002"/>
    <n v="167"/>
    <n v="14"/>
    <x v="1"/>
  </r>
  <r>
    <x v="1003"/>
    <n v="6.8"/>
    <n v="0.36"/>
    <n v="0.32"/>
    <n v="1.8"/>
    <n v="6.7000000000000004E-2"/>
    <n v="4"/>
    <n v="8"/>
    <n v="0.99280000000000002"/>
    <n v="3.36"/>
    <n v="0.55000000000000004"/>
    <n v="12.8"/>
    <n v="7"/>
    <x v="1"/>
    <s v="Normal"/>
    <n v="25.705000000000002"/>
    <n v="41"/>
    <n v="4"/>
    <x v="1"/>
  </r>
  <r>
    <x v="1004"/>
    <n v="8.1999999999999993"/>
    <n v="0.43"/>
    <n v="0.28999999999999998"/>
    <n v="1.6"/>
    <n v="8.1000000000000003E-2"/>
    <n v="27"/>
    <n v="45"/>
    <n v="0.99602999999999997"/>
    <n v="3.25"/>
    <n v="0.54"/>
    <n v="10.3"/>
    <n v="5"/>
    <x v="0"/>
    <s v="Normal"/>
    <n v="20.55"/>
    <n v="745"/>
    <n v="18"/>
    <x v="1"/>
  </r>
  <r>
    <x v="1005"/>
    <n v="6.8"/>
    <n v="0.36"/>
    <n v="0.32"/>
    <n v="1.8"/>
    <n v="6.7000000000000004E-2"/>
    <n v="4"/>
    <n v="8"/>
    <n v="0.99280000000000002"/>
    <n v="3.36"/>
    <n v="0.55000000000000004"/>
    <n v="12.8"/>
    <n v="7"/>
    <x v="1"/>
    <s v="Normal"/>
    <n v="25.705000000000002"/>
    <n v="41"/>
    <n v="4"/>
    <x v="1"/>
  </r>
  <r>
    <x v="1006"/>
    <n v="9.1"/>
    <n v="0.28999999999999998"/>
    <n v="0.33"/>
    <n v="2.0499999999999998"/>
    <n v="6.3E-2"/>
    <n v="13"/>
    <n v="27"/>
    <n v="0.99516000000000004"/>
    <n v="3.26"/>
    <n v="0.84"/>
    <n v="11.7"/>
    <n v="7"/>
    <x v="1"/>
    <s v="High"/>
    <n v="24.080000000000002"/>
    <n v="167"/>
    <n v="14"/>
    <x v="1"/>
  </r>
  <r>
    <x v="1007"/>
    <n v="9.1"/>
    <n v="0.3"/>
    <n v="0.34"/>
    <n v="2"/>
    <n v="6.4000000000000001E-2"/>
    <n v="12"/>
    <n v="25"/>
    <n v="0.99516000000000004"/>
    <n v="3.26"/>
    <n v="0.84"/>
    <n v="11.7"/>
    <n v="7"/>
    <x v="1"/>
    <s v="High"/>
    <n v="24.06"/>
    <n v="173"/>
    <n v="13"/>
    <x v="1"/>
  </r>
  <r>
    <x v="1008"/>
    <n v="8.9"/>
    <n v="0.35"/>
    <n v="0.4"/>
    <n v="3.6"/>
    <n v="0.11"/>
    <n v="12"/>
    <n v="24"/>
    <n v="0.99548999999999999"/>
    <n v="3.23"/>
    <n v="0.7"/>
    <n v="12"/>
    <n v="7"/>
    <x v="1"/>
    <s v="High"/>
    <n v="24.35"/>
    <n v="146"/>
    <n v="12"/>
    <x v="1"/>
  </r>
  <r>
    <x v="1009"/>
    <n v="9.6"/>
    <n v="0.5"/>
    <n v="0.36"/>
    <n v="2.8"/>
    <n v="0.11600000000000001"/>
    <n v="26"/>
    <n v="55"/>
    <n v="0.99722"/>
    <n v="3.18"/>
    <n v="0.68"/>
    <n v="10.9"/>
    <n v="5"/>
    <x v="0"/>
    <s v="High"/>
    <n v="21.82"/>
    <n v="476"/>
    <n v="29"/>
    <x v="0"/>
  </r>
  <r>
    <x v="1010"/>
    <n v="8.9"/>
    <n v="0.28000000000000003"/>
    <n v="0.45"/>
    <n v="1.7"/>
    <n v="6.7000000000000004E-2"/>
    <n v="7"/>
    <n v="12"/>
    <n v="0.99353999999999998"/>
    <n v="3.25"/>
    <n v="0.55000000000000004"/>
    <n v="12.3"/>
    <n v="7"/>
    <x v="1"/>
    <s v="High"/>
    <n v="24.865000000000002"/>
    <n v="99"/>
    <n v="5"/>
    <x v="1"/>
  </r>
  <r>
    <x v="1011"/>
    <n v="8.9"/>
    <n v="0.32"/>
    <n v="0.31"/>
    <n v="2"/>
    <n v="8.7999999999999995E-2"/>
    <n v="12"/>
    <n v="19"/>
    <n v="0.99570000000000003"/>
    <n v="3.17"/>
    <n v="0.55000000000000004"/>
    <n v="10.4"/>
    <n v="6"/>
    <x v="0"/>
    <s v="High"/>
    <n v="20.984999999999999"/>
    <n v="655"/>
    <n v="7"/>
    <x v="0"/>
  </r>
  <r>
    <x v="1012"/>
    <n v="7.7"/>
    <n v="1.0049999999999999"/>
    <n v="0.15"/>
    <n v="2.1"/>
    <n v="0.10199999999999999"/>
    <n v="11"/>
    <n v="32"/>
    <n v="0.99604000000000004"/>
    <n v="3.23"/>
    <n v="0.48"/>
    <n v="10"/>
    <n v="5"/>
    <x v="0"/>
    <s v="Normal"/>
    <n v="18.71"/>
    <n v="1283"/>
    <n v="21"/>
    <x v="1"/>
  </r>
  <r>
    <x v="1013"/>
    <n v="7.5"/>
    <n v="0.71"/>
    <n v="0"/>
    <n v="1.6"/>
    <n v="9.1999999999999998E-2"/>
    <n v="22"/>
    <n v="31"/>
    <n v="0.99634999999999996"/>
    <n v="3.38"/>
    <n v="0.57999999999999996"/>
    <n v="10"/>
    <n v="6"/>
    <x v="0"/>
    <s v="Normal"/>
    <n v="19.450000000000003"/>
    <n v="994"/>
    <n v="9"/>
    <x v="1"/>
  </r>
  <r>
    <x v="1014"/>
    <n v="8"/>
    <n v="0.57999999999999996"/>
    <n v="0.16"/>
    <n v="2"/>
    <n v="0.12"/>
    <n v="3"/>
    <n v="7"/>
    <n v="0.99453999999999998"/>
    <n v="3.22"/>
    <n v="0.57999999999999996"/>
    <n v="11.2"/>
    <n v="6"/>
    <x v="0"/>
    <s v="Normal"/>
    <n v="22.11"/>
    <n v="438"/>
    <n v="4"/>
    <x v="1"/>
  </r>
  <r>
    <x v="1015"/>
    <n v="10.5"/>
    <n v="0.39"/>
    <n v="0.46"/>
    <n v="2.2000000000000002"/>
    <n v="7.4999999999999997E-2"/>
    <n v="14"/>
    <n v="27"/>
    <n v="0.99597999999999998"/>
    <n v="3.06"/>
    <n v="0.84"/>
    <n v="11.4"/>
    <n v="6"/>
    <x v="0"/>
    <s v="High"/>
    <n v="23.28"/>
    <n v="235"/>
    <n v="13"/>
    <x v="0"/>
  </r>
  <r>
    <x v="1016"/>
    <n v="8.9"/>
    <n v="0.38"/>
    <n v="0.4"/>
    <n v="2.2000000000000002"/>
    <n v="6.8000000000000005E-2"/>
    <n v="12"/>
    <n v="28"/>
    <n v="0.99485999999999997"/>
    <n v="3.27"/>
    <n v="0.75"/>
    <n v="12.6"/>
    <n v="7"/>
    <x v="1"/>
    <s v="High"/>
    <n v="25.564999999999998"/>
    <n v="49"/>
    <n v="16"/>
    <x v="1"/>
  </r>
  <r>
    <x v="1017"/>
    <n v="8"/>
    <n v="0.18"/>
    <n v="0.37"/>
    <n v="0.9"/>
    <n v="4.9000000000000002E-2"/>
    <n v="36"/>
    <n v="109"/>
    <n v="0.99007000000000001"/>
    <n v="2.89"/>
    <n v="0.44"/>
    <n v="12.7"/>
    <n v="6"/>
    <x v="0"/>
    <s v="Normal"/>
    <n v="25.7"/>
    <n v="43"/>
    <n v="73"/>
    <x v="0"/>
  </r>
  <r>
    <x v="1018"/>
    <n v="8"/>
    <n v="0.18"/>
    <n v="0.37"/>
    <n v="0.9"/>
    <n v="4.9000000000000002E-2"/>
    <n v="36"/>
    <n v="109"/>
    <n v="0.99007000000000001"/>
    <n v="2.89"/>
    <n v="0.44"/>
    <n v="12.7"/>
    <n v="6"/>
    <x v="0"/>
    <s v="Normal"/>
    <n v="25.7"/>
    <n v="43"/>
    <n v="73"/>
    <x v="0"/>
  </r>
  <r>
    <x v="1019"/>
    <n v="7"/>
    <n v="0.5"/>
    <n v="0.14000000000000001"/>
    <n v="1.8"/>
    <n v="7.8E-2"/>
    <n v="10"/>
    <n v="23"/>
    <n v="0.99636000000000002"/>
    <n v="3.53"/>
    <n v="0.61"/>
    <n v="10.4"/>
    <n v="5"/>
    <x v="0"/>
    <s v="Normal"/>
    <n v="20.715"/>
    <n v="722"/>
    <n v="13"/>
    <x v="1"/>
  </r>
  <r>
    <x v="1020"/>
    <n v="11.3"/>
    <n v="0.36"/>
    <n v="0.66"/>
    <n v="2.4"/>
    <n v="0.123"/>
    <n v="3"/>
    <n v="8"/>
    <n v="0.99641999999999997"/>
    <n v="3.2"/>
    <n v="0.53"/>
    <n v="11.9"/>
    <n v="6"/>
    <x v="0"/>
    <s v="High"/>
    <n v="23.875000000000004"/>
    <n v="189"/>
    <n v="5"/>
    <x v="1"/>
  </r>
  <r>
    <x v="1021"/>
    <n v="11.3"/>
    <n v="0.36"/>
    <n v="0.66"/>
    <n v="2.4"/>
    <n v="0.123"/>
    <n v="3"/>
    <n v="8"/>
    <n v="0.99641999999999997"/>
    <n v="3.2"/>
    <n v="0.53"/>
    <n v="11.9"/>
    <n v="6"/>
    <x v="0"/>
    <s v="High"/>
    <n v="23.875000000000004"/>
    <n v="189"/>
    <n v="5"/>
    <x v="1"/>
  </r>
  <r>
    <x v="1022"/>
    <n v="7"/>
    <n v="0.51"/>
    <n v="0.09"/>
    <n v="2.1"/>
    <n v="6.2E-2"/>
    <n v="4"/>
    <n v="9"/>
    <n v="0.99583999999999995"/>
    <n v="3.35"/>
    <n v="0.54"/>
    <n v="10.5"/>
    <n v="5"/>
    <x v="0"/>
    <s v="Normal"/>
    <n v="20.79"/>
    <n v="697"/>
    <n v="5"/>
    <x v="1"/>
  </r>
  <r>
    <x v="1023"/>
    <n v="8.1999999999999993"/>
    <n v="0.32"/>
    <n v="0.42"/>
    <n v="2.2999999999999998"/>
    <n v="9.8000000000000004E-2"/>
    <n v="3"/>
    <n v="9"/>
    <n v="0.99505999999999994"/>
    <n v="3.27"/>
    <n v="0.55000000000000004"/>
    <n v="12.3"/>
    <n v="6"/>
    <x v="0"/>
    <s v="Normal"/>
    <n v="24.785"/>
    <n v="104"/>
    <n v="6"/>
    <x v="1"/>
  </r>
  <r>
    <x v="1024"/>
    <n v="7.7"/>
    <n v="0.57999999999999996"/>
    <n v="0.01"/>
    <n v="1.8"/>
    <n v="8.7999999999999995E-2"/>
    <n v="12"/>
    <n v="18"/>
    <n v="0.99568000000000001"/>
    <n v="3.32"/>
    <n v="0.56000000000000005"/>
    <n v="10.5"/>
    <n v="7"/>
    <x v="1"/>
    <s v="Normal"/>
    <n v="20.68"/>
    <n v="728"/>
    <n v="6"/>
    <x v="1"/>
  </r>
  <r>
    <x v="1025"/>
    <n v="8.6"/>
    <n v="0.83"/>
    <n v="0"/>
    <n v="2.8"/>
    <n v="9.5000000000000001E-2"/>
    <n v="17"/>
    <n v="43"/>
    <n v="0.99822"/>
    <n v="3.33"/>
    <n v="0.6"/>
    <n v="10.4"/>
    <n v="6"/>
    <x v="0"/>
    <s v="Normal"/>
    <n v="20.04"/>
    <n v="850"/>
    <n v="26"/>
    <x v="1"/>
  </r>
  <r>
    <x v="1026"/>
    <n v="7.9"/>
    <n v="0.31"/>
    <n v="0.32"/>
    <n v="1.9"/>
    <n v="6.6000000000000003E-2"/>
    <n v="14"/>
    <n v="36"/>
    <n v="0.99363999999999997"/>
    <n v="3.41"/>
    <n v="0.56000000000000005"/>
    <n v="12.6"/>
    <n v="6"/>
    <x v="0"/>
    <s v="Normal"/>
    <n v="25.419999999999998"/>
    <n v="62"/>
    <n v="22"/>
    <x v="1"/>
  </r>
  <r>
    <x v="1027"/>
    <n v="6.4"/>
    <n v="0.79500000000000004"/>
    <n v="0"/>
    <n v="2.2000000000000002"/>
    <n v="6.5000000000000002E-2"/>
    <n v="28"/>
    <n v="52"/>
    <n v="0.99378"/>
    <n v="3.49"/>
    <n v="0.52"/>
    <n v="11.6"/>
    <n v="5"/>
    <x v="0"/>
    <s v="Normal"/>
    <n v="22.39"/>
    <n v="393"/>
    <n v="24"/>
    <x v="1"/>
  </r>
  <r>
    <x v="1028"/>
    <n v="7.2"/>
    <n v="0.34"/>
    <n v="0.21"/>
    <n v="2.5"/>
    <n v="7.4999999999999997E-2"/>
    <n v="41"/>
    <n v="68"/>
    <n v="0.99585999999999997"/>
    <n v="3.37"/>
    <n v="0.54"/>
    <n v="10.1"/>
    <n v="6"/>
    <x v="0"/>
    <s v="Normal"/>
    <n v="20.329999999999998"/>
    <n v="786"/>
    <n v="27"/>
    <x v="1"/>
  </r>
  <r>
    <x v="1029"/>
    <n v="7.7"/>
    <n v="0.57999999999999996"/>
    <n v="0.01"/>
    <n v="1.8"/>
    <n v="8.7999999999999995E-2"/>
    <n v="12"/>
    <n v="18"/>
    <n v="0.99568000000000001"/>
    <n v="3.32"/>
    <n v="0.56000000000000005"/>
    <n v="10.5"/>
    <n v="7"/>
    <x v="1"/>
    <s v="Normal"/>
    <n v="20.68"/>
    <n v="728"/>
    <n v="6"/>
    <x v="1"/>
  </r>
  <r>
    <x v="1030"/>
    <n v="7.1"/>
    <n v="0.59"/>
    <n v="0"/>
    <n v="2.1"/>
    <n v="9.0999999999999998E-2"/>
    <n v="9"/>
    <n v="14"/>
    <n v="0.99487999999999999"/>
    <n v="3.42"/>
    <n v="0.55000000000000004"/>
    <n v="11.5"/>
    <n v="7"/>
    <x v="1"/>
    <s v="Normal"/>
    <n v="22.645"/>
    <n v="338"/>
    <n v="5"/>
    <x v="1"/>
  </r>
  <r>
    <x v="1031"/>
    <n v="7.3"/>
    <n v="0.55000000000000004"/>
    <n v="0.01"/>
    <n v="1.8"/>
    <n v="9.2999999999999999E-2"/>
    <n v="9"/>
    <n v="15"/>
    <n v="0.99514000000000002"/>
    <n v="3.35"/>
    <n v="0.57999999999999996"/>
    <n v="11"/>
    <n v="7"/>
    <x v="1"/>
    <s v="Normal"/>
    <n v="21.77"/>
    <n v="488"/>
    <n v="6"/>
    <x v="1"/>
  </r>
  <r>
    <x v="1032"/>
    <n v="8.1"/>
    <n v="0.82"/>
    <n v="0"/>
    <n v="4.0999999999999996"/>
    <n v="9.5000000000000001E-2"/>
    <n v="5"/>
    <n v="14"/>
    <n v="0.99853999999999998"/>
    <n v="3.36"/>
    <n v="0.53"/>
    <n v="9.6"/>
    <n v="5"/>
    <x v="0"/>
    <s v="Normal"/>
    <n v="18.355"/>
    <n v="1432"/>
    <n v="9"/>
    <x v="0"/>
  </r>
  <r>
    <x v="1033"/>
    <n v="7.5"/>
    <n v="0.56999999999999995"/>
    <n v="0.08"/>
    <n v="2.6"/>
    <n v="8.8999999999999996E-2"/>
    <n v="14"/>
    <n v="27"/>
    <n v="0.99592000000000003"/>
    <n v="3.3"/>
    <n v="0.59"/>
    <n v="10.4"/>
    <n v="6"/>
    <x v="0"/>
    <s v="Normal"/>
    <n v="20.545000000000002"/>
    <n v="746"/>
    <n v="13"/>
    <x v="1"/>
  </r>
  <r>
    <x v="1034"/>
    <n v="8.9"/>
    <n v="0.745"/>
    <n v="0.18"/>
    <n v="2.5"/>
    <n v="7.6999999999999999E-2"/>
    <n v="15"/>
    <n v="48"/>
    <n v="0.99739"/>
    <n v="3.2"/>
    <n v="0.47"/>
    <n v="9.6999999999999993"/>
    <n v="6"/>
    <x v="0"/>
    <s v="High"/>
    <n v="18.614999999999998"/>
    <n v="1338"/>
    <n v="33"/>
    <x v="0"/>
  </r>
  <r>
    <x v="1035"/>
    <n v="10.1"/>
    <n v="0.37"/>
    <n v="0.34"/>
    <n v="2.4"/>
    <n v="8.5000000000000006E-2"/>
    <n v="5"/>
    <n v="17"/>
    <n v="0.99682999999999999"/>
    <n v="3.17"/>
    <n v="0.65"/>
    <n v="10.6"/>
    <n v="7"/>
    <x v="1"/>
    <s v="High"/>
    <n v="21.435000000000002"/>
    <n v="552"/>
    <n v="12"/>
    <x v="0"/>
  </r>
  <r>
    <x v="1036"/>
    <n v="7.6"/>
    <n v="0.31"/>
    <n v="0.34"/>
    <n v="2.5"/>
    <n v="8.2000000000000003E-2"/>
    <n v="26"/>
    <n v="35"/>
    <n v="0.99356"/>
    <n v="3.22"/>
    <n v="0.59"/>
    <n v="12.5"/>
    <n v="7"/>
    <x v="1"/>
    <s v="Normal"/>
    <n v="25.265000000000001"/>
    <n v="74"/>
    <n v="9"/>
    <x v="1"/>
  </r>
  <r>
    <x v="1037"/>
    <n v="7.3"/>
    <n v="0.91"/>
    <n v="0.1"/>
    <n v="1.8"/>
    <n v="7.3999999999999996E-2"/>
    <n v="20"/>
    <n v="56"/>
    <n v="0.99672000000000005"/>
    <n v="3.35"/>
    <n v="0.56000000000000005"/>
    <n v="9.1999999999999993"/>
    <n v="5"/>
    <x v="0"/>
    <s v="Normal"/>
    <n v="17.419999999999998"/>
    <n v="1588"/>
    <n v="36"/>
    <x v="0"/>
  </r>
  <r>
    <x v="1038"/>
    <n v="8.6999999999999993"/>
    <n v="0.41"/>
    <n v="0.41"/>
    <n v="6.2"/>
    <n v="7.8E-2"/>
    <n v="25"/>
    <n v="42"/>
    <n v="0.99529999999999996"/>
    <n v="3.24"/>
    <n v="0.77"/>
    <n v="12.6"/>
    <n v="7"/>
    <x v="1"/>
    <s v="High"/>
    <n v="25.535"/>
    <n v="50"/>
    <n v="17"/>
    <x v="1"/>
  </r>
  <r>
    <x v="1039"/>
    <n v="8.9"/>
    <n v="0.5"/>
    <n v="0.21"/>
    <n v="2.2000000000000002"/>
    <n v="8.7999999999999995E-2"/>
    <n v="21"/>
    <n v="39"/>
    <n v="0.99692000000000003"/>
    <n v="3.33"/>
    <n v="0.83"/>
    <n v="11.1"/>
    <n v="6"/>
    <x v="0"/>
    <s v="Normal"/>
    <n v="22.445"/>
    <n v="381"/>
    <n v="18"/>
    <x v="1"/>
  </r>
  <r>
    <x v="1040"/>
    <n v="7.4"/>
    <n v="0.96499999999999997"/>
    <n v="0"/>
    <n v="2.2000000000000002"/>
    <n v="8.7999999999999995E-2"/>
    <n v="16"/>
    <n v="32"/>
    <n v="0.99756"/>
    <n v="3.58"/>
    <n v="0.67"/>
    <n v="10.199999999999999"/>
    <n v="5"/>
    <x v="0"/>
    <s v="Normal"/>
    <n v="19.474999999999998"/>
    <n v="987"/>
    <n v="16"/>
    <x v="1"/>
  </r>
  <r>
    <x v="1041"/>
    <n v="6.9"/>
    <n v="0.49"/>
    <n v="0.19"/>
    <n v="1.7"/>
    <n v="7.9000000000000001E-2"/>
    <n v="13"/>
    <n v="26"/>
    <n v="0.99546999999999997"/>
    <n v="3.38"/>
    <n v="0.64"/>
    <n v="9.8000000000000007"/>
    <n v="6"/>
    <x v="0"/>
    <s v="Normal"/>
    <n v="19.580000000000002"/>
    <n v="954"/>
    <n v="13"/>
    <x v="0"/>
  </r>
  <r>
    <x v="1042"/>
    <n v="8.9"/>
    <n v="0.5"/>
    <n v="0.21"/>
    <n v="2.2000000000000002"/>
    <n v="8.7999999999999995E-2"/>
    <n v="21"/>
    <n v="39"/>
    <n v="0.99692000000000003"/>
    <n v="3.33"/>
    <n v="0.83"/>
    <n v="11.1"/>
    <n v="6"/>
    <x v="0"/>
    <s v="Normal"/>
    <n v="22.445"/>
    <n v="381"/>
    <n v="18"/>
    <x v="1"/>
  </r>
  <r>
    <x v="1043"/>
    <n v="9.5"/>
    <n v="0.39"/>
    <n v="0.41"/>
    <n v="8.9"/>
    <n v="6.9000000000000006E-2"/>
    <n v="18"/>
    <n v="39"/>
    <n v="0.99858999999999998"/>
    <n v="3.29"/>
    <n v="0.81"/>
    <n v="10.9"/>
    <n v="7"/>
    <x v="1"/>
    <s v="High"/>
    <n v="22.234999999999999"/>
    <n v="416"/>
    <n v="21"/>
    <x v="1"/>
  </r>
  <r>
    <x v="1044"/>
    <n v="6.4"/>
    <n v="0.39"/>
    <n v="0.33"/>
    <n v="3.3"/>
    <n v="4.5999999999999999E-2"/>
    <n v="12"/>
    <n v="53"/>
    <n v="0.99294000000000004"/>
    <n v="3.36"/>
    <n v="0.62"/>
    <n v="12.2"/>
    <n v="6"/>
    <x v="0"/>
    <s v="Normal"/>
    <n v="24.549999999999997"/>
    <n v="125"/>
    <n v="41"/>
    <x v="1"/>
  </r>
  <r>
    <x v="1045"/>
    <n v="6.9"/>
    <n v="0.44"/>
    <n v="0"/>
    <n v="1.4"/>
    <n v="7.0000000000000007E-2"/>
    <n v="32"/>
    <n v="38"/>
    <n v="0.99438000000000004"/>
    <n v="3.32"/>
    <n v="0.57999999999999996"/>
    <n v="11.4"/>
    <n v="6"/>
    <x v="0"/>
    <s v="Normal"/>
    <n v="22.790000000000003"/>
    <n v="314"/>
    <n v="6"/>
    <x v="1"/>
  </r>
  <r>
    <x v="1046"/>
    <n v="7.6"/>
    <n v="0.78"/>
    <n v="0"/>
    <n v="1.7"/>
    <n v="7.5999999999999998E-2"/>
    <n v="33"/>
    <n v="45"/>
    <n v="0.99612000000000001"/>
    <n v="3.31"/>
    <n v="0.62"/>
    <n v="10.7"/>
    <n v="6"/>
    <x v="0"/>
    <s v="Normal"/>
    <n v="20.77"/>
    <n v="712"/>
    <n v="12"/>
    <x v="1"/>
  </r>
  <r>
    <x v="1047"/>
    <n v="7.1"/>
    <n v="0.43"/>
    <n v="0.17"/>
    <n v="1.8"/>
    <n v="8.2000000000000003E-2"/>
    <n v="27"/>
    <n v="51"/>
    <n v="0.99634"/>
    <n v="3.49"/>
    <n v="0.64"/>
    <n v="10.4"/>
    <n v="5"/>
    <x v="0"/>
    <s v="Normal"/>
    <n v="20.900000000000002"/>
    <n v="673"/>
    <n v="24"/>
    <x v="1"/>
  </r>
  <r>
    <x v="1048"/>
    <n v="9.3000000000000007"/>
    <n v="0.49"/>
    <n v="0.36"/>
    <n v="1.7"/>
    <n v="8.1000000000000003E-2"/>
    <n v="3"/>
    <n v="14"/>
    <n v="0.99702000000000002"/>
    <n v="3.27"/>
    <n v="0.78"/>
    <n v="10.9"/>
    <n v="6"/>
    <x v="0"/>
    <s v="High"/>
    <n v="21.99"/>
    <n v="457"/>
    <n v="11"/>
    <x v="1"/>
  </r>
  <r>
    <x v="1049"/>
    <n v="9.3000000000000007"/>
    <n v="0.5"/>
    <n v="0.36"/>
    <n v="1.8"/>
    <n v="8.4000000000000005E-2"/>
    <n v="6"/>
    <n v="17"/>
    <n v="0.99704000000000004"/>
    <n v="3.27"/>
    <n v="0.77"/>
    <n v="10.8"/>
    <n v="6"/>
    <x v="0"/>
    <s v="High"/>
    <n v="21.755000000000003"/>
    <n v="494"/>
    <n v="11"/>
    <x v="1"/>
  </r>
  <r>
    <x v="1050"/>
    <n v="7.1"/>
    <n v="0.43"/>
    <n v="0.17"/>
    <n v="1.8"/>
    <n v="8.2000000000000003E-2"/>
    <n v="27"/>
    <n v="51"/>
    <n v="0.99634"/>
    <n v="3.49"/>
    <n v="0.64"/>
    <n v="10.4"/>
    <n v="5"/>
    <x v="0"/>
    <s v="Normal"/>
    <n v="20.900000000000002"/>
    <n v="673"/>
    <n v="24"/>
    <x v="1"/>
  </r>
  <r>
    <x v="1051"/>
    <n v="8.5"/>
    <n v="0.46"/>
    <n v="0.59"/>
    <n v="1.4"/>
    <n v="0.41399999999999998"/>
    <n v="16"/>
    <n v="45"/>
    <n v="0.99702000000000002"/>
    <n v="3.03"/>
    <n v="1.34"/>
    <n v="9.1999999999999993"/>
    <n v="5"/>
    <x v="0"/>
    <s v="High"/>
    <n v="19.489999999999998"/>
    <n v="974"/>
    <n v="29"/>
    <x v="0"/>
  </r>
  <r>
    <x v="1052"/>
    <n v="5.6"/>
    <n v="0.60499999999999998"/>
    <n v="0.05"/>
    <n v="2.4"/>
    <n v="7.2999999999999995E-2"/>
    <n v="19"/>
    <n v="25"/>
    <n v="0.99258000000000002"/>
    <n v="3.56"/>
    <n v="0.55000000000000004"/>
    <n v="12.9"/>
    <n v="5"/>
    <x v="0"/>
    <s v="Normal"/>
    <n v="25.414999999999999"/>
    <n v="63"/>
    <n v="6"/>
    <x v="1"/>
  </r>
  <r>
    <x v="1053"/>
    <n v="8.3000000000000007"/>
    <n v="0.33"/>
    <n v="0.42"/>
    <n v="2.2999999999999998"/>
    <n v="7.0000000000000007E-2"/>
    <n v="9"/>
    <n v="20"/>
    <n v="0.99426000000000003"/>
    <n v="3.38"/>
    <n v="0.77"/>
    <n v="12.7"/>
    <n v="7"/>
    <x v="1"/>
    <s v="Normal"/>
    <n v="25.895"/>
    <n v="37"/>
    <n v="11"/>
    <x v="1"/>
  </r>
  <r>
    <x v="1054"/>
    <n v="8.1999999999999993"/>
    <n v="0.64"/>
    <n v="0.27"/>
    <n v="2"/>
    <n v="9.5000000000000001E-2"/>
    <n v="5"/>
    <n v="77"/>
    <n v="0.99746999999999997"/>
    <n v="3.13"/>
    <n v="0.62"/>
    <n v="9.1"/>
    <n v="6"/>
    <x v="0"/>
    <s v="Normal"/>
    <n v="17.849999999999998"/>
    <n v="1544"/>
    <n v="72"/>
    <x v="0"/>
  </r>
  <r>
    <x v="1055"/>
    <n v="8.1999999999999993"/>
    <n v="0.64"/>
    <n v="0.27"/>
    <n v="2"/>
    <n v="9.5000000000000001E-2"/>
    <n v="5"/>
    <n v="77"/>
    <n v="0.99746999999999997"/>
    <n v="3.13"/>
    <n v="0.62"/>
    <n v="9.1"/>
    <n v="6"/>
    <x v="0"/>
    <s v="Normal"/>
    <n v="17.849999999999998"/>
    <n v="1544"/>
    <n v="72"/>
    <x v="0"/>
  </r>
  <r>
    <x v="1056"/>
    <n v="8.9"/>
    <n v="0.48"/>
    <n v="0.53"/>
    <n v="4"/>
    <n v="0.10100000000000001"/>
    <n v="3"/>
    <n v="10"/>
    <n v="0.99585999999999997"/>
    <n v="3.21"/>
    <n v="0.59"/>
    <n v="12.1"/>
    <n v="7"/>
    <x v="1"/>
    <s v="High"/>
    <n v="24.125"/>
    <n v="165"/>
    <n v="7"/>
    <x v="1"/>
  </r>
  <r>
    <x v="1057"/>
    <n v="7.6"/>
    <n v="0.42"/>
    <n v="0.25"/>
    <n v="3.9"/>
    <n v="0.104"/>
    <n v="28"/>
    <n v="90"/>
    <n v="0.99783999999999995"/>
    <n v="3.15"/>
    <n v="0.56999999999999995"/>
    <n v="9.1"/>
    <n v="5"/>
    <x v="0"/>
    <s v="Normal"/>
    <n v="18.215"/>
    <n v="1479"/>
    <n v="62"/>
    <x v="0"/>
  </r>
  <r>
    <x v="1058"/>
    <n v="9.9"/>
    <n v="0.53"/>
    <n v="0.56999999999999995"/>
    <n v="2.4"/>
    <n v="9.2999999999999999E-2"/>
    <n v="30"/>
    <n v="52"/>
    <n v="0.99709999999999999"/>
    <n v="3.19"/>
    <n v="0.76"/>
    <n v="11.6"/>
    <n v="7"/>
    <x v="1"/>
    <s v="High"/>
    <n v="23.28"/>
    <n v="235"/>
    <n v="22"/>
    <x v="0"/>
  </r>
  <r>
    <x v="1059"/>
    <n v="8.9"/>
    <n v="0.48"/>
    <n v="0.53"/>
    <n v="4"/>
    <n v="0.10100000000000001"/>
    <n v="3"/>
    <n v="10"/>
    <n v="0.99585999999999997"/>
    <n v="3.21"/>
    <n v="0.59"/>
    <n v="12.1"/>
    <n v="7"/>
    <x v="1"/>
    <s v="High"/>
    <n v="24.125"/>
    <n v="165"/>
    <n v="7"/>
    <x v="1"/>
  </r>
  <r>
    <x v="1060"/>
    <n v="11.6"/>
    <n v="0.23"/>
    <n v="0.56999999999999995"/>
    <n v="1.8"/>
    <n v="7.3999999999999996E-2"/>
    <n v="3"/>
    <n v="8"/>
    <n v="0.99809999999999999"/>
    <n v="3.14"/>
    <n v="0.7"/>
    <n v="9.9"/>
    <n v="6"/>
    <x v="0"/>
    <s v="High"/>
    <n v="20.39"/>
    <n v="768"/>
    <n v="5"/>
    <x v="0"/>
  </r>
  <r>
    <x v="1061"/>
    <n v="9.1"/>
    <n v="0.4"/>
    <n v="0.5"/>
    <n v="1.8"/>
    <n v="7.0999999999999994E-2"/>
    <n v="7"/>
    <n v="16"/>
    <n v="0.99461999999999995"/>
    <n v="3.21"/>
    <n v="0.69"/>
    <n v="12.5"/>
    <n v="8"/>
    <x v="1"/>
    <s v="High"/>
    <n v="25.234999999999999"/>
    <n v="77"/>
    <n v="9"/>
    <x v="1"/>
  </r>
  <r>
    <x v="1062"/>
    <n v="8"/>
    <n v="0.38"/>
    <n v="0.44"/>
    <n v="1.9"/>
    <n v="9.8000000000000004E-2"/>
    <n v="6"/>
    <n v="15"/>
    <n v="0.99560000000000004"/>
    <n v="3.3"/>
    <n v="0.64"/>
    <n v="11.4"/>
    <n v="6"/>
    <x v="0"/>
    <s v="Normal"/>
    <n v="23"/>
    <n v="271"/>
    <n v="9"/>
    <x v="1"/>
  </r>
  <r>
    <x v="1063"/>
    <n v="10.199999999999999"/>
    <n v="0.28999999999999998"/>
    <n v="0.65"/>
    <n v="2.4"/>
    <n v="7.4999999999999997E-2"/>
    <n v="6"/>
    <n v="17"/>
    <n v="0.99565000000000003"/>
    <n v="3.22"/>
    <n v="0.63"/>
    <n v="11.8"/>
    <n v="6"/>
    <x v="0"/>
    <s v="High"/>
    <n v="23.965000000000003"/>
    <n v="183"/>
    <n v="11"/>
    <x v="1"/>
  </r>
  <r>
    <x v="1064"/>
    <n v="8.1999999999999993"/>
    <n v="0.74"/>
    <n v="0.09"/>
    <n v="2"/>
    <n v="6.7000000000000004E-2"/>
    <n v="5"/>
    <n v="10"/>
    <n v="0.99417999999999995"/>
    <n v="3.28"/>
    <n v="0.56999999999999995"/>
    <n v="11.8"/>
    <n v="6"/>
    <x v="0"/>
    <s v="Normal"/>
    <n v="22.975000000000001"/>
    <n v="275"/>
    <n v="5"/>
    <x v="1"/>
  </r>
  <r>
    <x v="1065"/>
    <n v="7.7"/>
    <n v="0.61"/>
    <n v="0.18"/>
    <n v="2.4"/>
    <n v="8.3000000000000004E-2"/>
    <n v="6"/>
    <n v="20"/>
    <n v="0.99629999999999996"/>
    <n v="3.29"/>
    <n v="0.6"/>
    <n v="10.199999999999999"/>
    <n v="6"/>
    <x v="0"/>
    <s v="Normal"/>
    <n v="20.079999999999998"/>
    <n v="844"/>
    <n v="14"/>
    <x v="1"/>
  </r>
  <r>
    <x v="1066"/>
    <n v="6.6"/>
    <n v="0.52"/>
    <n v="0.08"/>
    <n v="2.4"/>
    <n v="7.0000000000000007E-2"/>
    <n v="13"/>
    <n v="26"/>
    <n v="0.99358000000000002"/>
    <n v="3.4"/>
    <n v="0.72"/>
    <n v="12.5"/>
    <n v="7"/>
    <x v="1"/>
    <s v="Normal"/>
    <n v="25.04"/>
    <n v="91"/>
    <n v="13"/>
    <x v="1"/>
  </r>
  <r>
    <x v="1067"/>
    <n v="11.1"/>
    <n v="0.31"/>
    <n v="0.53"/>
    <n v="2.2000000000000002"/>
    <n v="0.06"/>
    <n v="3"/>
    <n v="10"/>
    <n v="0.99572000000000005"/>
    <n v="3.02"/>
    <n v="0.83"/>
    <n v="10.9"/>
    <n v="7"/>
    <x v="1"/>
    <s v="High"/>
    <n v="22.425000000000001"/>
    <n v="388"/>
    <n v="7"/>
    <x v="0"/>
  </r>
  <r>
    <x v="1068"/>
    <n v="11.1"/>
    <n v="0.31"/>
    <n v="0.53"/>
    <n v="2.2000000000000002"/>
    <n v="0.06"/>
    <n v="3"/>
    <n v="10"/>
    <n v="0.99572000000000005"/>
    <n v="3.02"/>
    <n v="0.83"/>
    <n v="10.9"/>
    <n v="7"/>
    <x v="1"/>
    <s v="High"/>
    <n v="22.425000000000001"/>
    <n v="388"/>
    <n v="7"/>
    <x v="0"/>
  </r>
  <r>
    <x v="1069"/>
    <n v="8"/>
    <n v="0.62"/>
    <n v="0.35"/>
    <n v="2.8"/>
    <n v="8.5999999999999993E-2"/>
    <n v="28"/>
    <n v="52"/>
    <n v="0.997"/>
    <n v="3.31"/>
    <n v="0.62"/>
    <n v="10.8"/>
    <n v="5"/>
    <x v="0"/>
    <s v="Normal"/>
    <n v="21.290000000000003"/>
    <n v="583"/>
    <n v="24"/>
    <x v="1"/>
  </r>
  <r>
    <x v="1070"/>
    <n v="9.3000000000000007"/>
    <n v="0.33"/>
    <n v="0.45"/>
    <n v="1.5"/>
    <n v="5.7000000000000002E-2"/>
    <n v="19"/>
    <n v="37"/>
    <n v="0.99497999999999998"/>
    <n v="3.18"/>
    <n v="0.89"/>
    <n v="11.1"/>
    <n v="7"/>
    <x v="1"/>
    <s v="High"/>
    <n v="22.875"/>
    <n v="295"/>
    <n v="18"/>
    <x v="0"/>
  </r>
  <r>
    <x v="1071"/>
    <n v="7.5"/>
    <n v="0.77"/>
    <n v="0.2"/>
    <n v="8.1"/>
    <n v="9.8000000000000004E-2"/>
    <n v="30"/>
    <n v="92"/>
    <n v="0.99892000000000003"/>
    <n v="3.2"/>
    <n v="0.57999999999999996"/>
    <n v="9.1999999999999993"/>
    <n v="5"/>
    <x v="0"/>
    <s v="Normal"/>
    <n v="17.73"/>
    <n v="1567"/>
    <n v="62"/>
    <x v="0"/>
  </r>
  <r>
    <x v="1072"/>
    <n v="7.2"/>
    <n v="0.35"/>
    <n v="0.26"/>
    <n v="1.8"/>
    <n v="8.3000000000000004E-2"/>
    <n v="33"/>
    <n v="75"/>
    <n v="0.99680000000000002"/>
    <n v="3.4"/>
    <n v="0.57999999999999996"/>
    <n v="9.5"/>
    <n v="6"/>
    <x v="0"/>
    <s v="Normal"/>
    <n v="19.170000000000002"/>
    <n v="1098"/>
    <n v="42"/>
    <x v="0"/>
  </r>
  <r>
    <x v="1073"/>
    <n v="8"/>
    <n v="0.62"/>
    <n v="0.33"/>
    <n v="2.7"/>
    <n v="8.7999999999999995E-2"/>
    <n v="16"/>
    <n v="37"/>
    <n v="0.99719999999999998"/>
    <n v="3.31"/>
    <n v="0.57999999999999996"/>
    <n v="10.7"/>
    <n v="6"/>
    <x v="0"/>
    <s v="Normal"/>
    <n v="21.03"/>
    <n v="645"/>
    <n v="21"/>
    <x v="1"/>
  </r>
  <r>
    <x v="1074"/>
    <n v="7.5"/>
    <n v="0.77"/>
    <n v="0.2"/>
    <n v="8.1"/>
    <n v="9.8000000000000004E-2"/>
    <n v="30"/>
    <n v="92"/>
    <n v="0.99892000000000003"/>
    <n v="3.2"/>
    <n v="0.57999999999999996"/>
    <n v="9.1999999999999993"/>
    <n v="5"/>
    <x v="0"/>
    <s v="Normal"/>
    <n v="17.73"/>
    <n v="1567"/>
    <n v="62"/>
    <x v="0"/>
  </r>
  <r>
    <x v="1075"/>
    <n v="9.1"/>
    <n v="0.25"/>
    <n v="0.34"/>
    <n v="2"/>
    <n v="7.0999999999999994E-2"/>
    <n v="45"/>
    <n v="67"/>
    <n v="0.99768999999999997"/>
    <n v="3.44"/>
    <n v="0.86"/>
    <n v="10.199999999999999"/>
    <n v="7"/>
    <x v="1"/>
    <s v="Normal"/>
    <n v="21.189999999999998"/>
    <n v="606"/>
    <n v="22"/>
    <x v="1"/>
  </r>
  <r>
    <x v="1076"/>
    <n v="9.9"/>
    <n v="0.32"/>
    <n v="0.56000000000000005"/>
    <n v="2"/>
    <n v="7.2999999999999995E-2"/>
    <n v="3"/>
    <n v="8"/>
    <n v="0.99534"/>
    <n v="3.15"/>
    <n v="0.73"/>
    <n v="11.4"/>
    <n v="6"/>
    <x v="0"/>
    <s v="High"/>
    <n v="23.254999999999999"/>
    <n v="238"/>
    <n v="5"/>
    <x v="0"/>
  </r>
  <r>
    <x v="1077"/>
    <n v="8.6"/>
    <n v="0.37"/>
    <n v="0.65"/>
    <n v="6.4"/>
    <n v="0.08"/>
    <n v="3"/>
    <n v="8"/>
    <n v="0.99817"/>
    <n v="3.27"/>
    <n v="0.57999999999999996"/>
    <n v="11"/>
    <n v="5"/>
    <x v="0"/>
    <s v="High"/>
    <n v="22.130000000000003"/>
    <n v="432"/>
    <n v="5"/>
    <x v="1"/>
  </r>
  <r>
    <x v="1078"/>
    <n v="8.6"/>
    <n v="0.37"/>
    <n v="0.65"/>
    <n v="6.4"/>
    <n v="0.08"/>
    <n v="3"/>
    <n v="8"/>
    <n v="0.99817"/>
    <n v="3.27"/>
    <n v="0.57999999999999996"/>
    <n v="11"/>
    <n v="5"/>
    <x v="0"/>
    <s v="High"/>
    <n v="22.130000000000003"/>
    <n v="432"/>
    <n v="5"/>
    <x v="1"/>
  </r>
  <r>
    <x v="1079"/>
    <n v="7.9"/>
    <n v="0.3"/>
    <n v="0.68"/>
    <n v="8.3000000000000007"/>
    <n v="0.05"/>
    <n v="37.5"/>
    <n v="278"/>
    <n v="0.99316000000000004"/>
    <n v="3.01"/>
    <n v="0.51"/>
    <n v="12.3"/>
    <n v="7"/>
    <x v="1"/>
    <s v="Normal"/>
    <n v="24.765000000000001"/>
    <n v="105"/>
    <n v="240.5"/>
    <x v="0"/>
  </r>
  <r>
    <x v="1080"/>
    <n v="10.3"/>
    <n v="0.27"/>
    <n v="0.56000000000000005"/>
    <n v="1.4"/>
    <n v="4.7E-2"/>
    <n v="3"/>
    <n v="8"/>
    <n v="0.99470999999999998"/>
    <n v="3.16"/>
    <n v="0.51"/>
    <n v="11.8"/>
    <n v="6"/>
    <x v="0"/>
    <s v="High"/>
    <n v="23.825000000000003"/>
    <n v="192"/>
    <n v="5"/>
    <x v="0"/>
  </r>
  <r>
    <x v="1081"/>
    <n v="7.9"/>
    <n v="0.3"/>
    <n v="0.68"/>
    <n v="8.3000000000000007"/>
    <n v="0.05"/>
    <n v="37.5"/>
    <n v="289"/>
    <n v="0.99316000000000004"/>
    <n v="3.01"/>
    <n v="0.51"/>
    <n v="12.3"/>
    <n v="7"/>
    <x v="1"/>
    <s v="Normal"/>
    <n v="24.765000000000001"/>
    <n v="105"/>
    <n v="251.5"/>
    <x v="0"/>
  </r>
  <r>
    <x v="1082"/>
    <n v="7.2"/>
    <n v="0.38"/>
    <n v="0.3"/>
    <n v="1.8"/>
    <n v="7.2999999999999995E-2"/>
    <n v="31"/>
    <n v="70"/>
    <n v="0.99685000000000001"/>
    <n v="3.42"/>
    <n v="0.59"/>
    <n v="9.5"/>
    <n v="6"/>
    <x v="0"/>
    <s v="Normal"/>
    <n v="19.125"/>
    <n v="1111"/>
    <n v="39"/>
    <x v="0"/>
  </r>
  <r>
    <x v="1083"/>
    <n v="8.6999999999999993"/>
    <n v="0.42"/>
    <n v="0.45"/>
    <n v="2.4"/>
    <n v="7.1999999999999995E-2"/>
    <n v="32"/>
    <n v="59"/>
    <n v="0.99617"/>
    <n v="3.33"/>
    <n v="0.77"/>
    <n v="12"/>
    <n v="6"/>
    <x v="0"/>
    <s v="Normal"/>
    <n v="24.315000000000001"/>
    <n v="150"/>
    <n v="27"/>
    <x v="1"/>
  </r>
  <r>
    <x v="1084"/>
    <n v="7.2"/>
    <n v="0.38"/>
    <n v="0.3"/>
    <n v="1.8"/>
    <n v="7.2999999999999995E-2"/>
    <n v="31"/>
    <n v="70"/>
    <n v="0.99685000000000001"/>
    <n v="3.42"/>
    <n v="0.59"/>
    <n v="9.5"/>
    <n v="6"/>
    <x v="0"/>
    <s v="Normal"/>
    <n v="19.125"/>
    <n v="1111"/>
    <n v="39"/>
    <x v="0"/>
  </r>
  <r>
    <x v="1085"/>
    <n v="6.8"/>
    <n v="0.48"/>
    <n v="0.08"/>
    <n v="1.8"/>
    <n v="7.3999999999999996E-2"/>
    <n v="40"/>
    <n v="64"/>
    <n v="0.99529000000000001"/>
    <n v="3.12"/>
    <n v="0.49"/>
    <n v="9.6"/>
    <n v="5"/>
    <x v="0"/>
    <s v="Normal"/>
    <n v="18.974999999999998"/>
    <n v="1173"/>
    <n v="24"/>
    <x v="0"/>
  </r>
  <r>
    <x v="1086"/>
    <n v="8.5"/>
    <n v="0.34"/>
    <n v="0.4"/>
    <n v="4.7"/>
    <n v="5.5E-2"/>
    <n v="3"/>
    <n v="9"/>
    <n v="0.99738000000000004"/>
    <n v="3.38"/>
    <n v="0.66"/>
    <n v="11.6"/>
    <n v="7"/>
    <x v="1"/>
    <s v="Normal"/>
    <n v="23.509999999999998"/>
    <n v="221"/>
    <n v="6"/>
    <x v="1"/>
  </r>
  <r>
    <x v="1087"/>
    <n v="7.9"/>
    <n v="0.19"/>
    <n v="0.42"/>
    <n v="1.6"/>
    <n v="5.7000000000000002E-2"/>
    <n v="18"/>
    <n v="30"/>
    <n v="0.99399999999999999"/>
    <n v="3.29"/>
    <n v="0.69"/>
    <n v="11.2"/>
    <n v="6"/>
    <x v="0"/>
    <s v="Normal"/>
    <n v="23.055"/>
    <n v="263"/>
    <n v="12"/>
    <x v="1"/>
  </r>
  <r>
    <x v="1088"/>
    <n v="11.6"/>
    <n v="0.41"/>
    <n v="0.54"/>
    <n v="1.5"/>
    <n v="9.5000000000000001E-2"/>
    <n v="22"/>
    <n v="41"/>
    <n v="0.99734999999999996"/>
    <n v="3.02"/>
    <n v="0.76"/>
    <n v="9.9"/>
    <n v="7"/>
    <x v="1"/>
    <s v="High"/>
    <n v="20.12"/>
    <n v="834"/>
    <n v="19"/>
    <x v="0"/>
  </r>
  <r>
    <x v="1089"/>
    <n v="11.6"/>
    <n v="0.41"/>
    <n v="0.54"/>
    <n v="1.5"/>
    <n v="9.5000000000000001E-2"/>
    <n v="22"/>
    <n v="41"/>
    <n v="0.99734999999999996"/>
    <n v="3.02"/>
    <n v="0.76"/>
    <n v="9.9"/>
    <n v="7"/>
    <x v="1"/>
    <s v="High"/>
    <n v="20.12"/>
    <n v="834"/>
    <n v="19"/>
    <x v="0"/>
  </r>
  <r>
    <x v="1090"/>
    <n v="10"/>
    <n v="0.26"/>
    <n v="0.54"/>
    <n v="1.9"/>
    <n v="8.3000000000000004E-2"/>
    <n v="42"/>
    <n v="74"/>
    <n v="0.99451000000000001"/>
    <n v="2.98"/>
    <n v="0.63"/>
    <n v="11.8"/>
    <n v="8"/>
    <x v="1"/>
    <s v="High"/>
    <n v="24.025000000000002"/>
    <n v="177"/>
    <n v="32"/>
    <x v="0"/>
  </r>
  <r>
    <x v="1091"/>
    <n v="7.9"/>
    <n v="0.34"/>
    <n v="0.42"/>
    <n v="2"/>
    <n v="8.5999999999999993E-2"/>
    <n v="8"/>
    <n v="19"/>
    <n v="0.99546000000000001"/>
    <n v="3.35"/>
    <n v="0.6"/>
    <n v="11.4"/>
    <n v="6"/>
    <x v="0"/>
    <s v="Normal"/>
    <n v="23.02"/>
    <n v="269"/>
    <n v="11"/>
    <x v="1"/>
  </r>
  <r>
    <x v="1092"/>
    <n v="7"/>
    <n v="0.54"/>
    <n v="0.09"/>
    <n v="2"/>
    <n v="8.1000000000000003E-2"/>
    <n v="10"/>
    <n v="16"/>
    <n v="0.99478999999999995"/>
    <n v="3.43"/>
    <n v="0.59"/>
    <n v="11.5"/>
    <n v="6"/>
    <x v="0"/>
    <s v="Normal"/>
    <n v="22.805"/>
    <n v="312"/>
    <n v="6"/>
    <x v="1"/>
  </r>
  <r>
    <x v="1093"/>
    <n v="9.1999999999999993"/>
    <n v="0.31"/>
    <n v="0.36"/>
    <n v="2.2000000000000002"/>
    <n v="7.9000000000000001E-2"/>
    <n v="11"/>
    <n v="31"/>
    <n v="0.99614999999999998"/>
    <n v="3.33"/>
    <n v="0.86"/>
    <n v="12"/>
    <n v="7"/>
    <x v="1"/>
    <s v="Normal"/>
    <n v="24.669999999999998"/>
    <n v="115"/>
    <n v="20"/>
    <x v="1"/>
  </r>
  <r>
    <x v="1094"/>
    <n v="6.6"/>
    <n v="0.72499999999999998"/>
    <n v="0.09"/>
    <n v="5.5"/>
    <n v="0.11700000000000001"/>
    <n v="9"/>
    <n v="17"/>
    <n v="0.99655000000000005"/>
    <n v="3.35"/>
    <n v="0.49"/>
    <n v="10.8"/>
    <n v="6"/>
    <x v="0"/>
    <s v="Normal"/>
    <n v="20.885000000000002"/>
    <n v="676"/>
    <n v="8"/>
    <x v="1"/>
  </r>
  <r>
    <x v="1095"/>
    <n v="9.4"/>
    <n v="0.4"/>
    <n v="0.47"/>
    <n v="2.5"/>
    <n v="8.6999999999999994E-2"/>
    <n v="6"/>
    <n v="20"/>
    <n v="0.99772000000000005"/>
    <n v="3.15"/>
    <n v="0.5"/>
    <n v="10.5"/>
    <n v="5"/>
    <x v="0"/>
    <s v="High"/>
    <n v="20.95"/>
    <n v="662"/>
    <n v="14"/>
    <x v="0"/>
  </r>
  <r>
    <x v="1096"/>
    <n v="6.6"/>
    <n v="0.72499999999999998"/>
    <n v="0.09"/>
    <n v="5.5"/>
    <n v="0.11700000000000001"/>
    <n v="9"/>
    <n v="17"/>
    <n v="0.99655000000000005"/>
    <n v="3.35"/>
    <n v="0.49"/>
    <n v="10.8"/>
    <n v="6"/>
    <x v="0"/>
    <s v="Normal"/>
    <n v="20.885000000000002"/>
    <n v="676"/>
    <n v="8"/>
    <x v="1"/>
  </r>
  <r>
    <x v="1097"/>
    <n v="8.6"/>
    <n v="0.52"/>
    <n v="0.38"/>
    <n v="1.5"/>
    <n v="9.6000000000000002E-2"/>
    <n v="5"/>
    <n v="18"/>
    <n v="0.99665999999999999"/>
    <n v="3.2"/>
    <n v="0.52"/>
    <n v="9.4"/>
    <n v="5"/>
    <x v="0"/>
    <s v="High"/>
    <n v="18.540000000000003"/>
    <n v="1365"/>
    <n v="13"/>
    <x v="0"/>
  </r>
  <r>
    <x v="1098"/>
    <n v="8"/>
    <n v="0.31"/>
    <n v="0.45"/>
    <n v="2.1"/>
    <n v="0.216"/>
    <n v="5"/>
    <n v="16"/>
    <n v="0.99358000000000002"/>
    <n v="3.15"/>
    <n v="0.81"/>
    <n v="12.5"/>
    <n v="7"/>
    <x v="1"/>
    <s v="Normal"/>
    <n v="25.594999999999999"/>
    <n v="46"/>
    <n v="11"/>
    <x v="0"/>
  </r>
  <r>
    <x v="1099"/>
    <n v="8.6"/>
    <n v="0.52"/>
    <n v="0.38"/>
    <n v="1.5"/>
    <n v="9.6000000000000002E-2"/>
    <n v="5"/>
    <n v="18"/>
    <n v="0.99665999999999999"/>
    <n v="3.2"/>
    <n v="0.52"/>
    <n v="9.4"/>
    <n v="5"/>
    <x v="0"/>
    <s v="High"/>
    <n v="18.540000000000003"/>
    <n v="1365"/>
    <n v="13"/>
    <x v="0"/>
  </r>
  <r>
    <x v="1100"/>
    <n v="8.4"/>
    <n v="0.34"/>
    <n v="0.42"/>
    <n v="2.1"/>
    <n v="7.1999999999999995E-2"/>
    <n v="23"/>
    <n v="36"/>
    <n v="0.99392000000000003"/>
    <n v="3.11"/>
    <n v="0.78"/>
    <n v="12.4"/>
    <n v="6"/>
    <x v="0"/>
    <s v="High"/>
    <n v="25.29"/>
    <n v="69"/>
    <n v="13"/>
    <x v="0"/>
  </r>
  <r>
    <x v="1101"/>
    <n v="7.4"/>
    <n v="0.49"/>
    <n v="0.27"/>
    <n v="2.1"/>
    <n v="7.0999999999999994E-2"/>
    <n v="14"/>
    <n v="25"/>
    <n v="0.99387999999999999"/>
    <n v="3.35"/>
    <n v="0.63"/>
    <n v="12"/>
    <n v="6"/>
    <x v="0"/>
    <s v="Normal"/>
    <n v="23.965"/>
    <n v="184"/>
    <n v="11"/>
    <x v="1"/>
  </r>
  <r>
    <x v="1102"/>
    <n v="6.1"/>
    <n v="0.48"/>
    <n v="0.09"/>
    <n v="1.7"/>
    <n v="7.8E-2"/>
    <n v="18"/>
    <n v="30"/>
    <n v="0.99402000000000001"/>
    <n v="3.45"/>
    <n v="0.54"/>
    <n v="11.2"/>
    <n v="6"/>
    <x v="0"/>
    <s v="Normal"/>
    <n v="22.249999999999996"/>
    <n v="415"/>
    <n v="12"/>
    <x v="1"/>
  </r>
  <r>
    <x v="1103"/>
    <n v="7.4"/>
    <n v="0.49"/>
    <n v="0.27"/>
    <n v="2.1"/>
    <n v="7.0999999999999994E-2"/>
    <n v="14"/>
    <n v="25"/>
    <n v="0.99387999999999999"/>
    <n v="3.35"/>
    <n v="0.63"/>
    <n v="12"/>
    <n v="6"/>
    <x v="0"/>
    <s v="Normal"/>
    <n v="23.965"/>
    <n v="184"/>
    <n v="11"/>
    <x v="1"/>
  </r>
  <r>
    <x v="1104"/>
    <n v="8"/>
    <n v="0.48"/>
    <n v="0.34"/>
    <n v="2.2000000000000002"/>
    <n v="7.2999999999999995E-2"/>
    <n v="16"/>
    <n v="25"/>
    <n v="0.99360000000000004"/>
    <n v="3.28"/>
    <n v="0.66"/>
    <n v="12.4"/>
    <n v="6"/>
    <x v="0"/>
    <s v="Normal"/>
    <n v="24.83"/>
    <n v="101"/>
    <n v="9"/>
    <x v="1"/>
  </r>
  <r>
    <x v="1105"/>
    <n v="6.3"/>
    <n v="0.56999999999999995"/>
    <n v="0.28000000000000003"/>
    <n v="2.1"/>
    <n v="4.8000000000000001E-2"/>
    <n v="13"/>
    <n v="49"/>
    <n v="0.99373999999999996"/>
    <n v="3.41"/>
    <n v="0.6"/>
    <n v="12.8"/>
    <n v="5"/>
    <x v="0"/>
    <s v="Normal"/>
    <n v="25.36"/>
    <n v="65"/>
    <n v="36"/>
    <x v="1"/>
  </r>
  <r>
    <x v="1106"/>
    <n v="8.1999999999999993"/>
    <n v="0.23"/>
    <n v="0.42"/>
    <n v="1.9"/>
    <n v="6.9000000000000006E-2"/>
    <n v="9"/>
    <n v="17"/>
    <n v="0.99375999999999998"/>
    <n v="3.21"/>
    <n v="0.54"/>
    <n v="12.3"/>
    <n v="6"/>
    <x v="0"/>
    <s v="Normal"/>
    <n v="24.95"/>
    <n v="96"/>
    <n v="8"/>
    <x v="1"/>
  </r>
  <r>
    <x v="1107"/>
    <n v="9.1"/>
    <n v="0.3"/>
    <n v="0.41"/>
    <n v="2"/>
    <n v="6.8000000000000005E-2"/>
    <n v="10"/>
    <n v="24"/>
    <n v="0.99522999999999995"/>
    <n v="3.27"/>
    <n v="0.85"/>
    <n v="11.7"/>
    <n v="7"/>
    <x v="1"/>
    <s v="High"/>
    <n v="24.074999999999996"/>
    <n v="172"/>
    <n v="14"/>
    <x v="1"/>
  </r>
  <r>
    <x v="1108"/>
    <n v="8.1"/>
    <n v="0.78"/>
    <n v="0.1"/>
    <n v="3.3"/>
    <n v="0.09"/>
    <n v="4"/>
    <n v="13"/>
    <n v="0.99855000000000005"/>
    <n v="3.36"/>
    <n v="0.49"/>
    <n v="9.5"/>
    <n v="5"/>
    <x v="0"/>
    <s v="Normal"/>
    <n v="18.175000000000001"/>
    <n v="1485"/>
    <n v="9"/>
    <x v="0"/>
  </r>
  <r>
    <x v="1109"/>
    <n v="10.8"/>
    <n v="0.47"/>
    <n v="0.43"/>
    <n v="2.1"/>
    <n v="0.17100000000000001"/>
    <n v="27"/>
    <n v="66"/>
    <n v="0.99819999999999998"/>
    <n v="3.17"/>
    <n v="0.76"/>
    <n v="10.8"/>
    <n v="6"/>
    <x v="0"/>
    <s v="High"/>
    <n v="21.8"/>
    <n v="480"/>
    <n v="39"/>
    <x v="0"/>
  </r>
  <r>
    <x v="1110"/>
    <n v="8.3000000000000007"/>
    <n v="0.53"/>
    <n v="0"/>
    <n v="1.4"/>
    <n v="7.0000000000000007E-2"/>
    <n v="6"/>
    <n v="14"/>
    <n v="0.99592999999999998"/>
    <n v="3.25"/>
    <n v="0.64"/>
    <n v="10"/>
    <n v="6"/>
    <x v="0"/>
    <s v="Normal"/>
    <n v="19.900000000000002"/>
    <n v="879"/>
    <n v="8"/>
    <x v="1"/>
  </r>
  <r>
    <x v="1111"/>
    <n v="5.4"/>
    <n v="0.42"/>
    <n v="0.27"/>
    <n v="2"/>
    <n v="9.1999999999999998E-2"/>
    <n v="23"/>
    <n v="55"/>
    <n v="0.99470999999999998"/>
    <n v="3.78"/>
    <n v="0.64"/>
    <n v="12.3"/>
    <n v="7"/>
    <x v="1"/>
    <s v="Normal"/>
    <n v="24.720000000000002"/>
    <n v="108"/>
    <n v="32"/>
    <x v="1"/>
  </r>
  <r>
    <x v="1112"/>
    <n v="7.9"/>
    <n v="0.33"/>
    <n v="0.41"/>
    <n v="1.5"/>
    <n v="5.6000000000000001E-2"/>
    <n v="6"/>
    <n v="35"/>
    <n v="0.99395999999999995"/>
    <n v="3.29"/>
    <n v="0.71"/>
    <n v="11"/>
    <n v="6"/>
    <x v="0"/>
    <s v="Normal"/>
    <n v="22.405000000000001"/>
    <n v="392"/>
    <n v="29"/>
    <x v="1"/>
  </r>
  <r>
    <x v="1113"/>
    <n v="8.9"/>
    <n v="0.24"/>
    <n v="0.39"/>
    <n v="1.6"/>
    <n v="7.3999999999999996E-2"/>
    <n v="3"/>
    <n v="10"/>
    <n v="0.99697999999999998"/>
    <n v="3.12"/>
    <n v="0.59"/>
    <n v="9.5"/>
    <n v="6"/>
    <x v="0"/>
    <s v="High"/>
    <n v="19.405000000000001"/>
    <n v="1002"/>
    <n v="7"/>
    <x v="0"/>
  </r>
  <r>
    <x v="1114"/>
    <n v="5"/>
    <n v="0.4"/>
    <n v="0.5"/>
    <n v="4.3"/>
    <n v="4.5999999999999999E-2"/>
    <n v="29"/>
    <n v="80"/>
    <n v="0.99019999999999997"/>
    <n v="3.49"/>
    <n v="0.66"/>
    <n v="13.6"/>
    <n v="6"/>
    <x v="0"/>
    <s v="Normal"/>
    <n v="27.389999999999997"/>
    <n v="13"/>
    <n v="51"/>
    <x v="1"/>
  </r>
  <r>
    <x v="1115"/>
    <n v="7"/>
    <n v="0.69"/>
    <n v="7.0000000000000007E-2"/>
    <n v="2.5"/>
    <n v="9.0999999999999998E-2"/>
    <n v="15"/>
    <n v="21"/>
    <n v="0.99572000000000005"/>
    <n v="3.38"/>
    <n v="0.6"/>
    <n v="11.3"/>
    <n v="6"/>
    <x v="0"/>
    <s v="Normal"/>
    <n v="22.12"/>
    <n v="434"/>
    <n v="6"/>
    <x v="1"/>
  </r>
  <r>
    <x v="1116"/>
    <n v="7"/>
    <n v="0.69"/>
    <n v="7.0000000000000007E-2"/>
    <n v="2.5"/>
    <n v="9.0999999999999998E-2"/>
    <n v="15"/>
    <n v="21"/>
    <n v="0.99572000000000005"/>
    <n v="3.38"/>
    <n v="0.6"/>
    <n v="11.3"/>
    <n v="6"/>
    <x v="0"/>
    <s v="Normal"/>
    <n v="22.12"/>
    <n v="434"/>
    <n v="6"/>
    <x v="1"/>
  </r>
  <r>
    <x v="1117"/>
    <n v="7"/>
    <n v="0.69"/>
    <n v="7.0000000000000007E-2"/>
    <n v="2.5"/>
    <n v="9.0999999999999998E-2"/>
    <n v="15"/>
    <n v="21"/>
    <n v="0.99572000000000005"/>
    <n v="3.38"/>
    <n v="0.6"/>
    <n v="11.3"/>
    <n v="6"/>
    <x v="0"/>
    <s v="Normal"/>
    <n v="22.12"/>
    <n v="434"/>
    <n v="6"/>
    <x v="1"/>
  </r>
  <r>
    <x v="1118"/>
    <n v="7.1"/>
    <n v="0.39"/>
    <n v="0.12"/>
    <n v="2.1"/>
    <n v="6.5000000000000002E-2"/>
    <n v="14"/>
    <n v="24"/>
    <n v="0.99251999999999996"/>
    <n v="3.3"/>
    <n v="0.53"/>
    <n v="13.3"/>
    <n v="6"/>
    <x v="0"/>
    <s v="Normal"/>
    <n v="26.615000000000002"/>
    <n v="19"/>
    <n v="10"/>
    <x v="1"/>
  </r>
  <r>
    <x v="1119"/>
    <n v="5.6"/>
    <n v="0.66"/>
    <n v="0"/>
    <n v="2.5"/>
    <n v="6.6000000000000003E-2"/>
    <n v="7"/>
    <n v="15"/>
    <n v="0.99256"/>
    <n v="3.52"/>
    <n v="0.57999999999999996"/>
    <n v="12.9"/>
    <n v="5"/>
    <x v="0"/>
    <s v="Normal"/>
    <n v="25.35"/>
    <n v="67"/>
    <n v="8"/>
    <x v="1"/>
  </r>
  <r>
    <x v="1120"/>
    <n v="7.9"/>
    <n v="0.54"/>
    <n v="0.34"/>
    <n v="2.5"/>
    <n v="7.5999999999999998E-2"/>
    <n v="8"/>
    <n v="17"/>
    <n v="0.99234999999999995"/>
    <n v="3.2"/>
    <n v="0.72"/>
    <n v="13.1"/>
    <n v="8"/>
    <x v="1"/>
    <s v="Normal"/>
    <n v="26.200000000000003"/>
    <n v="22"/>
    <n v="9"/>
    <x v="1"/>
  </r>
  <r>
    <x v="1121"/>
    <n v="6.6"/>
    <n v="0.5"/>
    <n v="0"/>
    <n v="1.8"/>
    <n v="6.2E-2"/>
    <n v="21"/>
    <n v="28"/>
    <n v="0.99351999999999996"/>
    <n v="3.44"/>
    <n v="0.55000000000000004"/>
    <n v="12.3"/>
    <n v="6"/>
    <x v="0"/>
    <s v="Normal"/>
    <n v="24.425000000000001"/>
    <n v="133"/>
    <n v="7"/>
    <x v="1"/>
  </r>
  <r>
    <x v="1122"/>
    <n v="6.3"/>
    <n v="0.47"/>
    <n v="0"/>
    <n v="1.4"/>
    <n v="5.5E-2"/>
    <n v="27"/>
    <n v="33"/>
    <n v="0.99219999999999997"/>
    <n v="3.45"/>
    <n v="0.48"/>
    <n v="12.3"/>
    <n v="6"/>
    <x v="0"/>
    <s v="Normal"/>
    <n v="24.38"/>
    <n v="144"/>
    <n v="6"/>
    <x v="1"/>
  </r>
  <r>
    <x v="1123"/>
    <n v="10.7"/>
    <n v="0.4"/>
    <n v="0.37"/>
    <n v="1.9"/>
    <n v="8.1000000000000003E-2"/>
    <n v="17"/>
    <n v="29"/>
    <n v="0.99673999999999996"/>
    <n v="3.12"/>
    <n v="0.65"/>
    <n v="11.2"/>
    <n v="6"/>
    <x v="0"/>
    <s v="High"/>
    <n v="22.574999999999999"/>
    <n v="347"/>
    <n v="12"/>
    <x v="0"/>
  </r>
  <r>
    <x v="1124"/>
    <n v="6.5"/>
    <n v="0.57999999999999996"/>
    <n v="0"/>
    <n v="2.2000000000000002"/>
    <n v="9.6000000000000002E-2"/>
    <n v="3"/>
    <n v="13"/>
    <n v="0.99556999999999995"/>
    <n v="3.62"/>
    <n v="0.62"/>
    <n v="11.5"/>
    <n v="4"/>
    <x v="2"/>
    <s v="Normal"/>
    <n v="22.77"/>
    <n v="317"/>
    <n v="10"/>
    <x v="1"/>
  </r>
  <r>
    <x v="1125"/>
    <n v="8.8000000000000007"/>
    <n v="0.24"/>
    <n v="0.35"/>
    <n v="1.7"/>
    <n v="5.5E-2"/>
    <n v="13"/>
    <n v="27"/>
    <n v="0.99394000000000005"/>
    <n v="3.14"/>
    <n v="0.59"/>
    <n v="11.3"/>
    <n v="7"/>
    <x v="1"/>
    <s v="High"/>
    <n v="23.005000000000003"/>
    <n v="270"/>
    <n v="14"/>
    <x v="0"/>
  </r>
  <r>
    <x v="1126"/>
    <n v="5.8"/>
    <n v="0.28999999999999998"/>
    <n v="0.26"/>
    <n v="1.7"/>
    <n v="6.3E-2"/>
    <n v="3"/>
    <n v="11"/>
    <n v="0.99150000000000005"/>
    <n v="3.39"/>
    <n v="0.54"/>
    <n v="13.5"/>
    <n v="6"/>
    <x v="0"/>
    <s v="Normal"/>
    <n v="27.23"/>
    <n v="15"/>
    <n v="8"/>
    <x v="1"/>
  </r>
  <r>
    <x v="1127"/>
    <n v="6.3"/>
    <n v="0.76"/>
    <n v="0"/>
    <n v="2.9"/>
    <n v="7.1999999999999995E-2"/>
    <n v="26"/>
    <n v="52"/>
    <n v="0.99378999999999995"/>
    <n v="3.51"/>
    <n v="0.6"/>
    <n v="11.5"/>
    <n v="6"/>
    <x v="0"/>
    <s v="Normal"/>
    <n v="22.38"/>
    <n v="394"/>
    <n v="26"/>
    <x v="1"/>
  </r>
  <r>
    <x v="1128"/>
    <n v="10"/>
    <n v="0.43"/>
    <n v="0.33"/>
    <n v="2.7"/>
    <n v="9.5000000000000001E-2"/>
    <n v="28"/>
    <n v="89"/>
    <n v="0.99839999999999995"/>
    <n v="3.22"/>
    <n v="0.68"/>
    <n v="10"/>
    <n v="5"/>
    <x v="0"/>
    <s v="High"/>
    <n v="20.16"/>
    <n v="827"/>
    <n v="61"/>
    <x v="1"/>
  </r>
  <r>
    <x v="1129"/>
    <n v="10.5"/>
    <n v="0.43"/>
    <n v="0.35"/>
    <n v="3.3"/>
    <n v="9.1999999999999998E-2"/>
    <n v="24"/>
    <n v="70"/>
    <n v="0.99797999999999998"/>
    <n v="3.21"/>
    <n v="0.69"/>
    <n v="10.5"/>
    <n v="6"/>
    <x v="0"/>
    <s v="High"/>
    <n v="21.175000000000001"/>
    <n v="619"/>
    <n v="46"/>
    <x v="1"/>
  </r>
  <r>
    <x v="1130"/>
    <n v="9.1"/>
    <n v="0.6"/>
    <n v="0"/>
    <n v="1.9"/>
    <n v="5.8000000000000003E-2"/>
    <n v="5"/>
    <n v="10"/>
    <n v="0.99770000000000003"/>
    <n v="3.18"/>
    <n v="0.63"/>
    <n v="10.4"/>
    <n v="6"/>
    <x v="0"/>
    <s v="High"/>
    <n v="20.545000000000002"/>
    <n v="746"/>
    <n v="5"/>
    <x v="0"/>
  </r>
  <r>
    <x v="1131"/>
    <n v="5.9"/>
    <n v="0.19"/>
    <n v="0.21"/>
    <n v="1.7"/>
    <n v="4.4999999999999998E-2"/>
    <n v="57"/>
    <n v="135"/>
    <n v="0.99341000000000002"/>
    <n v="3.32"/>
    <n v="0.44"/>
    <n v="9.5"/>
    <n v="5"/>
    <x v="0"/>
    <s v="Normal"/>
    <n v="19.28"/>
    <n v="1046"/>
    <n v="78"/>
    <x v="0"/>
  </r>
  <r>
    <x v="1132"/>
    <n v="7.4"/>
    <n v="0.36"/>
    <n v="0.34"/>
    <n v="1.8"/>
    <n v="7.4999999999999997E-2"/>
    <n v="18"/>
    <n v="38"/>
    <n v="0.99329999999999996"/>
    <n v="3.38"/>
    <n v="0.88"/>
    <n v="13.6"/>
    <n v="7"/>
    <x v="1"/>
    <s v="Normal"/>
    <n v="27.8"/>
    <n v="9"/>
    <n v="20"/>
    <x v="1"/>
  </r>
  <r>
    <x v="1133"/>
    <n v="7.2"/>
    <n v="0.48"/>
    <n v="7.0000000000000007E-2"/>
    <n v="5.5"/>
    <n v="8.8999999999999996E-2"/>
    <n v="10"/>
    <n v="18"/>
    <n v="0.99683999999999995"/>
    <n v="3.37"/>
    <n v="0.68"/>
    <n v="11.2"/>
    <n v="7"/>
    <x v="1"/>
    <s v="Normal"/>
    <n v="22.459999999999997"/>
    <n v="377"/>
    <n v="8"/>
    <x v="1"/>
  </r>
  <r>
    <x v="1134"/>
    <n v="8.5"/>
    <n v="0.28000000000000003"/>
    <n v="0.35"/>
    <n v="1.7"/>
    <n v="6.0999999999999999E-2"/>
    <n v="6"/>
    <n v="15"/>
    <n v="0.99524000000000001"/>
    <n v="3.3"/>
    <n v="0.74"/>
    <n v="11.8"/>
    <n v="7"/>
    <x v="1"/>
    <s v="High"/>
    <n v="24.150000000000002"/>
    <n v="163"/>
    <n v="9"/>
    <x v="1"/>
  </r>
  <r>
    <x v="1135"/>
    <n v="8"/>
    <n v="0.25"/>
    <n v="0.43"/>
    <n v="1.7"/>
    <n v="6.7000000000000004E-2"/>
    <n v="22"/>
    <n v="50"/>
    <n v="0.99460000000000004"/>
    <n v="3.38"/>
    <n v="0.6"/>
    <n v="11.9"/>
    <n v="6"/>
    <x v="0"/>
    <s v="Normal"/>
    <n v="24.2"/>
    <n v="157"/>
    <n v="28"/>
    <x v="1"/>
  </r>
  <r>
    <x v="1136"/>
    <n v="10.4"/>
    <n v="0.52"/>
    <n v="0.45"/>
    <n v="2"/>
    <n v="0.08"/>
    <n v="6"/>
    <n v="13"/>
    <n v="0.99773999999999996"/>
    <n v="3.22"/>
    <n v="0.76"/>
    <n v="11.4"/>
    <n v="6"/>
    <x v="0"/>
    <s v="High"/>
    <n v="22.900000000000002"/>
    <n v="288"/>
    <n v="7"/>
    <x v="1"/>
  </r>
  <r>
    <x v="1137"/>
    <n v="10.4"/>
    <n v="0.52"/>
    <n v="0.45"/>
    <n v="2"/>
    <n v="0.08"/>
    <n v="6"/>
    <n v="13"/>
    <n v="0.99773999999999996"/>
    <n v="3.22"/>
    <n v="0.76"/>
    <n v="11.4"/>
    <n v="6"/>
    <x v="0"/>
    <s v="High"/>
    <n v="22.900000000000002"/>
    <n v="288"/>
    <n v="7"/>
    <x v="1"/>
  </r>
  <r>
    <x v="1138"/>
    <n v="7.5"/>
    <n v="0.41"/>
    <n v="0.15"/>
    <n v="3.7"/>
    <n v="0.104"/>
    <n v="29"/>
    <n v="94"/>
    <n v="0.99785999999999997"/>
    <n v="3.14"/>
    <n v="0.57999999999999996"/>
    <n v="9.1"/>
    <n v="5"/>
    <x v="0"/>
    <s v="Normal"/>
    <n v="18.25"/>
    <n v="1468"/>
    <n v="65"/>
    <x v="0"/>
  </r>
  <r>
    <x v="1139"/>
    <n v="8.1999999999999993"/>
    <n v="0.51"/>
    <n v="0.24"/>
    <n v="2"/>
    <n v="7.9000000000000001E-2"/>
    <n v="16"/>
    <n v="86"/>
    <n v="0.99763999999999997"/>
    <n v="3.34"/>
    <n v="0.64"/>
    <n v="9.5"/>
    <n v="6"/>
    <x v="0"/>
    <s v="Normal"/>
    <n v="18.940000000000001"/>
    <n v="1184"/>
    <n v="70"/>
    <x v="0"/>
  </r>
  <r>
    <x v="1140"/>
    <n v="7.3"/>
    <n v="0.4"/>
    <n v="0.3"/>
    <n v="1.7"/>
    <n v="0.08"/>
    <n v="33"/>
    <n v="79"/>
    <n v="0.99690000000000001"/>
    <n v="3.41"/>
    <n v="0.65"/>
    <n v="9.5"/>
    <n v="6"/>
    <x v="0"/>
    <s v="Normal"/>
    <n v="19.175000000000001"/>
    <n v="1096"/>
    <n v="46"/>
    <x v="0"/>
  </r>
  <r>
    <x v="1141"/>
    <n v="8.1999999999999993"/>
    <n v="0.38"/>
    <n v="0.32"/>
    <n v="2.5"/>
    <n v="0.08"/>
    <n v="24"/>
    <n v="71"/>
    <n v="0.99624000000000001"/>
    <n v="3.27"/>
    <n v="0.85"/>
    <n v="11"/>
    <n v="6"/>
    <x v="0"/>
    <s v="Normal"/>
    <n v="22.514999999999997"/>
    <n v="364"/>
    <n v="47"/>
    <x v="1"/>
  </r>
  <r>
    <x v="1142"/>
    <n v="6.9"/>
    <n v="0.45"/>
    <n v="0.11"/>
    <n v="2.4"/>
    <n v="4.2999999999999997E-2"/>
    <n v="6"/>
    <n v="12"/>
    <n v="0.99353999999999998"/>
    <n v="3.3"/>
    <n v="0.65"/>
    <n v="11.4"/>
    <n v="6"/>
    <x v="0"/>
    <s v="Normal"/>
    <n v="22.875000000000004"/>
    <n v="294"/>
    <n v="6"/>
    <x v="1"/>
  </r>
  <r>
    <x v="1143"/>
    <n v="7"/>
    <n v="0.22"/>
    <n v="0.3"/>
    <n v="1.8"/>
    <n v="6.5000000000000002E-2"/>
    <n v="16"/>
    <n v="20"/>
    <n v="0.99672000000000005"/>
    <n v="3.61"/>
    <n v="0.82"/>
    <n v="10"/>
    <n v="6"/>
    <x v="0"/>
    <s v="Normal"/>
    <n v="20.79"/>
    <n v="697"/>
    <n v="4"/>
    <x v="1"/>
  </r>
  <r>
    <x v="1144"/>
    <n v="7.3"/>
    <n v="0.32"/>
    <n v="0.23"/>
    <n v="2.2999999999999998"/>
    <n v="6.6000000000000003E-2"/>
    <n v="35"/>
    <n v="70"/>
    <n v="0.99587999999999999"/>
    <n v="3.43"/>
    <n v="0.62"/>
    <n v="10.1"/>
    <n v="5"/>
    <x v="0"/>
    <s v="Normal"/>
    <n v="20.49"/>
    <n v="755"/>
    <n v="35"/>
    <x v="1"/>
  </r>
  <r>
    <x v="1145"/>
    <n v="8.1999999999999993"/>
    <n v="0.2"/>
    <n v="0.43"/>
    <n v="2.5"/>
    <n v="7.5999999999999998E-2"/>
    <n v="31"/>
    <n v="51"/>
    <n v="0.99672000000000005"/>
    <n v="3.53"/>
    <n v="0.81"/>
    <n v="10.4"/>
    <n v="6"/>
    <x v="0"/>
    <s v="Normal"/>
    <n v="21.615000000000002"/>
    <n v="522"/>
    <n v="20"/>
    <x v="1"/>
  </r>
  <r>
    <x v="1146"/>
    <n v="7.8"/>
    <n v="0.5"/>
    <n v="0.12"/>
    <n v="1.8"/>
    <n v="0.17799999999999999"/>
    <n v="6"/>
    <n v="21"/>
    <n v="0.996"/>
    <n v="3.28"/>
    <n v="0.87"/>
    <n v="9.8000000000000007"/>
    <n v="6"/>
    <x v="0"/>
    <s v="Normal"/>
    <n v="19.905000000000001"/>
    <n v="878"/>
    <n v="15"/>
    <x v="0"/>
  </r>
  <r>
    <x v="1147"/>
    <n v="10"/>
    <n v="0.41"/>
    <n v="0.45"/>
    <n v="6.2"/>
    <n v="7.0999999999999994E-2"/>
    <n v="6"/>
    <n v="14"/>
    <n v="0.99702000000000002"/>
    <n v="3.21"/>
    <n v="0.49"/>
    <n v="11.8"/>
    <n v="7"/>
    <x v="1"/>
    <s v="High"/>
    <n v="23.515000000000001"/>
    <n v="218"/>
    <n v="8"/>
    <x v="1"/>
  </r>
  <r>
    <x v="1148"/>
    <n v="7.8"/>
    <n v="0.39"/>
    <n v="0.42"/>
    <n v="2"/>
    <n v="8.5999999999999993E-2"/>
    <n v="9"/>
    <n v="21"/>
    <n v="0.99526000000000003"/>
    <n v="3.39"/>
    <n v="0.66"/>
    <n v="11.6"/>
    <n v="6"/>
    <x v="0"/>
    <s v="Normal"/>
    <n v="23.409999999999997"/>
    <n v="228"/>
    <n v="12"/>
    <x v="1"/>
  </r>
  <r>
    <x v="1149"/>
    <n v="10"/>
    <n v="0.35"/>
    <n v="0.47"/>
    <n v="2"/>
    <n v="6.0999999999999999E-2"/>
    <n v="6"/>
    <n v="11"/>
    <n v="0.99585000000000001"/>
    <n v="3.23"/>
    <n v="0.52"/>
    <n v="12"/>
    <n v="6"/>
    <x v="0"/>
    <s v="High"/>
    <n v="24.080000000000002"/>
    <n v="167"/>
    <n v="5"/>
    <x v="1"/>
  </r>
  <r>
    <x v="1150"/>
    <n v="8.1999999999999993"/>
    <n v="0.33"/>
    <n v="0.32"/>
    <n v="2.8"/>
    <n v="6.7000000000000004E-2"/>
    <n v="4"/>
    <n v="12"/>
    <n v="0.99473"/>
    <n v="3.3"/>
    <n v="0.76"/>
    <n v="12.8"/>
    <n v="7"/>
    <x v="1"/>
    <s v="Normal"/>
    <n v="26.080000000000002"/>
    <n v="30"/>
    <n v="8"/>
    <x v="1"/>
  </r>
  <r>
    <x v="1151"/>
    <n v="6.1"/>
    <n v="0.57999999999999996"/>
    <n v="0.23"/>
    <n v="2.5"/>
    <n v="4.3999999999999997E-2"/>
    <n v="16"/>
    <n v="70"/>
    <n v="0.99351999999999996"/>
    <n v="3.46"/>
    <n v="0.65"/>
    <n v="12.5"/>
    <n v="6"/>
    <x v="0"/>
    <s v="Normal"/>
    <n v="24.815000000000001"/>
    <n v="102"/>
    <n v="54"/>
    <x v="1"/>
  </r>
  <r>
    <x v="1152"/>
    <n v="8.3000000000000007"/>
    <n v="0.6"/>
    <n v="0.25"/>
    <n v="2.2000000000000002"/>
    <n v="0.11799999999999999"/>
    <n v="9"/>
    <n v="38"/>
    <n v="0.99616000000000005"/>
    <n v="3.15"/>
    <n v="0.53"/>
    <n v="9.8000000000000007"/>
    <n v="5"/>
    <x v="0"/>
    <s v="Normal"/>
    <n v="19.195000000000004"/>
    <n v="1083"/>
    <n v="29"/>
    <x v="0"/>
  </r>
  <r>
    <x v="1153"/>
    <n v="9.6"/>
    <n v="0.42"/>
    <n v="0.35"/>
    <n v="2.1"/>
    <n v="8.3000000000000004E-2"/>
    <n v="17"/>
    <n v="38"/>
    <n v="0.99621999999999999"/>
    <n v="3.23"/>
    <n v="0.66"/>
    <n v="11.1"/>
    <n v="6"/>
    <x v="0"/>
    <s v="High"/>
    <n v="22.349999999999998"/>
    <n v="400"/>
    <n v="21"/>
    <x v="1"/>
  </r>
  <r>
    <x v="1154"/>
    <n v="6.6"/>
    <n v="0.57999999999999996"/>
    <n v="0"/>
    <n v="2.2000000000000002"/>
    <n v="0.1"/>
    <n v="50"/>
    <n v="63"/>
    <n v="0.99543999999999999"/>
    <n v="3.59"/>
    <n v="0.68"/>
    <n v="11.4"/>
    <n v="6"/>
    <x v="0"/>
    <s v="Normal"/>
    <n v="22.66"/>
    <n v="332"/>
    <n v="13"/>
    <x v="1"/>
  </r>
  <r>
    <x v="1155"/>
    <n v="8.3000000000000007"/>
    <n v="0.6"/>
    <n v="0.25"/>
    <n v="2.2000000000000002"/>
    <n v="0.11799999999999999"/>
    <n v="9"/>
    <n v="38"/>
    <n v="0.99616000000000005"/>
    <n v="3.15"/>
    <n v="0.53"/>
    <n v="9.8000000000000007"/>
    <n v="5"/>
    <x v="0"/>
    <s v="Normal"/>
    <n v="19.195000000000004"/>
    <n v="1083"/>
    <n v="29"/>
    <x v="0"/>
  </r>
  <r>
    <x v="1156"/>
    <n v="8.5"/>
    <n v="0.18"/>
    <n v="0.51"/>
    <n v="1.75"/>
    <n v="7.0999999999999994E-2"/>
    <n v="45"/>
    <n v="88"/>
    <n v="0.99524000000000001"/>
    <n v="3.33"/>
    <n v="0.76"/>
    <n v="11.8"/>
    <n v="7"/>
    <x v="1"/>
    <s v="Normal"/>
    <n v="24.380000000000003"/>
    <n v="143"/>
    <n v="43"/>
    <x v="1"/>
  </r>
  <r>
    <x v="1157"/>
    <n v="5.0999999999999996"/>
    <n v="0.51"/>
    <n v="0.18"/>
    <n v="2.1"/>
    <n v="4.2000000000000003E-2"/>
    <n v="16"/>
    <n v="101"/>
    <n v="0.99239999999999995"/>
    <n v="3.46"/>
    <n v="0.87"/>
    <n v="12.9"/>
    <n v="7"/>
    <x v="1"/>
    <s v="Normal"/>
    <n v="26.085000000000001"/>
    <n v="29"/>
    <n v="85"/>
    <x v="1"/>
  </r>
  <r>
    <x v="1158"/>
    <n v="6.7"/>
    <n v="0.41"/>
    <n v="0.43"/>
    <n v="2.8"/>
    <n v="7.5999999999999998E-2"/>
    <n v="22"/>
    <n v="54"/>
    <n v="0.99572000000000005"/>
    <n v="3.42"/>
    <n v="1.1599999999999999"/>
    <n v="10.6"/>
    <n v="6"/>
    <x v="0"/>
    <s v="Normal"/>
    <n v="22.119999999999997"/>
    <n v="437"/>
    <n v="32"/>
    <x v="1"/>
  </r>
  <r>
    <x v="1159"/>
    <n v="10.199999999999999"/>
    <n v="0.41"/>
    <n v="0.43"/>
    <n v="2.2000000000000002"/>
    <n v="0.11"/>
    <n v="11"/>
    <n v="37"/>
    <n v="0.99728000000000006"/>
    <n v="3.16"/>
    <n v="0.67"/>
    <n v="10.8"/>
    <n v="5"/>
    <x v="0"/>
    <s v="High"/>
    <n v="21.785"/>
    <n v="484"/>
    <n v="26"/>
    <x v="0"/>
  </r>
  <r>
    <x v="1160"/>
    <n v="10.6"/>
    <n v="0.36"/>
    <n v="0.56999999999999995"/>
    <n v="2.2999999999999998"/>
    <n v="8.6999999999999994E-2"/>
    <n v="6"/>
    <n v="20"/>
    <n v="0.99675999999999998"/>
    <n v="3.14"/>
    <n v="0.72"/>
    <n v="11.1"/>
    <n v="7"/>
    <x v="1"/>
    <s v="High"/>
    <n v="22.560000000000002"/>
    <n v="348"/>
    <n v="14"/>
    <x v="0"/>
  </r>
  <r>
    <x v="1161"/>
    <n v="8.8000000000000007"/>
    <n v="0.45"/>
    <n v="0.43"/>
    <n v="1.4"/>
    <n v="7.5999999999999998E-2"/>
    <n v="12"/>
    <n v="21"/>
    <n v="0.99551000000000001"/>
    <n v="3.21"/>
    <n v="0.75"/>
    <n v="10.199999999999999"/>
    <n v="6"/>
    <x v="0"/>
    <s v="High"/>
    <n v="20.625"/>
    <n v="736"/>
    <n v="9"/>
    <x v="1"/>
  </r>
  <r>
    <x v="1162"/>
    <n v="8.5"/>
    <n v="0.32"/>
    <n v="0.42"/>
    <n v="2.2999999999999998"/>
    <n v="7.4999999999999997E-2"/>
    <n v="12"/>
    <n v="19"/>
    <n v="0.99434"/>
    <n v="3.14"/>
    <n v="0.71"/>
    <n v="11.8"/>
    <n v="7"/>
    <x v="1"/>
    <s v="High"/>
    <n v="24.025000000000002"/>
    <n v="177"/>
    <n v="7"/>
    <x v="0"/>
  </r>
  <r>
    <x v="1163"/>
    <n v="9"/>
    <n v="0.78500000000000003"/>
    <n v="0.24"/>
    <n v="1.7"/>
    <n v="7.8E-2"/>
    <n v="10"/>
    <n v="21"/>
    <n v="0.99692000000000003"/>
    <n v="3.29"/>
    <n v="0.67"/>
    <n v="10"/>
    <n v="5"/>
    <x v="0"/>
    <s v="High"/>
    <n v="19.434999999999999"/>
    <n v="996"/>
    <n v="11"/>
    <x v="1"/>
  </r>
  <r>
    <x v="1164"/>
    <n v="9"/>
    <n v="0.78500000000000003"/>
    <n v="0.24"/>
    <n v="1.7"/>
    <n v="7.8E-2"/>
    <n v="10"/>
    <n v="21"/>
    <n v="0.99692000000000003"/>
    <n v="3.29"/>
    <n v="0.67"/>
    <n v="10"/>
    <n v="5"/>
    <x v="0"/>
    <s v="High"/>
    <n v="19.434999999999999"/>
    <n v="996"/>
    <n v="11"/>
    <x v="1"/>
  </r>
  <r>
    <x v="1165"/>
    <n v="8.5"/>
    <n v="0.44"/>
    <n v="0.5"/>
    <n v="1.9"/>
    <n v="0.36899999999999999"/>
    <n v="15"/>
    <n v="38"/>
    <n v="0.99634"/>
    <n v="3.01"/>
    <n v="1.1000000000000001"/>
    <n v="9.4"/>
    <n v="5"/>
    <x v="0"/>
    <s v="High"/>
    <n v="19.57"/>
    <n v="959"/>
    <n v="23"/>
    <x v="0"/>
  </r>
  <r>
    <x v="1166"/>
    <n v="9.9"/>
    <n v="0.54"/>
    <n v="0.26"/>
    <n v="2"/>
    <n v="0.111"/>
    <n v="7"/>
    <n v="60"/>
    <n v="0.99709000000000003"/>
    <n v="2.94"/>
    <n v="0.98"/>
    <n v="10.199999999999999"/>
    <n v="5"/>
    <x v="0"/>
    <s v="High"/>
    <n v="20.79"/>
    <n v="697"/>
    <n v="53"/>
    <x v="0"/>
  </r>
  <r>
    <x v="1167"/>
    <n v="8.1999999999999993"/>
    <n v="0.33"/>
    <n v="0.39"/>
    <n v="2.5"/>
    <n v="7.3999999999999996E-2"/>
    <n v="29"/>
    <n v="48"/>
    <n v="0.99528000000000005"/>
    <n v="3.32"/>
    <n v="0.88"/>
    <n v="12.4"/>
    <n v="7"/>
    <x v="1"/>
    <s v="Normal"/>
    <n v="25.46"/>
    <n v="59"/>
    <n v="19"/>
    <x v="1"/>
  </r>
  <r>
    <x v="1168"/>
    <n v="6.5"/>
    <n v="0.34"/>
    <n v="0.27"/>
    <n v="2.8"/>
    <n v="6.7000000000000004E-2"/>
    <n v="8"/>
    <n v="44"/>
    <n v="0.99383999999999995"/>
    <n v="3.21"/>
    <n v="0.56000000000000005"/>
    <n v="12"/>
    <n v="6"/>
    <x v="0"/>
    <s v="Normal"/>
    <n v="24.16"/>
    <n v="161"/>
    <n v="36"/>
    <x v="1"/>
  </r>
  <r>
    <x v="1169"/>
    <n v="7.6"/>
    <n v="0.5"/>
    <n v="0.28999999999999998"/>
    <n v="2.2999999999999998"/>
    <n v="8.5999999999999993E-2"/>
    <n v="5"/>
    <n v="14"/>
    <n v="0.99502000000000002"/>
    <n v="3.32"/>
    <n v="0.62"/>
    <n v="11.5"/>
    <n v="6"/>
    <x v="0"/>
    <s v="Normal"/>
    <n v="22.93"/>
    <n v="283"/>
    <n v="9"/>
    <x v="1"/>
  </r>
  <r>
    <x v="1170"/>
    <n v="9.1999999999999993"/>
    <n v="0.36"/>
    <n v="0.34"/>
    <n v="1.6"/>
    <n v="6.2E-2"/>
    <n v="5"/>
    <n v="12"/>
    <n v="0.99666999999999994"/>
    <n v="3.2"/>
    <n v="0.67"/>
    <n v="10.5"/>
    <n v="6"/>
    <x v="0"/>
    <s v="High"/>
    <n v="21.285"/>
    <n v="586"/>
    <n v="7"/>
    <x v="1"/>
  </r>
  <r>
    <x v="1171"/>
    <n v="7.1"/>
    <n v="0.59"/>
    <n v="0"/>
    <n v="2.2000000000000002"/>
    <n v="7.8E-2"/>
    <n v="26"/>
    <n v="44"/>
    <n v="0.99521999999999999"/>
    <n v="3.42"/>
    <n v="0.68"/>
    <n v="10.8"/>
    <n v="6"/>
    <x v="0"/>
    <s v="Normal"/>
    <n v="21.44"/>
    <n v="551"/>
    <n v="18"/>
    <x v="1"/>
  </r>
  <r>
    <x v="1172"/>
    <n v="9.6999999999999993"/>
    <n v="0.42"/>
    <n v="0.46"/>
    <n v="2.1"/>
    <n v="7.3999999999999996E-2"/>
    <n v="5"/>
    <n v="16"/>
    <n v="0.99648999999999999"/>
    <n v="3.27"/>
    <n v="0.74"/>
    <n v="12.3"/>
    <n v="6"/>
    <x v="0"/>
    <s v="High"/>
    <n v="24.87"/>
    <n v="98"/>
    <n v="11"/>
    <x v="1"/>
  </r>
  <r>
    <x v="1173"/>
    <n v="7.6"/>
    <n v="0.36"/>
    <n v="0.31"/>
    <n v="1.7"/>
    <n v="7.9000000000000001E-2"/>
    <n v="26"/>
    <n v="65"/>
    <n v="0.99716000000000005"/>
    <n v="3.46"/>
    <n v="0.62"/>
    <n v="9.5"/>
    <n v="6"/>
    <x v="0"/>
    <s v="Normal"/>
    <n v="19.21"/>
    <n v="1075"/>
    <n v="39"/>
    <x v="0"/>
  </r>
  <r>
    <x v="1174"/>
    <n v="7.6"/>
    <n v="0.36"/>
    <n v="0.31"/>
    <n v="1.7"/>
    <n v="7.9000000000000001E-2"/>
    <n v="26"/>
    <n v="65"/>
    <n v="0.99716000000000005"/>
    <n v="3.46"/>
    <n v="0.62"/>
    <n v="9.5"/>
    <n v="6"/>
    <x v="0"/>
    <s v="Normal"/>
    <n v="19.21"/>
    <n v="1075"/>
    <n v="39"/>
    <x v="0"/>
  </r>
  <r>
    <x v="1175"/>
    <n v="6.5"/>
    <n v="0.61"/>
    <n v="0"/>
    <n v="2.2000000000000002"/>
    <n v="9.5000000000000001E-2"/>
    <n v="48"/>
    <n v="59"/>
    <n v="0.99541000000000002"/>
    <n v="3.61"/>
    <n v="0.7"/>
    <n v="11.5"/>
    <n v="6"/>
    <x v="0"/>
    <s v="Normal"/>
    <n v="22.830000000000002"/>
    <n v="308"/>
    <n v="11"/>
    <x v="1"/>
  </r>
  <r>
    <x v="1176"/>
    <n v="6.5"/>
    <n v="0.88"/>
    <n v="0.03"/>
    <n v="5.6"/>
    <n v="7.9000000000000001E-2"/>
    <n v="23"/>
    <n v="47"/>
    <n v="0.99572000000000005"/>
    <n v="3.58"/>
    <n v="0.5"/>
    <n v="11.2"/>
    <n v="4"/>
    <x v="2"/>
    <s v="Normal"/>
    <n v="21.389999999999997"/>
    <n v="561"/>
    <n v="24"/>
    <x v="1"/>
  </r>
  <r>
    <x v="1177"/>
    <n v="7.1"/>
    <n v="0.66"/>
    <n v="0"/>
    <n v="2.4"/>
    <n v="5.1999999999999998E-2"/>
    <n v="6"/>
    <n v="11"/>
    <n v="0.99317999999999995"/>
    <n v="3.35"/>
    <n v="0.66"/>
    <n v="12.7"/>
    <n v="7"/>
    <x v="1"/>
    <s v="Normal"/>
    <n v="25.069999999999997"/>
    <n v="89"/>
    <n v="5"/>
    <x v="1"/>
  </r>
  <r>
    <x v="1178"/>
    <n v="5.6"/>
    <n v="0.91500000000000004"/>
    <n v="0"/>
    <n v="2.1"/>
    <n v="4.1000000000000002E-2"/>
    <n v="17"/>
    <n v="78"/>
    <n v="0.99346000000000001"/>
    <n v="3.68"/>
    <n v="0.73"/>
    <n v="11.4"/>
    <n v="5"/>
    <x v="0"/>
    <s v="Normal"/>
    <n v="22.064999999999998"/>
    <n v="446"/>
    <n v="61"/>
    <x v="1"/>
  </r>
  <r>
    <x v="1179"/>
    <n v="8.1999999999999993"/>
    <n v="0.35"/>
    <n v="0.33"/>
    <n v="2.4"/>
    <n v="7.5999999999999998E-2"/>
    <n v="11"/>
    <n v="47"/>
    <n v="0.99599000000000004"/>
    <n v="3.27"/>
    <n v="0.81"/>
    <n v="11"/>
    <n v="6"/>
    <x v="0"/>
    <s v="Normal"/>
    <n v="22.515000000000001"/>
    <n v="362"/>
    <n v="36"/>
    <x v="1"/>
  </r>
  <r>
    <x v="1180"/>
    <n v="8.1999999999999993"/>
    <n v="0.35"/>
    <n v="0.33"/>
    <n v="2.4"/>
    <n v="7.5999999999999998E-2"/>
    <n v="11"/>
    <n v="47"/>
    <n v="0.99599000000000004"/>
    <n v="3.27"/>
    <n v="0.81"/>
    <n v="11"/>
    <n v="6"/>
    <x v="0"/>
    <s v="Normal"/>
    <n v="22.515000000000001"/>
    <n v="362"/>
    <n v="36"/>
    <x v="1"/>
  </r>
  <r>
    <x v="1181"/>
    <n v="9.8000000000000007"/>
    <n v="0.39"/>
    <n v="0.43"/>
    <n v="1.65"/>
    <n v="6.8000000000000005E-2"/>
    <n v="5"/>
    <n v="11"/>
    <n v="0.99478"/>
    <n v="3.19"/>
    <n v="0.46"/>
    <n v="11.4"/>
    <n v="5"/>
    <x v="0"/>
    <s v="High"/>
    <n v="22.71"/>
    <n v="324"/>
    <n v="6"/>
    <x v="0"/>
  </r>
  <r>
    <x v="1182"/>
    <n v="10.199999999999999"/>
    <n v="0.4"/>
    <n v="0.4"/>
    <n v="2.5"/>
    <n v="6.8000000000000005E-2"/>
    <n v="41"/>
    <n v="54"/>
    <n v="0.99753999999999998"/>
    <n v="3.38"/>
    <n v="0.86"/>
    <n v="10.5"/>
    <n v="6"/>
    <x v="0"/>
    <s v="Normal"/>
    <n v="21.49"/>
    <n v="543"/>
    <n v="13"/>
    <x v="1"/>
  </r>
  <r>
    <x v="1183"/>
    <n v="6.8"/>
    <n v="0.66"/>
    <n v="7.0000000000000007E-2"/>
    <n v="1.6"/>
    <n v="7.0000000000000007E-2"/>
    <n v="16"/>
    <n v="61"/>
    <n v="0.99572000000000005"/>
    <n v="3.29"/>
    <n v="0.6"/>
    <n v="9.3000000000000007"/>
    <n v="5"/>
    <x v="0"/>
    <s v="Normal"/>
    <n v="18.18"/>
    <n v="1484"/>
    <n v="45"/>
    <x v="0"/>
  </r>
  <r>
    <x v="1184"/>
    <n v="6.7"/>
    <n v="0.64"/>
    <n v="0.23"/>
    <n v="2.1"/>
    <n v="0.08"/>
    <n v="11"/>
    <n v="119"/>
    <n v="0.99538000000000004"/>
    <n v="3.36"/>
    <n v="0.7"/>
    <n v="10.9"/>
    <n v="5"/>
    <x v="0"/>
    <s v="Normal"/>
    <n v="21.57"/>
    <n v="532"/>
    <n v="108"/>
    <x v="1"/>
  </r>
  <r>
    <x v="1185"/>
    <n v="7"/>
    <n v="0.43"/>
    <n v="0.3"/>
    <n v="2"/>
    <n v="8.5000000000000006E-2"/>
    <n v="6"/>
    <n v="39"/>
    <n v="0.99346000000000001"/>
    <n v="3.33"/>
    <n v="0.46"/>
    <n v="11.9"/>
    <n v="6"/>
    <x v="0"/>
    <s v="Normal"/>
    <n v="23.630000000000003"/>
    <n v="206"/>
    <n v="33"/>
    <x v="1"/>
  </r>
  <r>
    <x v="1186"/>
    <n v="6.6"/>
    <n v="0.8"/>
    <n v="0.03"/>
    <n v="7.8"/>
    <n v="7.9000000000000001E-2"/>
    <n v="6"/>
    <n v="12"/>
    <n v="0.99629999999999996"/>
    <n v="3.52"/>
    <n v="0.5"/>
    <n v="12.2"/>
    <n v="5"/>
    <x v="0"/>
    <s v="Normal"/>
    <n v="23.549999999999997"/>
    <n v="213"/>
    <n v="6"/>
    <x v="1"/>
  </r>
  <r>
    <x v="1187"/>
    <n v="7"/>
    <n v="0.43"/>
    <n v="0.3"/>
    <n v="2"/>
    <n v="8.5000000000000006E-2"/>
    <n v="6"/>
    <n v="39"/>
    <n v="0.99346000000000001"/>
    <n v="3.33"/>
    <n v="0.46"/>
    <n v="11.9"/>
    <n v="6"/>
    <x v="0"/>
    <s v="Normal"/>
    <n v="23.630000000000003"/>
    <n v="206"/>
    <n v="33"/>
    <x v="1"/>
  </r>
  <r>
    <x v="1188"/>
    <n v="6.7"/>
    <n v="0.64"/>
    <n v="0.23"/>
    <n v="2.1"/>
    <n v="0.08"/>
    <n v="11"/>
    <n v="119"/>
    <n v="0.99538000000000004"/>
    <n v="3.36"/>
    <n v="0.7"/>
    <n v="10.9"/>
    <n v="5"/>
    <x v="0"/>
    <s v="Normal"/>
    <n v="21.57"/>
    <n v="532"/>
    <n v="108"/>
    <x v="1"/>
  </r>
  <r>
    <x v="1189"/>
    <n v="8.8000000000000007"/>
    <n v="0.95499999999999996"/>
    <n v="0.05"/>
    <n v="1.8"/>
    <n v="7.4999999999999997E-2"/>
    <n v="5"/>
    <n v="19"/>
    <n v="0.99616000000000005"/>
    <n v="3.3"/>
    <n v="0.44"/>
    <n v="9.6"/>
    <n v="4"/>
    <x v="2"/>
    <s v="High"/>
    <n v="17.95"/>
    <n v="1528"/>
    <n v="14"/>
    <x v="0"/>
  </r>
  <r>
    <x v="1190"/>
    <n v="9.1"/>
    <n v="0.4"/>
    <n v="0.56999999999999995"/>
    <n v="4.5999999999999996"/>
    <n v="0.08"/>
    <n v="6"/>
    <n v="20"/>
    <n v="0.99651999999999996"/>
    <n v="3.28"/>
    <n v="0.56999999999999995"/>
    <n v="12.5"/>
    <n v="6"/>
    <x v="0"/>
    <s v="High"/>
    <n v="25.055"/>
    <n v="90"/>
    <n v="14"/>
    <x v="1"/>
  </r>
  <r>
    <x v="1191"/>
    <n v="6.5"/>
    <n v="0.88500000000000001"/>
    <n v="0"/>
    <n v="2.2999999999999998"/>
    <n v="0.16600000000000001"/>
    <n v="6"/>
    <n v="12"/>
    <n v="0.99551000000000001"/>
    <n v="3.56"/>
    <n v="0.51"/>
    <n v="10.8"/>
    <n v="5"/>
    <x v="0"/>
    <s v="Normal"/>
    <n v="20.595000000000002"/>
    <n v="739"/>
    <n v="6"/>
    <x v="1"/>
  </r>
  <r>
    <x v="1192"/>
    <n v="7.2"/>
    <n v="0.25"/>
    <n v="0.37"/>
    <n v="2.5"/>
    <n v="6.3E-2"/>
    <n v="11"/>
    <n v="41"/>
    <n v="0.99439"/>
    <n v="3.52"/>
    <n v="0.8"/>
    <n v="12.4"/>
    <n v="7"/>
    <x v="1"/>
    <s v="Normal"/>
    <n v="25.5"/>
    <n v="53"/>
    <n v="30"/>
    <x v="1"/>
  </r>
  <r>
    <x v="1193"/>
    <n v="6.4"/>
    <n v="0.88500000000000001"/>
    <n v="0"/>
    <n v="2.2999999999999998"/>
    <n v="0.16600000000000001"/>
    <n v="6"/>
    <n v="12"/>
    <n v="0.99551000000000001"/>
    <n v="3.56"/>
    <n v="0.51"/>
    <n v="10.8"/>
    <n v="5"/>
    <x v="0"/>
    <s v="Normal"/>
    <n v="20.595000000000002"/>
    <n v="739"/>
    <n v="6"/>
    <x v="1"/>
  </r>
  <r>
    <x v="1194"/>
    <n v="7"/>
    <n v="0.745"/>
    <n v="0.12"/>
    <n v="1.8"/>
    <n v="0.114"/>
    <n v="15"/>
    <n v="64"/>
    <n v="0.99587999999999999"/>
    <n v="3.22"/>
    <n v="0.59"/>
    <n v="9.5"/>
    <n v="6"/>
    <x v="0"/>
    <s v="Normal"/>
    <n v="18.395000000000003"/>
    <n v="1416"/>
    <n v="49"/>
    <x v="0"/>
  </r>
  <r>
    <x v="1195"/>
    <n v="6.2"/>
    <n v="0.43"/>
    <n v="0.22"/>
    <n v="1.8"/>
    <n v="7.8E-2"/>
    <n v="21"/>
    <n v="56"/>
    <n v="0.99633000000000005"/>
    <n v="3.52"/>
    <n v="0.6"/>
    <n v="9.5"/>
    <n v="6"/>
    <x v="0"/>
    <s v="Normal"/>
    <n v="19.04"/>
    <n v="1150"/>
    <n v="35"/>
    <x v="0"/>
  </r>
  <r>
    <x v="1196"/>
    <n v="7.9"/>
    <n v="0.57999999999999996"/>
    <n v="0.23"/>
    <n v="2.2999999999999998"/>
    <n v="7.5999999999999998E-2"/>
    <n v="23"/>
    <n v="94"/>
    <n v="0.99685999999999997"/>
    <n v="3.21"/>
    <n v="0.57999999999999996"/>
    <n v="9.5"/>
    <n v="6"/>
    <x v="0"/>
    <s v="Normal"/>
    <n v="18.71"/>
    <n v="1283"/>
    <n v="71"/>
    <x v="0"/>
  </r>
  <r>
    <x v="1197"/>
    <n v="7.7"/>
    <n v="0.56999999999999995"/>
    <n v="0.21"/>
    <n v="1.5"/>
    <n v="6.9000000000000006E-2"/>
    <n v="4"/>
    <n v="9"/>
    <n v="0.99458000000000002"/>
    <n v="3.16"/>
    <n v="0.54"/>
    <n v="9.8000000000000007"/>
    <n v="6"/>
    <x v="0"/>
    <s v="Normal"/>
    <n v="19.27"/>
    <n v="1053"/>
    <n v="5"/>
    <x v="0"/>
  </r>
  <r>
    <x v="1198"/>
    <n v="7.7"/>
    <n v="0.26"/>
    <n v="0.26"/>
    <n v="2"/>
    <n v="5.1999999999999998E-2"/>
    <n v="19"/>
    <n v="77"/>
    <n v="0.99509999999999998"/>
    <n v="3.15"/>
    <n v="0.79"/>
    <n v="10.9"/>
    <n v="6"/>
    <x v="0"/>
    <s v="Normal"/>
    <n v="22.465"/>
    <n v="373"/>
    <n v="58"/>
    <x v="0"/>
  </r>
  <r>
    <x v="1199"/>
    <n v="7.9"/>
    <n v="0.57999999999999996"/>
    <n v="0.23"/>
    <n v="2.2999999999999998"/>
    <n v="7.5999999999999998E-2"/>
    <n v="23"/>
    <n v="94"/>
    <n v="0.99685999999999997"/>
    <n v="3.21"/>
    <n v="0.57999999999999996"/>
    <n v="9.5"/>
    <n v="6"/>
    <x v="0"/>
    <s v="Normal"/>
    <n v="18.71"/>
    <n v="1283"/>
    <n v="71"/>
    <x v="0"/>
  </r>
  <r>
    <x v="1200"/>
    <n v="7.7"/>
    <n v="0.56999999999999995"/>
    <n v="0.21"/>
    <n v="1.5"/>
    <n v="6.9000000000000006E-2"/>
    <n v="4"/>
    <n v="9"/>
    <n v="0.99458000000000002"/>
    <n v="3.16"/>
    <n v="0.54"/>
    <n v="9.8000000000000007"/>
    <n v="6"/>
    <x v="0"/>
    <s v="Normal"/>
    <n v="19.27"/>
    <n v="1053"/>
    <n v="5"/>
    <x v="0"/>
  </r>
  <r>
    <x v="1201"/>
    <n v="7.9"/>
    <n v="0.34"/>
    <n v="0.36"/>
    <n v="1.9"/>
    <n v="6.5000000000000002E-2"/>
    <n v="5"/>
    <n v="10"/>
    <n v="0.99419000000000002"/>
    <n v="3.27"/>
    <n v="0.54"/>
    <n v="11.2"/>
    <n v="7"/>
    <x v="1"/>
    <s v="Normal"/>
    <n v="22.529999999999998"/>
    <n v="359"/>
    <n v="5"/>
    <x v="1"/>
  </r>
  <r>
    <x v="1202"/>
    <n v="8.6"/>
    <n v="0.42"/>
    <n v="0.39"/>
    <n v="1.8"/>
    <n v="6.8000000000000005E-2"/>
    <n v="6"/>
    <n v="12"/>
    <n v="0.99516000000000004"/>
    <n v="3.35"/>
    <n v="0.69"/>
    <n v="11.7"/>
    <n v="8"/>
    <x v="1"/>
    <s v="Normal"/>
    <n v="23.594999999999999"/>
    <n v="208"/>
    <n v="6"/>
    <x v="1"/>
  </r>
  <r>
    <x v="1203"/>
    <n v="9.9"/>
    <n v="0.74"/>
    <n v="0.19"/>
    <n v="5.8"/>
    <n v="0.111"/>
    <n v="33"/>
    <n v="76"/>
    <n v="0.99878"/>
    <n v="3.14"/>
    <n v="0.55000000000000004"/>
    <n v="9.4"/>
    <n v="5"/>
    <x v="0"/>
    <s v="High"/>
    <n v="18.145"/>
    <n v="1488"/>
    <n v="43"/>
    <x v="0"/>
  </r>
  <r>
    <x v="1204"/>
    <n v="7.2"/>
    <n v="0.36"/>
    <n v="0.46"/>
    <n v="2.1"/>
    <n v="7.3999999999999996E-2"/>
    <n v="24"/>
    <n v="44"/>
    <n v="0.99534"/>
    <n v="3.4"/>
    <n v="0.85"/>
    <n v="11"/>
    <n v="7"/>
    <x v="1"/>
    <s v="Normal"/>
    <n v="22.555"/>
    <n v="350"/>
    <n v="20"/>
    <x v="1"/>
  </r>
  <r>
    <x v="1205"/>
    <n v="7.2"/>
    <n v="0.36"/>
    <n v="0.46"/>
    <n v="2.1"/>
    <n v="7.3999999999999996E-2"/>
    <n v="24"/>
    <n v="44"/>
    <n v="0.99534"/>
    <n v="3.4"/>
    <n v="0.85"/>
    <n v="11"/>
    <n v="7"/>
    <x v="1"/>
    <s v="Normal"/>
    <n v="22.555"/>
    <n v="350"/>
    <n v="20"/>
    <x v="1"/>
  </r>
  <r>
    <x v="1206"/>
    <n v="7.2"/>
    <n v="0.36"/>
    <n v="0.46"/>
    <n v="2.1"/>
    <n v="7.3999999999999996E-2"/>
    <n v="24"/>
    <n v="44"/>
    <n v="0.99534"/>
    <n v="3.4"/>
    <n v="0.85"/>
    <n v="11"/>
    <n v="7"/>
    <x v="1"/>
    <s v="Normal"/>
    <n v="22.555"/>
    <n v="350"/>
    <n v="20"/>
    <x v="1"/>
  </r>
  <r>
    <x v="1207"/>
    <n v="9.9"/>
    <n v="0.72"/>
    <n v="0.55000000000000004"/>
    <n v="1.7"/>
    <n v="0.13600000000000001"/>
    <n v="24"/>
    <n v="52"/>
    <n v="0.99751999999999996"/>
    <n v="3.35"/>
    <n v="0.94"/>
    <n v="10"/>
    <n v="5"/>
    <x v="0"/>
    <s v="Normal"/>
    <n v="19.97"/>
    <n v="860"/>
    <n v="28"/>
    <x v="1"/>
  </r>
  <r>
    <x v="1208"/>
    <n v="7.2"/>
    <n v="0.36"/>
    <n v="0.46"/>
    <n v="2.1"/>
    <n v="7.3999999999999996E-2"/>
    <n v="24"/>
    <n v="44"/>
    <n v="0.99534"/>
    <n v="3.4"/>
    <n v="0.85"/>
    <n v="11"/>
    <n v="7"/>
    <x v="1"/>
    <s v="Normal"/>
    <n v="22.555"/>
    <n v="350"/>
    <n v="20"/>
    <x v="1"/>
  </r>
  <r>
    <x v="1209"/>
    <n v="6.2"/>
    <n v="0.39"/>
    <n v="0.43"/>
    <n v="2"/>
    <n v="7.0999999999999994E-2"/>
    <n v="14"/>
    <n v="24"/>
    <n v="0.99428000000000005"/>
    <n v="3.45"/>
    <n v="0.87"/>
    <n v="11.2"/>
    <n v="7"/>
    <x v="1"/>
    <s v="Normal"/>
    <n v="22.924999999999997"/>
    <n v="286"/>
    <n v="10"/>
    <x v="1"/>
  </r>
  <r>
    <x v="1210"/>
    <n v="6.8"/>
    <n v="0.65"/>
    <n v="0.02"/>
    <n v="2.1"/>
    <n v="7.8E-2"/>
    <n v="8"/>
    <n v="15"/>
    <n v="0.99497999999999998"/>
    <n v="3.35"/>
    <n v="0.62"/>
    <n v="10.4"/>
    <n v="6"/>
    <x v="0"/>
    <s v="Normal"/>
    <n v="20.43"/>
    <n v="764"/>
    <n v="7"/>
    <x v="1"/>
  </r>
  <r>
    <x v="1211"/>
    <n v="6.6"/>
    <n v="0.44"/>
    <n v="0.15"/>
    <n v="2.1"/>
    <n v="7.5999999999999998E-2"/>
    <n v="22"/>
    <n v="53"/>
    <n v="0.99570000000000003"/>
    <n v="3.32"/>
    <n v="0.62"/>
    <n v="9.3000000000000007"/>
    <n v="5"/>
    <x v="0"/>
    <s v="Normal"/>
    <n v="18.650000000000002"/>
    <n v="1320"/>
    <n v="31"/>
    <x v="0"/>
  </r>
  <r>
    <x v="1212"/>
    <n v="6.8"/>
    <n v="0.65"/>
    <n v="0.02"/>
    <n v="2.1"/>
    <n v="7.8E-2"/>
    <n v="8"/>
    <n v="15"/>
    <n v="0.99497999999999998"/>
    <n v="3.35"/>
    <n v="0.62"/>
    <n v="10.4"/>
    <n v="6"/>
    <x v="0"/>
    <s v="Normal"/>
    <n v="20.43"/>
    <n v="764"/>
    <n v="7"/>
    <x v="1"/>
  </r>
  <r>
    <x v="1213"/>
    <n v="9.6"/>
    <n v="0.38"/>
    <n v="0.42"/>
    <n v="1.9"/>
    <n v="7.0999999999999994E-2"/>
    <n v="5"/>
    <n v="13"/>
    <n v="0.99658999999999998"/>
    <n v="3.15"/>
    <n v="0.75"/>
    <n v="10.5"/>
    <n v="6"/>
    <x v="0"/>
    <s v="High"/>
    <n v="21.364999999999998"/>
    <n v="566"/>
    <n v="8"/>
    <x v="0"/>
  </r>
  <r>
    <x v="1214"/>
    <n v="10.199999999999999"/>
    <n v="0.33"/>
    <n v="0.46"/>
    <n v="1.9"/>
    <n v="8.1000000000000003E-2"/>
    <n v="6"/>
    <n v="9"/>
    <n v="0.99628000000000005"/>
    <n v="3.1"/>
    <n v="0.48"/>
    <n v="10.4"/>
    <n v="6"/>
    <x v="0"/>
    <s v="High"/>
    <n v="20.86"/>
    <n v="683"/>
    <n v="3"/>
    <x v="0"/>
  </r>
  <r>
    <x v="1215"/>
    <n v="8.8000000000000007"/>
    <n v="0.27"/>
    <n v="0.46"/>
    <n v="2.1"/>
    <n v="9.5000000000000001E-2"/>
    <n v="20"/>
    <n v="29"/>
    <n v="0.99487999999999999"/>
    <n v="3.26"/>
    <n v="0.56000000000000005"/>
    <n v="11.3"/>
    <n v="6"/>
    <x v="0"/>
    <s v="High"/>
    <n v="22.900000000000002"/>
    <n v="288"/>
    <n v="9"/>
    <x v="1"/>
  </r>
  <r>
    <x v="1216"/>
    <n v="7.9"/>
    <n v="0.56999999999999995"/>
    <n v="0.31"/>
    <n v="2"/>
    <n v="7.9000000000000001E-2"/>
    <n v="10"/>
    <n v="79"/>
    <n v="0.99677000000000004"/>
    <n v="3.29"/>
    <n v="0.69"/>
    <n v="9.5"/>
    <n v="6"/>
    <x v="0"/>
    <s v="Normal"/>
    <n v="18.895"/>
    <n v="1205"/>
    <n v="69"/>
    <x v="0"/>
  </r>
  <r>
    <x v="1217"/>
    <n v="8.1999999999999993"/>
    <n v="0.34"/>
    <n v="0.37"/>
    <n v="1.9"/>
    <n v="5.7000000000000002E-2"/>
    <n v="43"/>
    <n v="74"/>
    <n v="0.99407999999999996"/>
    <n v="3.23"/>
    <n v="0.81"/>
    <n v="12"/>
    <n v="6"/>
    <x v="0"/>
    <s v="Normal"/>
    <n v="24.535"/>
    <n v="126"/>
    <n v="31"/>
    <x v="1"/>
  </r>
  <r>
    <x v="1218"/>
    <n v="8.1999999999999993"/>
    <n v="0.4"/>
    <n v="0.31"/>
    <n v="1.9"/>
    <n v="8.2000000000000003E-2"/>
    <n v="8"/>
    <n v="24"/>
    <n v="0.996"/>
    <n v="3.24"/>
    <n v="0.69"/>
    <n v="10.6"/>
    <n v="6"/>
    <x v="0"/>
    <s v="Normal"/>
    <n v="21.434999999999999"/>
    <n v="554"/>
    <n v="16"/>
    <x v="1"/>
  </r>
  <r>
    <x v="1219"/>
    <n v="9"/>
    <n v="0.39"/>
    <n v="0.4"/>
    <n v="1.3"/>
    <n v="4.3999999999999997E-2"/>
    <n v="25"/>
    <n v="50"/>
    <n v="0.99478"/>
    <n v="3.2"/>
    <n v="0.83"/>
    <n v="10.9"/>
    <n v="6"/>
    <x v="0"/>
    <s v="High"/>
    <n v="22.265000000000001"/>
    <n v="411"/>
    <n v="25"/>
    <x v="1"/>
  </r>
  <r>
    <x v="1220"/>
    <n v="10.9"/>
    <n v="0.32"/>
    <n v="0.52"/>
    <n v="1.8"/>
    <n v="0.13200000000000001"/>
    <n v="17"/>
    <n v="44"/>
    <n v="0.99734"/>
    <n v="3.28"/>
    <n v="0.77"/>
    <n v="11.5"/>
    <n v="6"/>
    <x v="0"/>
    <s v="High"/>
    <n v="23.515000000000001"/>
    <n v="218"/>
    <n v="27"/>
    <x v="1"/>
  </r>
  <r>
    <x v="1221"/>
    <n v="10.9"/>
    <n v="0.32"/>
    <n v="0.52"/>
    <n v="1.8"/>
    <n v="0.13200000000000001"/>
    <n v="17"/>
    <n v="44"/>
    <n v="0.99734"/>
    <n v="3.28"/>
    <n v="0.77"/>
    <n v="11.5"/>
    <n v="6"/>
    <x v="0"/>
    <s v="High"/>
    <n v="23.515000000000001"/>
    <n v="218"/>
    <n v="27"/>
    <x v="1"/>
  </r>
  <r>
    <x v="1222"/>
    <n v="8.1"/>
    <n v="0.53"/>
    <n v="0.22"/>
    <n v="2.2000000000000002"/>
    <n v="7.8E-2"/>
    <n v="33"/>
    <n v="89"/>
    <n v="0.99678"/>
    <n v="3.26"/>
    <n v="0.46"/>
    <n v="9.6"/>
    <n v="6"/>
    <x v="0"/>
    <s v="Normal"/>
    <n v="18.830000000000002"/>
    <n v="1232"/>
    <n v="56"/>
    <x v="0"/>
  </r>
  <r>
    <x v="1223"/>
    <n v="10.5"/>
    <n v="0.36"/>
    <n v="0.47"/>
    <n v="2.2000000000000002"/>
    <n v="7.3999999999999996E-2"/>
    <n v="9"/>
    <n v="23"/>
    <n v="0.99638000000000004"/>
    <n v="3.23"/>
    <n v="0.76"/>
    <n v="12"/>
    <n v="6"/>
    <x v="0"/>
    <s v="High"/>
    <n v="24.42"/>
    <n v="134"/>
    <n v="14"/>
    <x v="1"/>
  </r>
  <r>
    <x v="1224"/>
    <n v="12.6"/>
    <n v="0.39"/>
    <n v="0.49"/>
    <n v="2.5"/>
    <n v="0.08"/>
    <n v="8"/>
    <n v="20"/>
    <n v="0.99919999999999998"/>
    <n v="3.07"/>
    <n v="0.82"/>
    <n v="10.3"/>
    <n v="6"/>
    <x v="0"/>
    <s v="High"/>
    <n v="21.05"/>
    <n v="643"/>
    <n v="12"/>
    <x v="0"/>
  </r>
  <r>
    <x v="1225"/>
    <n v="9.1999999999999993"/>
    <n v="0.46"/>
    <n v="0.23"/>
    <n v="2.6"/>
    <n v="9.0999999999999998E-2"/>
    <n v="18"/>
    <n v="77"/>
    <n v="0.99922"/>
    <n v="3.15"/>
    <n v="0.51"/>
    <n v="9.4"/>
    <n v="5"/>
    <x v="0"/>
    <s v="High"/>
    <n v="18.645"/>
    <n v="1326"/>
    <n v="59"/>
    <x v="0"/>
  </r>
  <r>
    <x v="1226"/>
    <n v="7.5"/>
    <n v="0.57999999999999996"/>
    <n v="0.03"/>
    <n v="4.0999999999999996"/>
    <n v="0.08"/>
    <n v="27"/>
    <n v="46"/>
    <n v="0.99592000000000003"/>
    <n v="3.02"/>
    <n v="0.47"/>
    <n v="9.1999999999999993"/>
    <n v="5"/>
    <x v="0"/>
    <s v="Normal"/>
    <n v="17.944999999999997"/>
    <n v="1530"/>
    <n v="19"/>
    <x v="0"/>
  </r>
  <r>
    <x v="1227"/>
    <n v="9"/>
    <n v="0.57999999999999996"/>
    <n v="0.25"/>
    <n v="2"/>
    <n v="0.104"/>
    <n v="8"/>
    <n v="21"/>
    <n v="0.99768999999999997"/>
    <n v="3.27"/>
    <n v="0.72"/>
    <n v="9.6"/>
    <n v="5"/>
    <x v="0"/>
    <s v="High"/>
    <n v="19.12"/>
    <n v="1115"/>
    <n v="13"/>
    <x v="0"/>
  </r>
  <r>
    <x v="1228"/>
    <n v="5.0999999999999996"/>
    <n v="0.42"/>
    <n v="0"/>
    <n v="1.8"/>
    <n v="4.3999999999999997E-2"/>
    <n v="18"/>
    <n v="88"/>
    <n v="0.99156999999999995"/>
    <n v="3.68"/>
    <n v="0.73"/>
    <n v="13.6"/>
    <n v="7"/>
    <x v="1"/>
    <s v="Normal"/>
    <n v="27.454999999999998"/>
    <n v="12"/>
    <n v="70"/>
    <x v="1"/>
  </r>
  <r>
    <x v="1229"/>
    <n v="7.6"/>
    <n v="0.43"/>
    <n v="0.28999999999999998"/>
    <n v="2.1"/>
    <n v="7.4999999999999997E-2"/>
    <n v="19"/>
    <n v="66"/>
    <n v="0.99717999999999996"/>
    <n v="3.4"/>
    <n v="0.64"/>
    <n v="9.5"/>
    <n v="5"/>
    <x v="0"/>
    <s v="Normal"/>
    <n v="19.100000000000001"/>
    <n v="1121"/>
    <n v="47"/>
    <x v="0"/>
  </r>
  <r>
    <x v="1230"/>
    <n v="7.7"/>
    <n v="0.18"/>
    <n v="0.34"/>
    <n v="2.7"/>
    <n v="6.6000000000000003E-2"/>
    <n v="15"/>
    <n v="58"/>
    <n v="0.99470000000000003"/>
    <n v="3.37"/>
    <n v="0.78"/>
    <n v="11.8"/>
    <n v="6"/>
    <x v="0"/>
    <s v="Normal"/>
    <n v="24.410000000000004"/>
    <n v="136"/>
    <n v="43"/>
    <x v="1"/>
  </r>
  <r>
    <x v="1231"/>
    <n v="7.8"/>
    <n v="0.81499999999999995"/>
    <n v="0.01"/>
    <n v="2.6"/>
    <n v="7.3999999999999996E-2"/>
    <n v="48"/>
    <n v="90"/>
    <n v="0.99621000000000004"/>
    <n v="3.38"/>
    <n v="0.62"/>
    <n v="10.8"/>
    <n v="5"/>
    <x v="0"/>
    <s v="Normal"/>
    <n v="20.900000000000002"/>
    <n v="673"/>
    <n v="42"/>
    <x v="1"/>
  </r>
  <r>
    <x v="1232"/>
    <n v="7.6"/>
    <n v="0.43"/>
    <n v="0.28999999999999998"/>
    <n v="2.1"/>
    <n v="7.4999999999999997E-2"/>
    <n v="19"/>
    <n v="66"/>
    <n v="0.99717999999999996"/>
    <n v="3.4"/>
    <n v="0.64"/>
    <n v="9.5"/>
    <n v="5"/>
    <x v="0"/>
    <s v="Normal"/>
    <n v="19.100000000000001"/>
    <n v="1121"/>
    <n v="47"/>
    <x v="0"/>
  </r>
  <r>
    <x v="1233"/>
    <n v="10.199999999999999"/>
    <n v="0.23"/>
    <n v="0.37"/>
    <n v="2.2000000000000002"/>
    <n v="5.7000000000000002E-2"/>
    <n v="14"/>
    <n v="36"/>
    <n v="0.99614000000000003"/>
    <n v="3.23"/>
    <n v="0.49"/>
    <n v="9.3000000000000007"/>
    <n v="4"/>
    <x v="2"/>
    <s v="High"/>
    <n v="18.875"/>
    <n v="1215"/>
    <n v="22"/>
    <x v="0"/>
  </r>
  <r>
    <x v="1234"/>
    <n v="7.1"/>
    <n v="0.75"/>
    <n v="0.01"/>
    <n v="2.2000000000000002"/>
    <n v="5.8999999999999997E-2"/>
    <n v="11"/>
    <n v="18"/>
    <n v="0.99241999999999997"/>
    <n v="3.39"/>
    <n v="0.4"/>
    <n v="12.8"/>
    <n v="6"/>
    <x v="0"/>
    <s v="Normal"/>
    <n v="24.700000000000003"/>
    <n v="109"/>
    <n v="7"/>
    <x v="1"/>
  </r>
  <r>
    <x v="1235"/>
    <n v="6"/>
    <n v="0.33"/>
    <n v="0.32"/>
    <n v="12.9"/>
    <n v="5.3999999999999999E-2"/>
    <n v="6"/>
    <n v="113"/>
    <n v="0.99572000000000005"/>
    <n v="3.3"/>
    <n v="0.56000000000000005"/>
    <n v="11.5"/>
    <n v="4"/>
    <x v="2"/>
    <s v="Normal"/>
    <n v="23.18"/>
    <n v="248"/>
    <n v="107"/>
    <x v="1"/>
  </r>
  <r>
    <x v="1236"/>
    <n v="7.8"/>
    <n v="0.55000000000000004"/>
    <n v="0"/>
    <n v="1.7"/>
    <n v="7.0000000000000007E-2"/>
    <n v="7"/>
    <n v="17"/>
    <n v="0.99658999999999998"/>
    <n v="3.26"/>
    <n v="0.64"/>
    <n v="9.4"/>
    <n v="6"/>
    <x v="0"/>
    <s v="Normal"/>
    <n v="18.66"/>
    <n v="1312"/>
    <n v="10"/>
    <x v="0"/>
  </r>
  <r>
    <x v="1237"/>
    <n v="7.1"/>
    <n v="0.75"/>
    <n v="0.01"/>
    <n v="2.2000000000000002"/>
    <n v="5.8999999999999997E-2"/>
    <n v="11"/>
    <n v="18"/>
    <n v="0.99241999999999997"/>
    <n v="3.39"/>
    <n v="0.4"/>
    <n v="12.8"/>
    <n v="6"/>
    <x v="0"/>
    <s v="Normal"/>
    <n v="24.700000000000003"/>
    <n v="109"/>
    <n v="7"/>
    <x v="1"/>
  </r>
  <r>
    <x v="1238"/>
    <n v="8.1"/>
    <n v="0.73"/>
    <n v="0"/>
    <n v="2.5"/>
    <n v="8.1000000000000003E-2"/>
    <n v="12"/>
    <n v="24"/>
    <n v="0.99797999999999998"/>
    <n v="3.38"/>
    <n v="0.46"/>
    <n v="9.6"/>
    <n v="4"/>
    <x v="2"/>
    <s v="Normal"/>
    <n v="18.43"/>
    <n v="1399"/>
    <n v="12"/>
    <x v="0"/>
  </r>
  <r>
    <x v="1239"/>
    <n v="6.5"/>
    <n v="0.67"/>
    <n v="0"/>
    <n v="4.3"/>
    <n v="5.7000000000000002E-2"/>
    <n v="11"/>
    <n v="20"/>
    <n v="0.99487999999999999"/>
    <n v="3.45"/>
    <n v="0.56000000000000005"/>
    <n v="11.8"/>
    <n v="4"/>
    <x v="2"/>
    <s v="Normal"/>
    <n v="23.1"/>
    <n v="260"/>
    <n v="9"/>
    <x v="1"/>
  </r>
  <r>
    <x v="1240"/>
    <n v="7.5"/>
    <n v="0.61"/>
    <n v="0.2"/>
    <n v="1.7"/>
    <n v="7.5999999999999998E-2"/>
    <n v="36"/>
    <n v="60"/>
    <n v="0.99494000000000005"/>
    <n v="3.1"/>
    <n v="0.4"/>
    <n v="9.3000000000000007"/>
    <n v="5"/>
    <x v="0"/>
    <s v="Normal"/>
    <n v="17.980000000000004"/>
    <n v="1523"/>
    <n v="24"/>
    <x v="0"/>
  </r>
  <r>
    <x v="1241"/>
    <n v="9.8000000000000007"/>
    <n v="0.37"/>
    <n v="0.39"/>
    <n v="2.5"/>
    <n v="7.9000000000000001E-2"/>
    <n v="28"/>
    <n v="65"/>
    <n v="0.99729000000000001"/>
    <n v="3.16"/>
    <n v="0.59"/>
    <n v="9.8000000000000007"/>
    <n v="5"/>
    <x v="0"/>
    <s v="High"/>
    <n v="19.745000000000005"/>
    <n v="916"/>
    <n v="37"/>
    <x v="0"/>
  </r>
  <r>
    <x v="1242"/>
    <n v="9"/>
    <n v="0.4"/>
    <n v="0.41"/>
    <n v="2"/>
    <n v="5.8000000000000003E-2"/>
    <n v="15"/>
    <n v="40"/>
    <n v="0.99414000000000002"/>
    <n v="3.22"/>
    <n v="0.6"/>
    <n v="12.2"/>
    <n v="6"/>
    <x v="0"/>
    <s v="High"/>
    <n v="24.499999999999996"/>
    <n v="128"/>
    <n v="25"/>
    <x v="1"/>
  </r>
  <r>
    <x v="1243"/>
    <n v="8.3000000000000007"/>
    <n v="0.56000000000000005"/>
    <n v="0.22"/>
    <n v="2.4"/>
    <n v="8.2000000000000003E-2"/>
    <n v="10"/>
    <n v="86"/>
    <n v="0.99829999999999997"/>
    <n v="3.37"/>
    <n v="0.62"/>
    <n v="9.5"/>
    <n v="5"/>
    <x v="0"/>
    <s v="Normal"/>
    <n v="18.809999999999999"/>
    <n v="1244"/>
    <n v="76"/>
    <x v="0"/>
  </r>
  <r>
    <x v="1244"/>
    <n v="5.9"/>
    <n v="0.28999999999999998"/>
    <n v="0.25"/>
    <n v="13.4"/>
    <n v="6.7000000000000004E-2"/>
    <n v="72"/>
    <n v="160"/>
    <n v="0.99721000000000004"/>
    <n v="3.33"/>
    <n v="0.54"/>
    <n v="10.3"/>
    <n v="6"/>
    <x v="0"/>
    <s v="Normal"/>
    <n v="20.830000000000002"/>
    <n v="694"/>
    <n v="88"/>
    <x v="1"/>
  </r>
  <r>
    <x v="1245"/>
    <n v="7.4"/>
    <n v="0.55000000000000004"/>
    <n v="0.19"/>
    <n v="1.8"/>
    <n v="8.2000000000000003E-2"/>
    <n v="15"/>
    <n v="34"/>
    <n v="0.99655000000000005"/>
    <n v="3.49"/>
    <n v="0.68"/>
    <n v="10.5"/>
    <n v="5"/>
    <x v="0"/>
    <s v="Normal"/>
    <n v="20.919999999999998"/>
    <n v="669"/>
    <n v="19"/>
    <x v="1"/>
  </r>
  <r>
    <x v="1246"/>
    <n v="7.4"/>
    <n v="0.74"/>
    <n v="7.0000000000000007E-2"/>
    <n v="1.7"/>
    <n v="8.5999999999999993E-2"/>
    <n v="15"/>
    <n v="48"/>
    <n v="0.99502000000000002"/>
    <n v="3.12"/>
    <n v="0.48"/>
    <n v="10"/>
    <n v="5"/>
    <x v="0"/>
    <s v="Normal"/>
    <n v="19.239999999999998"/>
    <n v="1062"/>
    <n v="33"/>
    <x v="0"/>
  </r>
  <r>
    <x v="1247"/>
    <n v="7.4"/>
    <n v="0.55000000000000004"/>
    <n v="0.19"/>
    <n v="1.8"/>
    <n v="8.2000000000000003E-2"/>
    <n v="15"/>
    <n v="34"/>
    <n v="0.99655000000000005"/>
    <n v="3.49"/>
    <n v="0.68"/>
    <n v="10.5"/>
    <n v="5"/>
    <x v="0"/>
    <s v="Normal"/>
    <n v="20.919999999999998"/>
    <n v="669"/>
    <n v="19"/>
    <x v="1"/>
  </r>
  <r>
    <x v="1248"/>
    <n v="6.9"/>
    <n v="0.41"/>
    <n v="0.33"/>
    <n v="2.2000000000000002"/>
    <n v="8.1000000000000003E-2"/>
    <n v="22"/>
    <n v="36"/>
    <n v="0.99490000000000001"/>
    <n v="3.41"/>
    <n v="0.75"/>
    <n v="11.1"/>
    <n v="6"/>
    <x v="0"/>
    <s v="Normal"/>
    <n v="22.504999999999999"/>
    <n v="368"/>
    <n v="14"/>
    <x v="1"/>
  </r>
  <r>
    <x v="1249"/>
    <n v="7.1"/>
    <n v="0.6"/>
    <n v="0.01"/>
    <n v="2.2999999999999998"/>
    <n v="7.9000000000000001E-2"/>
    <n v="24"/>
    <n v="37"/>
    <n v="0.99514000000000002"/>
    <n v="3.4"/>
    <n v="0.61"/>
    <n v="10.9"/>
    <n v="6"/>
    <x v="0"/>
    <s v="Normal"/>
    <n v="21.515000000000001"/>
    <n v="540"/>
    <n v="13"/>
    <x v="1"/>
  </r>
  <r>
    <x v="1250"/>
    <n v="7.1"/>
    <n v="0.6"/>
    <n v="0.01"/>
    <n v="2.2999999999999998"/>
    <n v="7.9000000000000001E-2"/>
    <n v="24"/>
    <n v="37"/>
    <n v="0.99514000000000002"/>
    <n v="3.4"/>
    <n v="0.61"/>
    <n v="10.9"/>
    <n v="6"/>
    <x v="0"/>
    <s v="Normal"/>
    <n v="21.515000000000001"/>
    <n v="540"/>
    <n v="13"/>
    <x v="1"/>
  </r>
  <r>
    <x v="1251"/>
    <n v="7.5"/>
    <n v="0.57999999999999996"/>
    <n v="0.14000000000000001"/>
    <n v="2.2000000000000002"/>
    <n v="7.6999999999999999E-2"/>
    <n v="27"/>
    <n v="60"/>
    <n v="0.99629999999999996"/>
    <n v="3.28"/>
    <n v="0.59"/>
    <n v="9.8000000000000007"/>
    <n v="5"/>
    <x v="0"/>
    <s v="Normal"/>
    <n v="19.325000000000003"/>
    <n v="1033"/>
    <n v="33"/>
    <x v="0"/>
  </r>
  <r>
    <x v="1252"/>
    <n v="7.1"/>
    <n v="0.72"/>
    <n v="0"/>
    <n v="1.8"/>
    <n v="0.123"/>
    <n v="6"/>
    <n v="14"/>
    <n v="0.99626999999999999"/>
    <n v="3.45"/>
    <n v="0.57999999999999996"/>
    <n v="9.8000000000000007"/>
    <n v="5"/>
    <x v="0"/>
    <s v="Normal"/>
    <n v="19.03"/>
    <n v="1152"/>
    <n v="8"/>
    <x v="0"/>
  </r>
  <r>
    <x v="1253"/>
    <n v="7.9"/>
    <n v="0.66"/>
    <n v="0"/>
    <n v="1.4"/>
    <n v="9.6000000000000002E-2"/>
    <n v="6"/>
    <n v="13"/>
    <n v="0.99568999999999996"/>
    <n v="3.43"/>
    <n v="0.57999999999999996"/>
    <n v="9.5"/>
    <n v="5"/>
    <x v="0"/>
    <s v="Normal"/>
    <n v="18.55"/>
    <n v="1359"/>
    <n v="7"/>
    <x v="0"/>
  </r>
  <r>
    <x v="1254"/>
    <n v="7.8"/>
    <n v="0.7"/>
    <n v="0.06"/>
    <n v="1.9"/>
    <n v="7.9000000000000001E-2"/>
    <n v="20"/>
    <n v="35"/>
    <n v="0.99628000000000005"/>
    <n v="3.4"/>
    <n v="0.69"/>
    <n v="10.9"/>
    <n v="5"/>
    <x v="0"/>
    <s v="Normal"/>
    <n v="21.435000000000002"/>
    <n v="552"/>
    <n v="15"/>
    <x v="1"/>
  </r>
  <r>
    <x v="1255"/>
    <n v="6.1"/>
    <n v="0.64"/>
    <n v="0.02"/>
    <n v="2.4"/>
    <n v="6.9000000000000006E-2"/>
    <n v="26"/>
    <n v="46"/>
    <n v="0.99358000000000002"/>
    <n v="3.47"/>
    <n v="0.45"/>
    <n v="11"/>
    <n v="5"/>
    <x v="0"/>
    <s v="Normal"/>
    <n v="21.395"/>
    <n v="557"/>
    <n v="20"/>
    <x v="1"/>
  </r>
  <r>
    <x v="1256"/>
    <n v="7.5"/>
    <n v="0.59"/>
    <n v="0.22"/>
    <n v="1.8"/>
    <n v="8.2000000000000003E-2"/>
    <n v="43"/>
    <n v="60"/>
    <n v="0.99499000000000004"/>
    <n v="3.1"/>
    <n v="0.42"/>
    <n v="9.1999999999999993"/>
    <n v="5"/>
    <x v="0"/>
    <s v="Normal"/>
    <n v="17.849999999999998"/>
    <n v="1544"/>
    <n v="17"/>
    <x v="0"/>
  </r>
  <r>
    <x v="1257"/>
    <n v="7"/>
    <n v="0.57999999999999996"/>
    <n v="0.28000000000000003"/>
    <n v="4.8"/>
    <n v="8.5000000000000006E-2"/>
    <n v="12"/>
    <n v="69"/>
    <n v="0.99633000000000005"/>
    <n v="3.32"/>
    <n v="0.7"/>
    <n v="11"/>
    <n v="6"/>
    <x v="0"/>
    <s v="Normal"/>
    <n v="21.89"/>
    <n v="467"/>
    <n v="57"/>
    <x v="1"/>
  </r>
  <r>
    <x v="1258"/>
    <n v="6.8"/>
    <n v="0.64"/>
    <n v="0"/>
    <n v="2.7"/>
    <n v="0.123"/>
    <n v="15"/>
    <n v="33"/>
    <n v="0.99538000000000004"/>
    <n v="3.44"/>
    <n v="0.63"/>
    <n v="11.3"/>
    <n v="6"/>
    <x v="0"/>
    <s v="Normal"/>
    <n v="22.265000000000001"/>
    <n v="411"/>
    <n v="18"/>
    <x v="1"/>
  </r>
  <r>
    <x v="1259"/>
    <n v="6.8"/>
    <n v="0.64"/>
    <n v="0"/>
    <n v="2.7"/>
    <n v="0.123"/>
    <n v="15"/>
    <n v="33"/>
    <n v="0.99538000000000004"/>
    <n v="3.44"/>
    <n v="0.63"/>
    <n v="11.3"/>
    <n v="6"/>
    <x v="0"/>
    <s v="Normal"/>
    <n v="22.265000000000001"/>
    <n v="411"/>
    <n v="18"/>
    <x v="1"/>
  </r>
  <r>
    <x v="1260"/>
    <n v="8.6"/>
    <n v="0.63500000000000001"/>
    <n v="0.68"/>
    <n v="1.8"/>
    <n v="0.40300000000000002"/>
    <n v="19"/>
    <n v="56"/>
    <n v="0.99631999999999998"/>
    <n v="3.02"/>
    <n v="1.1499999999999999"/>
    <n v="9.3000000000000007"/>
    <n v="5"/>
    <x v="0"/>
    <s v="High"/>
    <n v="19.055000000000003"/>
    <n v="1143"/>
    <n v="37"/>
    <x v="0"/>
  </r>
  <r>
    <x v="1261"/>
    <n v="6.3"/>
    <n v="1.02"/>
    <n v="0"/>
    <n v="2"/>
    <n v="8.3000000000000004E-2"/>
    <n v="17"/>
    <n v="24"/>
    <n v="0.99436999999999998"/>
    <n v="3.59"/>
    <n v="0.55000000000000004"/>
    <n v="11.2"/>
    <n v="4"/>
    <x v="2"/>
    <s v="Normal"/>
    <n v="21.184999999999999"/>
    <n v="609"/>
    <n v="7"/>
    <x v="1"/>
  </r>
  <r>
    <x v="1262"/>
    <n v="9.8000000000000007"/>
    <n v="0.45"/>
    <n v="0.38"/>
    <n v="2.5"/>
    <n v="8.1000000000000003E-2"/>
    <n v="34"/>
    <n v="66"/>
    <n v="0.99726000000000004"/>
    <n v="3.15"/>
    <n v="0.57999999999999996"/>
    <n v="9.8000000000000007"/>
    <n v="5"/>
    <x v="0"/>
    <s v="High"/>
    <n v="19.570000000000004"/>
    <n v="958"/>
    <n v="32"/>
    <x v="0"/>
  </r>
  <r>
    <x v="1263"/>
    <n v="8.1999999999999993"/>
    <n v="0.78"/>
    <n v="0"/>
    <n v="2.2000000000000002"/>
    <n v="8.8999999999999996E-2"/>
    <n v="13"/>
    <n v="26"/>
    <n v="0.99780000000000002"/>
    <n v="3.37"/>
    <n v="0.46"/>
    <n v="9.6"/>
    <n v="4"/>
    <x v="2"/>
    <s v="Normal"/>
    <n v="18.330000000000002"/>
    <n v="1446"/>
    <n v="13"/>
    <x v="0"/>
  </r>
  <r>
    <x v="1264"/>
    <n v="8.5"/>
    <n v="0.37"/>
    <n v="0.32"/>
    <n v="1.8"/>
    <n v="6.6000000000000003E-2"/>
    <n v="26"/>
    <n v="51"/>
    <n v="0.99456"/>
    <n v="3.38"/>
    <n v="0.72"/>
    <n v="11.8"/>
    <n v="6"/>
    <x v="0"/>
    <s v="Normal"/>
    <n v="23.94"/>
    <n v="187"/>
    <n v="25"/>
    <x v="1"/>
  </r>
  <r>
    <x v="1265"/>
    <n v="7.2"/>
    <n v="0.56999999999999995"/>
    <n v="0.05"/>
    <n v="2.2999999999999998"/>
    <n v="8.1000000000000003E-2"/>
    <n v="16"/>
    <n v="36"/>
    <n v="0.99563999999999997"/>
    <n v="3.38"/>
    <n v="0.6"/>
    <n v="10.3"/>
    <n v="6"/>
    <x v="0"/>
    <s v="Normal"/>
    <n v="20.36"/>
    <n v="780"/>
    <n v="20"/>
    <x v="1"/>
  </r>
  <r>
    <x v="1266"/>
    <n v="7.2"/>
    <n v="0.56999999999999995"/>
    <n v="0.05"/>
    <n v="2.2999999999999998"/>
    <n v="8.1000000000000003E-2"/>
    <n v="16"/>
    <n v="36"/>
    <n v="0.99563999999999997"/>
    <n v="3.38"/>
    <n v="0.6"/>
    <n v="10.3"/>
    <n v="6"/>
    <x v="0"/>
    <s v="Normal"/>
    <n v="20.36"/>
    <n v="780"/>
    <n v="20"/>
    <x v="1"/>
  </r>
  <r>
    <x v="1267"/>
    <n v="10.4"/>
    <n v="0.43"/>
    <n v="0.5"/>
    <n v="2.2999999999999998"/>
    <n v="6.8000000000000005E-2"/>
    <n v="13"/>
    <n v="19"/>
    <n v="0.996"/>
    <n v="3.1"/>
    <n v="0.87"/>
    <n v="11.4"/>
    <n v="6"/>
    <x v="0"/>
    <s v="High"/>
    <n v="23.245000000000001"/>
    <n v="241"/>
    <n v="6"/>
    <x v="0"/>
  </r>
  <r>
    <x v="1268"/>
    <n v="6.9"/>
    <n v="0.41"/>
    <n v="0.31"/>
    <n v="2"/>
    <n v="7.9000000000000001E-2"/>
    <n v="21"/>
    <n v="51"/>
    <n v="0.99668000000000001"/>
    <n v="3.47"/>
    <n v="0.55000000000000004"/>
    <n v="9.5"/>
    <n v="6"/>
    <x v="0"/>
    <s v="Normal"/>
    <n v="19.004999999999999"/>
    <n v="1164"/>
    <n v="30"/>
    <x v="0"/>
  </r>
  <r>
    <x v="1269"/>
    <n v="5.5"/>
    <n v="0.49"/>
    <n v="0.03"/>
    <n v="1.8"/>
    <n v="4.3999999999999997E-2"/>
    <n v="28"/>
    <n v="87"/>
    <n v="0.99080000000000001"/>
    <n v="3.5"/>
    <n v="0.82"/>
    <n v="14"/>
    <n v="8"/>
    <x v="1"/>
    <s v="Normal"/>
    <n v="28.25"/>
    <n v="8"/>
    <n v="59"/>
    <x v="1"/>
  </r>
  <r>
    <x v="1270"/>
    <n v="5"/>
    <n v="0.38"/>
    <n v="0.01"/>
    <n v="1.6"/>
    <n v="4.8000000000000001E-2"/>
    <n v="26"/>
    <n v="60"/>
    <n v="0.99084000000000005"/>
    <n v="3.7"/>
    <n v="0.75"/>
    <n v="14"/>
    <n v="6"/>
    <x v="0"/>
    <s v="Normal"/>
    <n v="28.364999999999998"/>
    <n v="4"/>
    <n v="34"/>
    <x v="1"/>
  </r>
  <r>
    <x v="1271"/>
    <n v="7.3"/>
    <n v="0.44"/>
    <n v="0.2"/>
    <n v="1.6"/>
    <n v="4.9000000000000002E-2"/>
    <n v="24"/>
    <n v="64"/>
    <n v="0.99350000000000005"/>
    <n v="3.38"/>
    <n v="0.56999999999999995"/>
    <n v="11.7"/>
    <n v="6"/>
    <x v="0"/>
    <s v="Normal"/>
    <n v="23.375"/>
    <n v="231"/>
    <n v="40"/>
    <x v="1"/>
  </r>
  <r>
    <x v="1272"/>
    <n v="5.9"/>
    <n v="0.46"/>
    <n v="0"/>
    <n v="1.9"/>
    <n v="7.6999999999999999E-2"/>
    <n v="25"/>
    <n v="44"/>
    <n v="0.99385000000000001"/>
    <n v="3.5"/>
    <n v="0.53"/>
    <n v="11.2"/>
    <n v="5"/>
    <x v="0"/>
    <s v="Normal"/>
    <n v="22.274999999999999"/>
    <n v="410"/>
    <n v="19"/>
    <x v="1"/>
  </r>
  <r>
    <x v="1273"/>
    <n v="7.5"/>
    <n v="0.57999999999999996"/>
    <n v="0.2"/>
    <n v="2"/>
    <n v="7.2999999999999995E-2"/>
    <n v="34"/>
    <n v="44"/>
    <n v="0.99494000000000005"/>
    <n v="3.1"/>
    <n v="0.43"/>
    <n v="9.3000000000000007"/>
    <n v="5"/>
    <x v="0"/>
    <s v="Normal"/>
    <n v="18.085000000000001"/>
    <n v="1503"/>
    <n v="10"/>
    <x v="0"/>
  </r>
  <r>
    <x v="1274"/>
    <n v="7.8"/>
    <n v="0.57999999999999996"/>
    <n v="0.13"/>
    <n v="2.1"/>
    <n v="0.10199999999999999"/>
    <n v="17"/>
    <n v="36"/>
    <n v="0.99439999999999995"/>
    <n v="3.24"/>
    <n v="0.53"/>
    <n v="11.2"/>
    <n v="6"/>
    <x v="0"/>
    <s v="Normal"/>
    <n v="22.035"/>
    <n v="449"/>
    <n v="19"/>
    <x v="1"/>
  </r>
  <r>
    <x v="1275"/>
    <n v="8"/>
    <n v="0.71499999999999997"/>
    <n v="0.22"/>
    <n v="2.2999999999999998"/>
    <n v="7.4999999999999997E-2"/>
    <n v="13"/>
    <n v="81"/>
    <n v="0.99687999999999999"/>
    <n v="3.24"/>
    <n v="0.54"/>
    <n v="9.5"/>
    <n v="6"/>
    <x v="0"/>
    <s v="Normal"/>
    <n v="18.38"/>
    <n v="1424"/>
    <n v="68"/>
    <x v="0"/>
  </r>
  <r>
    <x v="1276"/>
    <n v="8.5"/>
    <n v="0.4"/>
    <n v="0.4"/>
    <n v="6.3"/>
    <n v="0.05"/>
    <n v="3"/>
    <n v="10"/>
    <n v="0.99565999999999999"/>
    <n v="3.28"/>
    <n v="0.56000000000000005"/>
    <n v="12"/>
    <n v="4"/>
    <x v="2"/>
    <s v="High"/>
    <n v="24.04"/>
    <n v="175"/>
    <n v="7"/>
    <x v="1"/>
  </r>
  <r>
    <x v="1277"/>
    <n v="7"/>
    <n v="0.69"/>
    <n v="0"/>
    <n v="1.9"/>
    <n v="0.114"/>
    <n v="3"/>
    <n v="10"/>
    <n v="0.99636000000000002"/>
    <n v="3.35"/>
    <n v="0.6"/>
    <n v="9.6999999999999993"/>
    <n v="6"/>
    <x v="0"/>
    <s v="Normal"/>
    <n v="18.919999999999998"/>
    <n v="1197"/>
    <n v="7"/>
    <x v="0"/>
  </r>
  <r>
    <x v="1278"/>
    <n v="8"/>
    <n v="0.71499999999999997"/>
    <n v="0.22"/>
    <n v="2.2999999999999998"/>
    <n v="7.4999999999999997E-2"/>
    <n v="13"/>
    <n v="81"/>
    <n v="0.99687999999999999"/>
    <n v="3.24"/>
    <n v="0.54"/>
    <n v="9.5"/>
    <n v="6"/>
    <x v="0"/>
    <s v="Normal"/>
    <n v="18.38"/>
    <n v="1424"/>
    <n v="68"/>
    <x v="0"/>
  </r>
  <r>
    <x v="1279"/>
    <n v="9.8000000000000007"/>
    <n v="0.3"/>
    <n v="0.39"/>
    <n v="1.7"/>
    <n v="6.2E-2"/>
    <n v="3"/>
    <n v="9"/>
    <n v="0.99480000000000002"/>
    <n v="3.14"/>
    <n v="0.56999999999999995"/>
    <n v="11.5"/>
    <n v="7"/>
    <x v="1"/>
    <s v="High"/>
    <n v="23.254999999999999"/>
    <n v="238"/>
    <n v="6"/>
    <x v="0"/>
  </r>
  <r>
    <x v="1280"/>
    <n v="7.1"/>
    <n v="0.46"/>
    <n v="0.2"/>
    <n v="1.9"/>
    <n v="7.6999999999999999E-2"/>
    <n v="28"/>
    <n v="54"/>
    <n v="0.99560000000000004"/>
    <n v="3.37"/>
    <n v="0.64"/>
    <n v="10.4"/>
    <n v="6"/>
    <x v="0"/>
    <s v="Normal"/>
    <n v="20.84"/>
    <n v="691"/>
    <n v="26"/>
    <x v="1"/>
  </r>
  <r>
    <x v="1281"/>
    <n v="7.1"/>
    <n v="0.46"/>
    <n v="0.2"/>
    <n v="1.9"/>
    <n v="7.6999999999999999E-2"/>
    <n v="28"/>
    <n v="54"/>
    <n v="0.99560000000000004"/>
    <n v="3.37"/>
    <n v="0.64"/>
    <n v="10.4"/>
    <n v="6"/>
    <x v="0"/>
    <s v="Normal"/>
    <n v="20.84"/>
    <n v="691"/>
    <n v="26"/>
    <x v="1"/>
  </r>
  <r>
    <x v="1282"/>
    <n v="7.9"/>
    <n v="0.76500000000000001"/>
    <n v="0"/>
    <n v="2"/>
    <n v="8.4000000000000005E-2"/>
    <n v="9"/>
    <n v="22"/>
    <n v="0.99619000000000002"/>
    <n v="3.33"/>
    <n v="0.68"/>
    <n v="10.9"/>
    <n v="6"/>
    <x v="0"/>
    <s v="Normal"/>
    <n v="21.29"/>
    <n v="585"/>
    <n v="13"/>
    <x v="1"/>
  </r>
  <r>
    <x v="1283"/>
    <n v="8.6999999999999993"/>
    <n v="0.63"/>
    <n v="0.28000000000000003"/>
    <n v="2.7"/>
    <n v="9.6000000000000002E-2"/>
    <n v="17"/>
    <n v="69"/>
    <n v="0.99734"/>
    <n v="3.26"/>
    <n v="0.63"/>
    <n v="10.199999999999999"/>
    <n v="6"/>
    <x v="0"/>
    <s v="High"/>
    <n v="20.084999999999997"/>
    <n v="843"/>
    <n v="52"/>
    <x v="1"/>
  </r>
  <r>
    <x v="1284"/>
    <n v="7"/>
    <n v="0.42"/>
    <n v="0.19"/>
    <n v="2.2999999999999998"/>
    <n v="7.0999999999999994E-2"/>
    <n v="18"/>
    <n v="36"/>
    <n v="0.99475999999999998"/>
    <n v="3.39"/>
    <n v="0.56000000000000005"/>
    <n v="10.9"/>
    <n v="5"/>
    <x v="0"/>
    <s v="Normal"/>
    <n v="21.8"/>
    <n v="480"/>
    <n v="18"/>
    <x v="1"/>
  </r>
  <r>
    <x v="1285"/>
    <n v="11.3"/>
    <n v="0.37"/>
    <n v="0.5"/>
    <n v="1.8"/>
    <n v="0.09"/>
    <n v="20"/>
    <n v="47"/>
    <n v="0.99734"/>
    <n v="3.15"/>
    <n v="0.56999999999999995"/>
    <n v="10.5"/>
    <n v="5"/>
    <x v="0"/>
    <s v="High"/>
    <n v="21.115000000000002"/>
    <n v="628"/>
    <n v="27"/>
    <x v="0"/>
  </r>
  <r>
    <x v="1286"/>
    <n v="7.1"/>
    <n v="0.16"/>
    <n v="0.44"/>
    <n v="2.5"/>
    <n v="6.8000000000000005E-2"/>
    <n v="17"/>
    <n v="31"/>
    <n v="0.99328000000000005"/>
    <n v="3.35"/>
    <n v="0.54"/>
    <n v="12.4"/>
    <n v="6"/>
    <x v="0"/>
    <s v="Normal"/>
    <n v="25.29"/>
    <n v="69"/>
    <n v="14"/>
    <x v="1"/>
  </r>
  <r>
    <x v="1287"/>
    <n v="8"/>
    <n v="0.6"/>
    <n v="0.08"/>
    <n v="2.6"/>
    <n v="5.6000000000000001E-2"/>
    <n v="3"/>
    <n v="7"/>
    <n v="0.99285999999999996"/>
    <n v="3.22"/>
    <n v="0.37"/>
    <n v="13"/>
    <n v="5"/>
    <x v="0"/>
    <s v="Normal"/>
    <n v="25.355"/>
    <n v="66"/>
    <n v="4"/>
    <x v="1"/>
  </r>
  <r>
    <x v="1288"/>
    <n v="7"/>
    <n v="0.6"/>
    <n v="0.3"/>
    <n v="4.5"/>
    <n v="6.8000000000000005E-2"/>
    <n v="20"/>
    <n v="110"/>
    <n v="0.99914000000000003"/>
    <n v="3.3"/>
    <n v="1.17"/>
    <n v="10.199999999999999"/>
    <n v="5"/>
    <x v="0"/>
    <s v="Normal"/>
    <n v="20.954999999999998"/>
    <n v="659"/>
    <n v="90"/>
    <x v="1"/>
  </r>
  <r>
    <x v="1289"/>
    <n v="7"/>
    <n v="0.6"/>
    <n v="0.3"/>
    <n v="4.5"/>
    <n v="6.8000000000000005E-2"/>
    <n v="20"/>
    <n v="110"/>
    <n v="0.99914000000000003"/>
    <n v="3.3"/>
    <n v="1.17"/>
    <n v="10.199999999999999"/>
    <n v="5"/>
    <x v="0"/>
    <s v="Normal"/>
    <n v="20.954999999999998"/>
    <n v="659"/>
    <n v="90"/>
    <x v="1"/>
  </r>
  <r>
    <x v="1290"/>
    <n v="7.6"/>
    <n v="0.74"/>
    <n v="0"/>
    <n v="1.9"/>
    <n v="0.1"/>
    <n v="6"/>
    <n v="12"/>
    <n v="0.99521000000000004"/>
    <n v="3.36"/>
    <n v="0.59"/>
    <n v="11"/>
    <n v="5"/>
    <x v="0"/>
    <s v="Normal"/>
    <n v="21.405000000000001"/>
    <n v="556"/>
    <n v="6"/>
    <x v="1"/>
  </r>
  <r>
    <x v="1291"/>
    <n v="8.1999999999999993"/>
    <n v="0.63500000000000001"/>
    <n v="0.1"/>
    <n v="2.1"/>
    <n v="7.2999999999999995E-2"/>
    <n v="25"/>
    <n v="60"/>
    <n v="0.99638000000000004"/>
    <n v="3.29"/>
    <n v="0.75"/>
    <n v="10.9"/>
    <n v="6"/>
    <x v="0"/>
    <s v="Normal"/>
    <n v="21.655000000000001"/>
    <n v="516"/>
    <n v="35"/>
    <x v="1"/>
  </r>
  <r>
    <x v="1292"/>
    <n v="5.9"/>
    <n v="0.39500000000000002"/>
    <n v="0.13"/>
    <n v="2.4"/>
    <n v="5.6000000000000001E-2"/>
    <n v="14"/>
    <n v="28"/>
    <n v="0.99361999999999995"/>
    <n v="3.62"/>
    <n v="0.67"/>
    <n v="12.4"/>
    <n v="6"/>
    <x v="0"/>
    <s v="Normal"/>
    <n v="25.015000000000001"/>
    <n v="94"/>
    <n v="14"/>
    <x v="1"/>
  </r>
  <r>
    <x v="1293"/>
    <n v="7.5"/>
    <n v="0.755"/>
    <n v="0"/>
    <n v="1.9"/>
    <n v="8.4000000000000005E-2"/>
    <n v="6"/>
    <n v="12"/>
    <n v="0.99672000000000005"/>
    <n v="3.34"/>
    <n v="0.49"/>
    <n v="9.6999999999999993"/>
    <n v="4"/>
    <x v="2"/>
    <s v="Normal"/>
    <n v="18.624999999999996"/>
    <n v="1336"/>
    <n v="6"/>
    <x v="0"/>
  </r>
  <r>
    <x v="1294"/>
    <n v="8.1999999999999993"/>
    <n v="0.63500000000000001"/>
    <n v="0.1"/>
    <n v="2.1"/>
    <n v="7.2999999999999995E-2"/>
    <n v="25"/>
    <n v="60"/>
    <n v="0.99638000000000004"/>
    <n v="3.29"/>
    <n v="0.75"/>
    <n v="10.9"/>
    <n v="6"/>
    <x v="0"/>
    <s v="Normal"/>
    <n v="21.655000000000001"/>
    <n v="516"/>
    <n v="35"/>
    <x v="1"/>
  </r>
  <r>
    <x v="1295"/>
    <n v="6.6"/>
    <n v="0.63"/>
    <n v="0"/>
    <n v="4.3"/>
    <n v="9.2999999999999999E-2"/>
    <n v="51"/>
    <n v="77.5"/>
    <n v="0.99558000000000002"/>
    <n v="3.2"/>
    <n v="0.45"/>
    <n v="9.5"/>
    <n v="5"/>
    <x v="0"/>
    <s v="Normal"/>
    <n v="18.414999999999999"/>
    <n v="1410"/>
    <n v="26.5"/>
    <x v="0"/>
  </r>
  <r>
    <x v="1296"/>
    <n v="6.6"/>
    <n v="0.63"/>
    <n v="0"/>
    <n v="4.3"/>
    <n v="9.2999999999999999E-2"/>
    <n v="51"/>
    <n v="77.5"/>
    <n v="0.99558000000000002"/>
    <n v="3.2"/>
    <n v="0.45"/>
    <n v="9.5"/>
    <n v="5"/>
    <x v="0"/>
    <s v="Normal"/>
    <n v="18.414999999999999"/>
    <n v="1410"/>
    <n v="26.5"/>
    <x v="0"/>
  </r>
  <r>
    <x v="1297"/>
    <n v="7.2"/>
    <n v="0.53"/>
    <n v="0.14000000000000001"/>
    <n v="2.1"/>
    <n v="6.4000000000000001E-2"/>
    <n v="15"/>
    <n v="29"/>
    <n v="0.99322999999999995"/>
    <n v="3.35"/>
    <n v="0.61"/>
    <n v="12.1"/>
    <n v="6"/>
    <x v="0"/>
    <s v="Normal"/>
    <n v="24.055"/>
    <n v="174"/>
    <n v="14"/>
    <x v="1"/>
  </r>
  <r>
    <x v="1298"/>
    <n v="5.7"/>
    <n v="0.6"/>
    <n v="0"/>
    <n v="1.4"/>
    <n v="6.3E-2"/>
    <n v="11"/>
    <n v="18"/>
    <n v="0.99190999999999996"/>
    <n v="3.45"/>
    <n v="0.56000000000000005"/>
    <n v="12.2"/>
    <n v="6"/>
    <x v="0"/>
    <s v="Normal"/>
    <n v="24.04"/>
    <n v="175"/>
    <n v="7"/>
    <x v="1"/>
  </r>
  <r>
    <x v="1299"/>
    <n v="7.6"/>
    <n v="1.58"/>
    <n v="0"/>
    <n v="2.1"/>
    <n v="0.13700000000000001"/>
    <n v="5"/>
    <n v="9"/>
    <n v="0.99475999999999998"/>
    <n v="3.5"/>
    <n v="0.4"/>
    <n v="10.9"/>
    <n v="3"/>
    <x v="2"/>
    <s v="Normal"/>
    <n v="19.240000000000002"/>
    <n v="1058"/>
    <n v="4"/>
    <x v="1"/>
  </r>
  <r>
    <x v="1300"/>
    <n v="5.2"/>
    <n v="0.64500000000000002"/>
    <n v="0"/>
    <n v="2.15"/>
    <n v="0.08"/>
    <n v="15"/>
    <n v="28"/>
    <n v="0.99443999999999999"/>
    <n v="3.78"/>
    <n v="0.61"/>
    <n v="12.5"/>
    <n v="6"/>
    <x v="0"/>
    <s v="Normal"/>
    <n v="24.625"/>
    <n v="116"/>
    <n v="13"/>
    <x v="1"/>
  </r>
  <r>
    <x v="1301"/>
    <n v="6.7"/>
    <n v="0.86"/>
    <n v="7.0000000000000007E-2"/>
    <n v="2"/>
    <n v="0.1"/>
    <n v="20"/>
    <n v="57"/>
    <n v="0.99597999999999998"/>
    <n v="3.6"/>
    <n v="0.74"/>
    <n v="11.7"/>
    <n v="6"/>
    <x v="0"/>
    <s v="Normal"/>
    <n v="22.79"/>
    <n v="315"/>
    <n v="37"/>
    <x v="1"/>
  </r>
  <r>
    <x v="1302"/>
    <n v="9.1"/>
    <n v="0.37"/>
    <n v="0.32"/>
    <n v="2.1"/>
    <n v="6.4000000000000001E-2"/>
    <n v="4"/>
    <n v="15"/>
    <n v="0.99575999999999998"/>
    <n v="3.3"/>
    <n v="0.8"/>
    <n v="11.2"/>
    <n v="6"/>
    <x v="0"/>
    <s v="High"/>
    <n v="22.86"/>
    <n v="303"/>
    <n v="11"/>
    <x v="1"/>
  </r>
  <r>
    <x v="1303"/>
    <n v="8"/>
    <n v="0.28000000000000003"/>
    <n v="0.44"/>
    <n v="1.8"/>
    <n v="8.1000000000000003E-2"/>
    <n v="28"/>
    <n v="68"/>
    <n v="0.99500999999999995"/>
    <n v="3.36"/>
    <n v="0.66"/>
    <n v="11.2"/>
    <n v="5"/>
    <x v="0"/>
    <s v="Normal"/>
    <n v="22.83"/>
    <n v="309"/>
    <n v="40"/>
    <x v="1"/>
  </r>
  <r>
    <x v="1304"/>
    <n v="7.6"/>
    <n v="0.79"/>
    <n v="0.21"/>
    <n v="2.2999999999999998"/>
    <n v="8.6999999999999994E-2"/>
    <n v="21"/>
    <n v="68"/>
    <n v="0.99550000000000005"/>
    <n v="3.12"/>
    <n v="0.44"/>
    <n v="9.1999999999999993"/>
    <n v="5"/>
    <x v="0"/>
    <s v="Normal"/>
    <n v="17.479999999999997"/>
    <n v="1586"/>
    <n v="47"/>
    <x v="0"/>
  </r>
  <r>
    <x v="1305"/>
    <n v="7.5"/>
    <n v="0.61"/>
    <n v="0.26"/>
    <n v="1.9"/>
    <n v="7.2999999999999995E-2"/>
    <n v="24"/>
    <n v="88"/>
    <n v="0.99612000000000001"/>
    <n v="3.3"/>
    <n v="0.53"/>
    <n v="9.8000000000000007"/>
    <n v="5"/>
    <x v="0"/>
    <s v="Normal"/>
    <n v="19.175000000000004"/>
    <n v="1094"/>
    <n v="64"/>
    <x v="0"/>
  </r>
  <r>
    <x v="1306"/>
    <n v="9.6999999999999993"/>
    <n v="0.69"/>
    <n v="0.32"/>
    <n v="2.5"/>
    <n v="8.7999999999999995E-2"/>
    <n v="22"/>
    <n v="91"/>
    <n v="0.99790000000000001"/>
    <n v="3.29"/>
    <n v="0.62"/>
    <n v="10.1"/>
    <n v="5"/>
    <x v="0"/>
    <s v="High"/>
    <n v="19.75"/>
    <n v="913"/>
    <n v="69"/>
    <x v="1"/>
  </r>
  <r>
    <x v="1307"/>
    <n v="6.8"/>
    <n v="0.68"/>
    <n v="0.09"/>
    <n v="3.9"/>
    <n v="6.8000000000000005E-2"/>
    <n v="15"/>
    <n v="29"/>
    <n v="0.99524000000000001"/>
    <n v="3.41"/>
    <n v="0.52"/>
    <n v="11.1"/>
    <n v="4"/>
    <x v="2"/>
    <s v="Normal"/>
    <n v="21.62"/>
    <n v="521"/>
    <n v="14"/>
    <x v="1"/>
  </r>
  <r>
    <x v="1308"/>
    <n v="9.6999999999999993"/>
    <n v="0.69"/>
    <n v="0.32"/>
    <n v="2.5"/>
    <n v="8.7999999999999995E-2"/>
    <n v="22"/>
    <n v="91"/>
    <n v="0.99790000000000001"/>
    <n v="3.29"/>
    <n v="0.62"/>
    <n v="10.1"/>
    <n v="5"/>
    <x v="0"/>
    <s v="High"/>
    <n v="19.75"/>
    <n v="913"/>
    <n v="69"/>
    <x v="1"/>
  </r>
  <r>
    <x v="1309"/>
    <n v="7"/>
    <n v="0.62"/>
    <n v="0.1"/>
    <n v="1.4"/>
    <n v="7.0999999999999994E-2"/>
    <n v="27"/>
    <n v="63"/>
    <n v="0.996"/>
    <n v="3.28"/>
    <n v="0.61"/>
    <n v="9.1999999999999993"/>
    <n v="5"/>
    <x v="0"/>
    <s v="Normal"/>
    <n v="18.074999999999999"/>
    <n v="1508"/>
    <n v="36"/>
    <x v="0"/>
  </r>
  <r>
    <x v="1310"/>
    <n v="7.5"/>
    <n v="0.61"/>
    <n v="0.26"/>
    <n v="1.9"/>
    <n v="7.2999999999999995E-2"/>
    <n v="24"/>
    <n v="88"/>
    <n v="0.99612000000000001"/>
    <n v="3.3"/>
    <n v="0.53"/>
    <n v="9.8000000000000007"/>
    <n v="5"/>
    <x v="0"/>
    <s v="Normal"/>
    <n v="19.175000000000004"/>
    <n v="1094"/>
    <n v="64"/>
    <x v="0"/>
  </r>
  <r>
    <x v="1311"/>
    <n v="6.5"/>
    <n v="0.51"/>
    <n v="0.15"/>
    <n v="3"/>
    <n v="6.4000000000000001E-2"/>
    <n v="12"/>
    <n v="27"/>
    <n v="0.9929"/>
    <n v="3.33"/>
    <n v="0.59"/>
    <n v="12.8"/>
    <n v="6"/>
    <x v="0"/>
    <s v="Normal"/>
    <n v="25.465000000000003"/>
    <n v="58"/>
    <n v="15"/>
    <x v="1"/>
  </r>
  <r>
    <x v="1312"/>
    <n v="8"/>
    <n v="1.18"/>
    <n v="0.21"/>
    <n v="1.9"/>
    <n v="8.3000000000000004E-2"/>
    <n v="14"/>
    <n v="41"/>
    <n v="0.99531999999999998"/>
    <n v="3.34"/>
    <n v="0.47"/>
    <n v="10.5"/>
    <n v="5"/>
    <x v="0"/>
    <s v="Normal"/>
    <n v="19.344999999999999"/>
    <n v="1026"/>
    <n v="27"/>
    <x v="1"/>
  </r>
  <r>
    <x v="1313"/>
    <n v="7"/>
    <n v="0.36"/>
    <n v="0.21"/>
    <n v="2.2999999999999998"/>
    <n v="8.5999999999999993E-2"/>
    <n v="20"/>
    <n v="65"/>
    <n v="0.99558000000000002"/>
    <n v="3.4"/>
    <n v="0.54"/>
    <n v="10.1"/>
    <n v="6"/>
    <x v="0"/>
    <s v="Normal"/>
    <n v="20.29"/>
    <n v="795"/>
    <n v="45"/>
    <x v="1"/>
  </r>
  <r>
    <x v="1314"/>
    <n v="7"/>
    <n v="0.36"/>
    <n v="0.21"/>
    <n v="2.4"/>
    <n v="8.5999999999999993E-2"/>
    <n v="24"/>
    <n v="69"/>
    <n v="0.99556"/>
    <n v="3.4"/>
    <n v="0.53"/>
    <n v="10.1"/>
    <n v="6"/>
    <x v="0"/>
    <s v="Normal"/>
    <n v="20.275000000000002"/>
    <n v="798"/>
    <n v="45"/>
    <x v="1"/>
  </r>
  <r>
    <x v="1315"/>
    <n v="7.5"/>
    <n v="0.63"/>
    <n v="0.27"/>
    <n v="2"/>
    <n v="8.3000000000000004E-2"/>
    <n v="17"/>
    <n v="91"/>
    <n v="0.99616000000000005"/>
    <n v="3.26"/>
    <n v="0.57999999999999996"/>
    <n v="9.8000000000000007"/>
    <n v="6"/>
    <x v="0"/>
    <s v="Normal"/>
    <n v="19.21"/>
    <n v="1075"/>
    <n v="74"/>
    <x v="0"/>
  </r>
  <r>
    <x v="1316"/>
    <n v="5.4"/>
    <n v="0.74"/>
    <n v="0"/>
    <n v="1.2"/>
    <n v="4.1000000000000002E-2"/>
    <n v="16"/>
    <n v="46"/>
    <n v="0.99258000000000002"/>
    <n v="4.01"/>
    <n v="0.59"/>
    <n v="12.5"/>
    <n v="6"/>
    <x v="0"/>
    <s v="Normal"/>
    <n v="24.405000000000001"/>
    <n v="138"/>
    <n v="30"/>
    <x v="1"/>
  </r>
  <r>
    <x v="1317"/>
    <n v="9.9"/>
    <n v="0.44"/>
    <n v="0.46"/>
    <n v="2.2000000000000002"/>
    <n v="9.0999999999999998E-2"/>
    <n v="10"/>
    <n v="41"/>
    <n v="0.99638000000000004"/>
    <n v="3.18"/>
    <n v="0.69"/>
    <n v="11.9"/>
    <n v="6"/>
    <x v="0"/>
    <s v="High"/>
    <n v="23.955000000000002"/>
    <n v="186"/>
    <n v="31"/>
    <x v="0"/>
  </r>
  <r>
    <x v="1318"/>
    <n v="7.5"/>
    <n v="0.63"/>
    <n v="0.27"/>
    <n v="2"/>
    <n v="8.3000000000000004E-2"/>
    <n v="17"/>
    <n v="91"/>
    <n v="0.99616000000000005"/>
    <n v="3.26"/>
    <n v="0.57999999999999996"/>
    <n v="9.8000000000000007"/>
    <n v="6"/>
    <x v="0"/>
    <s v="Normal"/>
    <n v="19.21"/>
    <n v="1075"/>
    <n v="74"/>
    <x v="0"/>
  </r>
  <r>
    <x v="1319"/>
    <n v="9.1"/>
    <n v="0.76"/>
    <n v="0.68"/>
    <n v="1.7"/>
    <n v="0.41399999999999998"/>
    <n v="18"/>
    <n v="64"/>
    <n v="0.99651999999999996"/>
    <n v="2.9"/>
    <n v="1.33"/>
    <n v="9.1"/>
    <n v="6"/>
    <x v="0"/>
    <s v="High"/>
    <n v="18.675000000000001"/>
    <n v="1304"/>
    <n v="46"/>
    <x v="0"/>
  </r>
  <r>
    <x v="1320"/>
    <n v="9.6999999999999993"/>
    <n v="0.66"/>
    <n v="0.34"/>
    <n v="2.6"/>
    <n v="9.4E-2"/>
    <n v="12"/>
    <n v="88"/>
    <n v="0.99795999999999996"/>
    <n v="3.26"/>
    <n v="0.66"/>
    <n v="10.1"/>
    <n v="5"/>
    <x v="0"/>
    <s v="High"/>
    <n v="19.869999999999997"/>
    <n v="889"/>
    <n v="76"/>
    <x v="1"/>
  </r>
  <r>
    <x v="1321"/>
    <n v="5"/>
    <n v="0.74"/>
    <n v="0"/>
    <n v="1.2"/>
    <n v="4.1000000000000002E-2"/>
    <n v="16"/>
    <n v="46"/>
    <n v="0.99258000000000002"/>
    <n v="4.01"/>
    <n v="0.59"/>
    <n v="12.5"/>
    <n v="6"/>
    <x v="0"/>
    <s v="Normal"/>
    <n v="24.405000000000001"/>
    <n v="138"/>
    <n v="30"/>
    <x v="1"/>
  </r>
  <r>
    <x v="1322"/>
    <n v="9.1"/>
    <n v="0.34"/>
    <n v="0.42"/>
    <n v="1.8"/>
    <n v="5.8000000000000003E-2"/>
    <n v="9"/>
    <n v="18"/>
    <n v="0.99392000000000003"/>
    <n v="3.18"/>
    <n v="0.55000000000000004"/>
    <n v="11.4"/>
    <n v="5"/>
    <x v="0"/>
    <s v="High"/>
    <n v="22.945"/>
    <n v="281"/>
    <n v="9"/>
    <x v="0"/>
  </r>
  <r>
    <x v="1323"/>
    <n v="9.1"/>
    <n v="0.36"/>
    <n v="0.39"/>
    <n v="1.8"/>
    <n v="0.06"/>
    <n v="21"/>
    <n v="55"/>
    <n v="0.99495"/>
    <n v="3.18"/>
    <n v="0.82"/>
    <n v="11"/>
    <n v="7"/>
    <x v="1"/>
    <s v="High"/>
    <n v="22.51"/>
    <n v="365"/>
    <n v="34"/>
    <x v="0"/>
  </r>
  <r>
    <x v="1324"/>
    <n v="6.7"/>
    <n v="0.46"/>
    <n v="0.24"/>
    <n v="1.7"/>
    <n v="7.6999999999999999E-2"/>
    <n v="18"/>
    <n v="34"/>
    <n v="0.99480000000000002"/>
    <n v="3.39"/>
    <n v="0.6"/>
    <n v="10.6"/>
    <n v="6"/>
    <x v="0"/>
    <s v="Normal"/>
    <n v="21.179999999999996"/>
    <n v="615"/>
    <n v="16"/>
    <x v="1"/>
  </r>
  <r>
    <x v="1325"/>
    <n v="6.7"/>
    <n v="0.46"/>
    <n v="0.24"/>
    <n v="1.7"/>
    <n v="7.6999999999999999E-2"/>
    <n v="18"/>
    <n v="34"/>
    <n v="0.99480000000000002"/>
    <n v="3.39"/>
    <n v="0.6"/>
    <n v="10.6"/>
    <n v="6"/>
    <x v="0"/>
    <s v="Normal"/>
    <n v="21.179999999999996"/>
    <n v="615"/>
    <n v="16"/>
    <x v="1"/>
  </r>
  <r>
    <x v="1326"/>
    <n v="6.7"/>
    <n v="0.46"/>
    <n v="0.24"/>
    <n v="1.7"/>
    <n v="7.6999999999999999E-2"/>
    <n v="18"/>
    <n v="34"/>
    <n v="0.99480000000000002"/>
    <n v="3.39"/>
    <n v="0.6"/>
    <n v="10.6"/>
    <n v="6"/>
    <x v="0"/>
    <s v="Normal"/>
    <n v="21.179999999999996"/>
    <n v="615"/>
    <n v="16"/>
    <x v="1"/>
  </r>
  <r>
    <x v="1327"/>
    <n v="6.7"/>
    <n v="0.46"/>
    <n v="0.24"/>
    <n v="1.7"/>
    <n v="7.6999999999999999E-2"/>
    <n v="18"/>
    <n v="34"/>
    <n v="0.99480000000000002"/>
    <n v="3.39"/>
    <n v="0.6"/>
    <n v="10.6"/>
    <n v="6"/>
    <x v="0"/>
    <s v="Normal"/>
    <n v="21.179999999999996"/>
    <n v="615"/>
    <n v="16"/>
    <x v="1"/>
  </r>
  <r>
    <x v="1328"/>
    <n v="6.5"/>
    <n v="0.52"/>
    <n v="0.11"/>
    <n v="1.8"/>
    <n v="7.2999999999999995E-2"/>
    <n v="13"/>
    <n v="38"/>
    <n v="0.99550000000000005"/>
    <n v="3.34"/>
    <n v="0.52"/>
    <n v="9.3000000000000007"/>
    <n v="5"/>
    <x v="0"/>
    <s v="Normal"/>
    <n v="18.340000000000003"/>
    <n v="1438"/>
    <n v="25"/>
    <x v="0"/>
  </r>
  <r>
    <x v="1329"/>
    <n v="7.4"/>
    <n v="0.6"/>
    <n v="0.26"/>
    <n v="2.1"/>
    <n v="8.3000000000000004E-2"/>
    <n v="17"/>
    <n v="91"/>
    <n v="0.99616000000000005"/>
    <n v="3.29"/>
    <n v="0.56000000000000005"/>
    <n v="9.8000000000000007"/>
    <n v="6"/>
    <x v="0"/>
    <s v="Normal"/>
    <n v="19.240000000000002"/>
    <n v="1058"/>
    <n v="74"/>
    <x v="0"/>
  </r>
  <r>
    <x v="1330"/>
    <n v="7.4"/>
    <n v="0.6"/>
    <n v="0.26"/>
    <n v="2.1"/>
    <n v="8.3000000000000004E-2"/>
    <n v="17"/>
    <n v="91"/>
    <n v="0.99616000000000005"/>
    <n v="3.29"/>
    <n v="0.56000000000000005"/>
    <n v="9.8000000000000007"/>
    <n v="6"/>
    <x v="0"/>
    <s v="Normal"/>
    <n v="19.240000000000002"/>
    <n v="1058"/>
    <n v="74"/>
    <x v="0"/>
  </r>
  <r>
    <x v="1331"/>
    <n v="7.8"/>
    <n v="0.87"/>
    <n v="0.26"/>
    <n v="3.8"/>
    <n v="0.107"/>
    <n v="31"/>
    <n v="67"/>
    <n v="0.99668000000000001"/>
    <n v="3.26"/>
    <n v="0.46"/>
    <n v="9.1999999999999993"/>
    <n v="5"/>
    <x v="0"/>
    <s v="Normal"/>
    <n v="17.350000000000001"/>
    <n v="1591"/>
    <n v="36"/>
    <x v="0"/>
  </r>
  <r>
    <x v="1332"/>
    <n v="8.4"/>
    <n v="0.39"/>
    <n v="0.1"/>
    <n v="1.7"/>
    <n v="7.4999999999999997E-2"/>
    <n v="6"/>
    <n v="25"/>
    <n v="0.99580999999999997"/>
    <n v="3.09"/>
    <n v="0.43"/>
    <n v="9.6999999999999993"/>
    <n v="6"/>
    <x v="0"/>
    <s v="High"/>
    <n v="19.264999999999997"/>
    <n v="1055"/>
    <n v="19"/>
    <x v="0"/>
  </r>
  <r>
    <x v="1333"/>
    <n v="9.1"/>
    <n v="0.77500000000000002"/>
    <n v="0.22"/>
    <n v="2.2000000000000002"/>
    <n v="7.9000000000000001E-2"/>
    <n v="12"/>
    <n v="48"/>
    <n v="0.99760000000000004"/>
    <n v="3.18"/>
    <n v="0.51"/>
    <n v="9.6"/>
    <n v="5"/>
    <x v="0"/>
    <s v="High"/>
    <n v="18.414999999999999"/>
    <n v="1410"/>
    <n v="36"/>
    <x v="0"/>
  </r>
  <r>
    <x v="1334"/>
    <n v="7.2"/>
    <n v="0.83499999999999996"/>
    <n v="0"/>
    <n v="2"/>
    <n v="0.16600000000000001"/>
    <n v="4"/>
    <n v="11"/>
    <n v="0.99607999999999997"/>
    <n v="3.39"/>
    <n v="0.52"/>
    <n v="10"/>
    <n v="5"/>
    <x v="0"/>
    <s v="Normal"/>
    <n v="19.11"/>
    <n v="1116"/>
    <n v="7"/>
    <x v="1"/>
  </r>
  <r>
    <x v="1335"/>
    <n v="6.6"/>
    <n v="0.57999999999999996"/>
    <n v="0.02"/>
    <n v="2.4"/>
    <n v="6.9000000000000006E-2"/>
    <n v="19"/>
    <n v="40"/>
    <n v="0.99387000000000003"/>
    <n v="3.38"/>
    <n v="0.66"/>
    <n v="12.6"/>
    <n v="6"/>
    <x v="0"/>
    <s v="Normal"/>
    <n v="25.029999999999998"/>
    <n v="93"/>
    <n v="21"/>
    <x v="1"/>
  </r>
  <r>
    <x v="1336"/>
    <n v="6"/>
    <n v="0.5"/>
    <n v="0"/>
    <n v="1.4"/>
    <n v="5.7000000000000002E-2"/>
    <n v="15"/>
    <n v="26"/>
    <n v="0.99448000000000003"/>
    <n v="3.36"/>
    <n v="0.45"/>
    <n v="9.5"/>
    <n v="5"/>
    <x v="0"/>
    <s v="Normal"/>
    <n v="18.675000000000001"/>
    <n v="1304"/>
    <n v="11"/>
    <x v="0"/>
  </r>
  <r>
    <x v="1337"/>
    <n v="6"/>
    <n v="0.5"/>
    <n v="0"/>
    <n v="1.4"/>
    <n v="5.7000000000000002E-2"/>
    <n v="15"/>
    <n v="26"/>
    <n v="0.99448000000000003"/>
    <n v="3.36"/>
    <n v="0.45"/>
    <n v="9.5"/>
    <n v="5"/>
    <x v="0"/>
    <s v="Normal"/>
    <n v="18.675000000000001"/>
    <n v="1304"/>
    <n v="11"/>
    <x v="0"/>
  </r>
  <r>
    <x v="1338"/>
    <n v="6"/>
    <n v="0.5"/>
    <n v="0"/>
    <n v="1.4"/>
    <n v="5.7000000000000002E-2"/>
    <n v="15"/>
    <n v="26"/>
    <n v="0.99448000000000003"/>
    <n v="3.36"/>
    <n v="0.45"/>
    <n v="9.5"/>
    <n v="5"/>
    <x v="0"/>
    <s v="Normal"/>
    <n v="18.675000000000001"/>
    <n v="1304"/>
    <n v="11"/>
    <x v="0"/>
  </r>
  <r>
    <x v="1339"/>
    <n v="7.5"/>
    <n v="0.51"/>
    <n v="0.02"/>
    <n v="1.7"/>
    <n v="8.4000000000000005E-2"/>
    <n v="13"/>
    <n v="31"/>
    <n v="0.99538000000000004"/>
    <n v="3.36"/>
    <n v="0.54"/>
    <n v="10.5"/>
    <n v="6"/>
    <x v="0"/>
    <s v="Normal"/>
    <n v="20.79"/>
    <n v="697"/>
    <n v="18"/>
    <x v="1"/>
  </r>
  <r>
    <x v="1340"/>
    <n v="7.5"/>
    <n v="0.51"/>
    <n v="0.02"/>
    <n v="1.7"/>
    <n v="8.4000000000000005E-2"/>
    <n v="13"/>
    <n v="31"/>
    <n v="0.99538000000000004"/>
    <n v="3.36"/>
    <n v="0.54"/>
    <n v="10.5"/>
    <n v="6"/>
    <x v="0"/>
    <s v="Normal"/>
    <n v="20.79"/>
    <n v="697"/>
    <n v="18"/>
    <x v="1"/>
  </r>
  <r>
    <x v="1341"/>
    <n v="7.5"/>
    <n v="0.51"/>
    <n v="0.02"/>
    <n v="1.7"/>
    <n v="8.4000000000000005E-2"/>
    <n v="13"/>
    <n v="31"/>
    <n v="0.99538000000000004"/>
    <n v="3.36"/>
    <n v="0.54"/>
    <n v="10.5"/>
    <n v="6"/>
    <x v="0"/>
    <s v="Normal"/>
    <n v="20.79"/>
    <n v="697"/>
    <n v="18"/>
    <x v="1"/>
  </r>
  <r>
    <x v="1342"/>
    <n v="7.6"/>
    <n v="0.54"/>
    <n v="0.02"/>
    <n v="1.7"/>
    <n v="8.5000000000000006E-2"/>
    <n v="17"/>
    <n v="31"/>
    <n v="0.99589000000000005"/>
    <n v="3.37"/>
    <n v="0.51"/>
    <n v="10.4"/>
    <n v="6"/>
    <x v="0"/>
    <s v="Normal"/>
    <n v="20.484999999999999"/>
    <n v="756"/>
    <n v="14"/>
    <x v="1"/>
  </r>
  <r>
    <x v="1343"/>
    <n v="7.5"/>
    <n v="0.51"/>
    <n v="0.02"/>
    <n v="1.7"/>
    <n v="8.4000000000000005E-2"/>
    <n v="13"/>
    <n v="31"/>
    <n v="0.99538000000000004"/>
    <n v="3.36"/>
    <n v="0.54"/>
    <n v="10.5"/>
    <n v="6"/>
    <x v="0"/>
    <s v="Normal"/>
    <n v="20.79"/>
    <n v="697"/>
    <n v="18"/>
    <x v="1"/>
  </r>
  <r>
    <x v="1344"/>
    <n v="11.5"/>
    <n v="0.42"/>
    <n v="0.48"/>
    <n v="2.6"/>
    <n v="7.6999999999999999E-2"/>
    <n v="8"/>
    <n v="20"/>
    <n v="0.99851999999999996"/>
    <n v="3.09"/>
    <n v="0.53"/>
    <n v="11"/>
    <n v="5"/>
    <x v="0"/>
    <s v="High"/>
    <n v="21.955000000000002"/>
    <n v="461"/>
    <n v="12"/>
    <x v="0"/>
  </r>
  <r>
    <x v="1345"/>
    <n v="8.1999999999999993"/>
    <n v="0.44"/>
    <n v="0.24"/>
    <n v="2.2999999999999998"/>
    <n v="6.3E-2"/>
    <n v="10"/>
    <n v="28"/>
    <n v="0.99612999999999996"/>
    <n v="3.25"/>
    <n v="0.53"/>
    <n v="10.199999999999999"/>
    <n v="6"/>
    <x v="0"/>
    <s v="Normal"/>
    <n v="20.315000000000001"/>
    <n v="788"/>
    <n v="18"/>
    <x v="1"/>
  </r>
  <r>
    <x v="1346"/>
    <n v="6.1"/>
    <n v="0.59"/>
    <n v="0.01"/>
    <n v="2.1"/>
    <n v="5.6000000000000001E-2"/>
    <n v="5"/>
    <n v="13"/>
    <n v="0.99472000000000005"/>
    <n v="3.52"/>
    <n v="0.56000000000000005"/>
    <n v="11.4"/>
    <n v="5"/>
    <x v="0"/>
    <s v="Normal"/>
    <n v="22.46"/>
    <n v="376"/>
    <n v="8"/>
    <x v="1"/>
  </r>
  <r>
    <x v="1347"/>
    <n v="7.2"/>
    <n v="0.65500000000000003"/>
    <n v="0.03"/>
    <n v="1.8"/>
    <n v="7.8E-2"/>
    <n v="7"/>
    <n v="12"/>
    <n v="0.99587000000000003"/>
    <n v="3.34"/>
    <n v="0.39"/>
    <n v="9.5"/>
    <n v="5"/>
    <x v="0"/>
    <s v="Normal"/>
    <n v="18.275000000000002"/>
    <n v="1458"/>
    <n v="5"/>
    <x v="0"/>
  </r>
  <r>
    <x v="1348"/>
    <n v="7.2"/>
    <n v="0.65500000000000003"/>
    <n v="0.03"/>
    <n v="1.8"/>
    <n v="7.8E-2"/>
    <n v="7"/>
    <n v="12"/>
    <n v="0.99587000000000003"/>
    <n v="3.34"/>
    <n v="0.39"/>
    <n v="9.5"/>
    <n v="5"/>
    <x v="0"/>
    <s v="Normal"/>
    <n v="18.275000000000002"/>
    <n v="1458"/>
    <n v="5"/>
    <x v="0"/>
  </r>
  <r>
    <x v="1349"/>
    <n v="6.9"/>
    <n v="0.56999999999999995"/>
    <n v="0"/>
    <n v="2.8"/>
    <n v="8.1000000000000003E-2"/>
    <n v="21"/>
    <n v="41"/>
    <n v="0.99517999999999995"/>
    <n v="3.41"/>
    <n v="0.52"/>
    <n v="10.8"/>
    <n v="5"/>
    <x v="0"/>
    <s v="Normal"/>
    <n v="21.240000000000002"/>
    <n v="590"/>
    <n v="20"/>
    <x v="1"/>
  </r>
  <r>
    <x v="1350"/>
    <n v="9"/>
    <n v="0.6"/>
    <n v="0.28999999999999998"/>
    <n v="2"/>
    <n v="6.9000000000000006E-2"/>
    <n v="32"/>
    <n v="73"/>
    <n v="0.99653999999999998"/>
    <n v="3.34"/>
    <n v="0.56999999999999995"/>
    <n v="10"/>
    <n v="5"/>
    <x v="0"/>
    <s v="Normal"/>
    <n v="19.655000000000001"/>
    <n v="936"/>
    <n v="41"/>
    <x v="1"/>
  </r>
  <r>
    <x v="1351"/>
    <n v="7.2"/>
    <n v="0.62"/>
    <n v="0.01"/>
    <n v="2.2999999999999998"/>
    <n v="6.5000000000000002E-2"/>
    <n v="8"/>
    <n v="46"/>
    <n v="0.99331999999999998"/>
    <n v="3.32"/>
    <n v="0.51"/>
    <n v="11.8"/>
    <n v="6"/>
    <x v="0"/>
    <s v="Normal"/>
    <n v="23.125000000000004"/>
    <n v="256"/>
    <n v="38"/>
    <x v="1"/>
  </r>
  <r>
    <x v="1352"/>
    <n v="7.6"/>
    <n v="0.64500000000000002"/>
    <n v="0.03"/>
    <n v="1.9"/>
    <n v="8.5999999999999993E-2"/>
    <n v="14"/>
    <n v="57"/>
    <n v="0.99690000000000001"/>
    <n v="3.37"/>
    <n v="0.46"/>
    <n v="10.3"/>
    <n v="5"/>
    <x v="0"/>
    <s v="Normal"/>
    <n v="20.000000000000004"/>
    <n v="854"/>
    <n v="43"/>
    <x v="1"/>
  </r>
  <r>
    <x v="1353"/>
    <n v="7.6"/>
    <n v="0.64500000000000002"/>
    <n v="0.03"/>
    <n v="1.9"/>
    <n v="8.5999999999999993E-2"/>
    <n v="14"/>
    <n v="57"/>
    <n v="0.99690000000000001"/>
    <n v="3.37"/>
    <n v="0.46"/>
    <n v="10.3"/>
    <n v="5"/>
    <x v="0"/>
    <s v="Normal"/>
    <n v="20.000000000000004"/>
    <n v="854"/>
    <n v="43"/>
    <x v="1"/>
  </r>
  <r>
    <x v="1354"/>
    <n v="7.2"/>
    <n v="0.57999999999999996"/>
    <n v="0.03"/>
    <n v="2.2999999999999998"/>
    <n v="7.6999999999999999E-2"/>
    <n v="7"/>
    <n v="28"/>
    <n v="0.99568000000000001"/>
    <n v="3.35"/>
    <n v="0.52"/>
    <n v="10"/>
    <n v="5"/>
    <x v="0"/>
    <s v="Normal"/>
    <n v="19.62"/>
    <n v="943"/>
    <n v="21"/>
    <x v="1"/>
  </r>
  <r>
    <x v="1355"/>
    <n v="6.1"/>
    <n v="0.32"/>
    <n v="0.25"/>
    <n v="1.8"/>
    <n v="8.5999999999999993E-2"/>
    <n v="5"/>
    <n v="32"/>
    <n v="0.99463999999999997"/>
    <n v="3.36"/>
    <n v="0.44"/>
    <n v="10.1"/>
    <n v="5"/>
    <x v="0"/>
    <s v="Normal"/>
    <n v="20.22"/>
    <n v="809"/>
    <n v="27"/>
    <x v="1"/>
  </r>
  <r>
    <x v="1356"/>
    <n v="6.1"/>
    <n v="0.34"/>
    <n v="0.25"/>
    <n v="1.8"/>
    <n v="8.4000000000000005E-2"/>
    <n v="4"/>
    <n v="28"/>
    <n v="0.99463999999999997"/>
    <n v="3.36"/>
    <n v="0.44"/>
    <n v="10.1"/>
    <n v="5"/>
    <x v="0"/>
    <s v="Normal"/>
    <n v="20.18"/>
    <n v="819"/>
    <n v="24"/>
    <x v="1"/>
  </r>
  <r>
    <x v="1357"/>
    <n v="7.3"/>
    <n v="0.43"/>
    <n v="0.24"/>
    <n v="2.5"/>
    <n v="7.8E-2"/>
    <n v="27"/>
    <n v="67"/>
    <n v="0.99648000000000003"/>
    <n v="3.6"/>
    <n v="0.59"/>
    <n v="11.1"/>
    <n v="6"/>
    <x v="0"/>
    <s v="Normal"/>
    <n v="22.225000000000001"/>
    <n v="418"/>
    <n v="40"/>
    <x v="1"/>
  </r>
  <r>
    <x v="1358"/>
    <n v="7.4"/>
    <n v="0.64"/>
    <n v="0.17"/>
    <n v="5.4"/>
    <n v="0.16800000000000001"/>
    <n v="52"/>
    <n v="98"/>
    <n v="0.99736000000000002"/>
    <n v="3.28"/>
    <n v="0.5"/>
    <n v="9.5"/>
    <n v="5"/>
    <x v="0"/>
    <s v="Normal"/>
    <n v="18.47"/>
    <n v="1384"/>
    <n v="46"/>
    <x v="0"/>
  </r>
  <r>
    <x v="1359"/>
    <n v="11.6"/>
    <n v="0.47499999999999998"/>
    <n v="0.4"/>
    <n v="1.4"/>
    <n v="9.0999999999999998E-2"/>
    <n v="6"/>
    <n v="28"/>
    <n v="0.99704000000000004"/>
    <n v="3.07"/>
    <n v="0.65"/>
    <n v="10.033333333333299"/>
    <n v="6"/>
    <x v="0"/>
    <s v="High"/>
    <n v="20.091666666666601"/>
    <n v="841"/>
    <n v="22"/>
    <x v="0"/>
  </r>
  <r>
    <x v="1360"/>
    <n v="9.1999999999999993"/>
    <n v="0.54"/>
    <n v="0.31"/>
    <n v="2.2999999999999998"/>
    <n v="0.112"/>
    <n v="11"/>
    <n v="38"/>
    <n v="0.99699000000000004"/>
    <n v="3.24"/>
    <n v="0.56000000000000005"/>
    <n v="10.9"/>
    <n v="5"/>
    <x v="0"/>
    <s v="High"/>
    <n v="21.560000000000002"/>
    <n v="536"/>
    <n v="27"/>
    <x v="1"/>
  </r>
  <r>
    <x v="1361"/>
    <n v="8.3000000000000007"/>
    <n v="0.85"/>
    <n v="0.14000000000000001"/>
    <n v="2.5"/>
    <n v="9.2999999999999999E-2"/>
    <n v="13"/>
    <n v="54"/>
    <n v="0.99724000000000002"/>
    <n v="3.36"/>
    <n v="0.54"/>
    <n v="10.1"/>
    <n v="5"/>
    <x v="0"/>
    <s v="Normal"/>
    <n v="19.309999999999999"/>
    <n v="1037"/>
    <n v="41"/>
    <x v="1"/>
  </r>
  <r>
    <x v="1362"/>
    <n v="11.6"/>
    <n v="0.47499999999999998"/>
    <n v="0.4"/>
    <n v="1.4"/>
    <n v="9.0999999999999998E-2"/>
    <n v="6"/>
    <n v="28"/>
    <n v="0.99704000000000004"/>
    <n v="3.07"/>
    <n v="0.65"/>
    <n v="10.033333333333299"/>
    <n v="6"/>
    <x v="0"/>
    <s v="High"/>
    <n v="20.091666666666601"/>
    <n v="841"/>
    <n v="22"/>
    <x v="0"/>
  </r>
  <r>
    <x v="1363"/>
    <n v="8"/>
    <n v="0.83"/>
    <n v="0.27"/>
    <n v="2"/>
    <n v="0.08"/>
    <n v="11"/>
    <n v="63"/>
    <n v="0.99651999999999996"/>
    <n v="3.29"/>
    <n v="0.48"/>
    <n v="9.8000000000000007"/>
    <n v="4"/>
    <x v="2"/>
    <s v="Normal"/>
    <n v="18.66"/>
    <n v="1312"/>
    <n v="52"/>
    <x v="0"/>
  </r>
  <r>
    <x v="1364"/>
    <n v="7.2"/>
    <n v="0.60499999999999998"/>
    <n v="0.02"/>
    <n v="1.9"/>
    <n v="9.6000000000000002E-2"/>
    <n v="10"/>
    <n v="31"/>
    <n v="0.995"/>
    <n v="3.46"/>
    <n v="0.53"/>
    <n v="11.8"/>
    <n v="6"/>
    <x v="0"/>
    <s v="Normal"/>
    <n v="23.185000000000002"/>
    <n v="247"/>
    <n v="21"/>
    <x v="1"/>
  </r>
  <r>
    <x v="1365"/>
    <n v="7.8"/>
    <n v="0.5"/>
    <n v="0.09"/>
    <n v="2.2000000000000002"/>
    <n v="0.115"/>
    <n v="10"/>
    <n v="42"/>
    <n v="0.99709999999999999"/>
    <n v="3.18"/>
    <n v="0.62"/>
    <n v="9.5"/>
    <n v="5"/>
    <x v="0"/>
    <s v="Normal"/>
    <n v="18.93"/>
    <n v="1191"/>
    <n v="32"/>
    <x v="0"/>
  </r>
  <r>
    <x v="1366"/>
    <n v="7.3"/>
    <n v="0.74"/>
    <n v="0.08"/>
    <n v="1.7"/>
    <n v="9.4E-2"/>
    <n v="10"/>
    <n v="45"/>
    <n v="0.99575999999999998"/>
    <n v="3.24"/>
    <n v="0.5"/>
    <n v="9.8000000000000007"/>
    <n v="5"/>
    <x v="0"/>
    <s v="Normal"/>
    <n v="18.87"/>
    <n v="1218"/>
    <n v="35"/>
    <x v="0"/>
  </r>
  <r>
    <x v="1367"/>
    <n v="6.9"/>
    <n v="0.54"/>
    <n v="0.3"/>
    <n v="2.2000000000000002"/>
    <n v="8.7999999999999995E-2"/>
    <n v="9"/>
    <n v="105"/>
    <n v="0.99724999999999997"/>
    <n v="3.25"/>
    <n v="1.18"/>
    <n v="10.5"/>
    <n v="6"/>
    <x v="0"/>
    <s v="Normal"/>
    <n v="21.689999999999998"/>
    <n v="508"/>
    <n v="96"/>
    <x v="1"/>
  </r>
  <r>
    <x v="1368"/>
    <n v="8"/>
    <n v="0.77"/>
    <n v="0.32"/>
    <n v="2.1"/>
    <n v="7.9000000000000001E-2"/>
    <n v="16"/>
    <n v="74"/>
    <n v="0.99656"/>
    <n v="3.27"/>
    <n v="0.5"/>
    <n v="9.8000000000000007"/>
    <n v="6"/>
    <x v="0"/>
    <s v="Normal"/>
    <n v="18.810000000000002"/>
    <n v="1243"/>
    <n v="58"/>
    <x v="0"/>
  </r>
  <r>
    <x v="1369"/>
    <n v="6.6"/>
    <n v="0.61"/>
    <n v="0"/>
    <n v="1.6"/>
    <n v="6.9000000000000006E-2"/>
    <n v="4"/>
    <n v="8"/>
    <n v="0.99395999999999995"/>
    <n v="3.33"/>
    <n v="0.37"/>
    <n v="10.4"/>
    <n v="4"/>
    <x v="2"/>
    <s v="Normal"/>
    <n v="20.135000000000002"/>
    <n v="830"/>
    <n v="4"/>
    <x v="1"/>
  </r>
  <r>
    <x v="1370"/>
    <n v="8.6999999999999993"/>
    <n v="0.78"/>
    <n v="0.51"/>
    <n v="1.7"/>
    <n v="0.41499999999999998"/>
    <n v="12"/>
    <n v="66"/>
    <n v="0.99622999999999995"/>
    <n v="3"/>
    <n v="1.17"/>
    <n v="9.1999999999999993"/>
    <n v="5"/>
    <x v="0"/>
    <s v="High"/>
    <n v="18.594999999999999"/>
    <n v="1346"/>
    <n v="54"/>
    <x v="0"/>
  </r>
  <r>
    <x v="1371"/>
    <n v="7.5"/>
    <n v="0.57999999999999996"/>
    <n v="0.56000000000000005"/>
    <n v="3.1"/>
    <n v="0.153"/>
    <n v="5"/>
    <n v="14"/>
    <n v="0.99475999999999998"/>
    <n v="3.21"/>
    <n v="1.03"/>
    <n v="11.6"/>
    <n v="6"/>
    <x v="0"/>
    <s v="Normal"/>
    <n v="23.584999999999997"/>
    <n v="209"/>
    <n v="9"/>
    <x v="1"/>
  </r>
  <r>
    <x v="1372"/>
    <n v="8.6999999999999993"/>
    <n v="0.78"/>
    <n v="0.51"/>
    <n v="1.7"/>
    <n v="0.41499999999999998"/>
    <n v="12"/>
    <n v="66"/>
    <n v="0.99622999999999995"/>
    <n v="3"/>
    <n v="1.17"/>
    <n v="9.1999999999999993"/>
    <n v="5"/>
    <x v="0"/>
    <s v="High"/>
    <n v="18.594999999999999"/>
    <n v="1346"/>
    <n v="54"/>
    <x v="0"/>
  </r>
  <r>
    <x v="1373"/>
    <n v="7.7"/>
    <n v="0.75"/>
    <n v="0.27"/>
    <n v="3.8"/>
    <n v="0.11"/>
    <n v="34"/>
    <n v="89"/>
    <n v="0.99663999999999997"/>
    <n v="3.24"/>
    <n v="0.45"/>
    <n v="9.3000000000000007"/>
    <n v="5"/>
    <x v="0"/>
    <s v="Normal"/>
    <n v="17.775000000000002"/>
    <n v="1560"/>
    <n v="55"/>
    <x v="0"/>
  </r>
  <r>
    <x v="1374"/>
    <n v="6.8"/>
    <n v="0.81499999999999995"/>
    <n v="0"/>
    <n v="1.2"/>
    <n v="0.26700000000000002"/>
    <n v="16"/>
    <n v="29"/>
    <n v="0.99470999999999998"/>
    <n v="3.32"/>
    <n v="0.51"/>
    <n v="9.8000000000000007"/>
    <n v="3"/>
    <x v="2"/>
    <s v="Normal"/>
    <n v="18.735000000000003"/>
    <n v="1268"/>
    <n v="13"/>
    <x v="0"/>
  </r>
  <r>
    <x v="1375"/>
    <n v="7.2"/>
    <n v="0.56000000000000005"/>
    <n v="0.26"/>
    <n v="2"/>
    <n v="8.3000000000000004E-2"/>
    <n v="13"/>
    <n v="100"/>
    <n v="0.99585999999999997"/>
    <n v="3.26"/>
    <n v="0.52"/>
    <n v="9.9"/>
    <n v="5"/>
    <x v="0"/>
    <s v="Normal"/>
    <n v="19.46"/>
    <n v="991"/>
    <n v="87"/>
    <x v="0"/>
  </r>
  <r>
    <x v="1376"/>
    <n v="8.1999999999999993"/>
    <n v="0.88500000000000001"/>
    <n v="0.2"/>
    <n v="1.4"/>
    <n v="8.5999999999999993E-2"/>
    <n v="7"/>
    <n v="31"/>
    <n v="0.99460000000000004"/>
    <n v="3.11"/>
    <n v="0.46"/>
    <n v="10"/>
    <n v="5"/>
    <x v="0"/>
    <s v="Normal"/>
    <n v="18.920000000000002"/>
    <n v="1195"/>
    <n v="24"/>
    <x v="0"/>
  </r>
  <r>
    <x v="1377"/>
    <n v="5.2"/>
    <n v="0.49"/>
    <n v="0.26"/>
    <n v="2.2999999999999998"/>
    <n v="0.09"/>
    <n v="23"/>
    <n v="74"/>
    <n v="0.99529999999999996"/>
    <n v="3.71"/>
    <n v="0.62"/>
    <n v="12.2"/>
    <n v="6"/>
    <x v="0"/>
    <s v="Normal"/>
    <n v="24.349999999999998"/>
    <n v="147"/>
    <n v="51"/>
    <x v="1"/>
  </r>
  <r>
    <x v="1378"/>
    <n v="7.2"/>
    <n v="0.45"/>
    <n v="0.15"/>
    <n v="2"/>
    <n v="7.8E-2"/>
    <n v="10"/>
    <n v="28"/>
    <n v="0.99609000000000003"/>
    <n v="3.29"/>
    <n v="0.51"/>
    <n v="9.9"/>
    <n v="6"/>
    <x v="0"/>
    <s v="Normal"/>
    <n v="19.665000000000003"/>
    <n v="934"/>
    <n v="18"/>
    <x v="0"/>
  </r>
  <r>
    <x v="1379"/>
    <n v="7.5"/>
    <n v="0.56999999999999995"/>
    <n v="0.02"/>
    <n v="2.6"/>
    <n v="7.6999999999999999E-2"/>
    <n v="11"/>
    <n v="35"/>
    <n v="0.99556999999999995"/>
    <n v="3.36"/>
    <n v="0.62"/>
    <n v="10.8"/>
    <n v="6"/>
    <x v="0"/>
    <s v="Normal"/>
    <n v="21.39"/>
    <n v="559"/>
    <n v="24"/>
    <x v="1"/>
  </r>
  <r>
    <x v="1380"/>
    <n v="7.5"/>
    <n v="0.56999999999999995"/>
    <n v="0.02"/>
    <n v="2.6"/>
    <n v="7.6999999999999999E-2"/>
    <n v="11"/>
    <n v="35"/>
    <n v="0.99556999999999995"/>
    <n v="3.36"/>
    <n v="0.62"/>
    <n v="10.8"/>
    <n v="6"/>
    <x v="0"/>
    <s v="Normal"/>
    <n v="21.39"/>
    <n v="559"/>
    <n v="24"/>
    <x v="1"/>
  </r>
  <r>
    <x v="1381"/>
    <n v="6.8"/>
    <n v="0.83"/>
    <n v="0.09"/>
    <n v="1.8"/>
    <n v="7.3999999999999996E-2"/>
    <n v="4"/>
    <n v="25"/>
    <n v="0.99534"/>
    <n v="3.38"/>
    <n v="0.45"/>
    <n v="9.6"/>
    <n v="5"/>
    <x v="0"/>
    <s v="Normal"/>
    <n v="18.215"/>
    <n v="1479"/>
    <n v="21"/>
    <x v="0"/>
  </r>
  <r>
    <x v="1382"/>
    <n v="8"/>
    <n v="0.6"/>
    <n v="0.22"/>
    <n v="2.1"/>
    <n v="0.08"/>
    <n v="25"/>
    <n v="105"/>
    <n v="0.99612999999999996"/>
    <n v="3.3"/>
    <n v="0.49"/>
    <n v="9.9"/>
    <n v="5"/>
    <x v="0"/>
    <s v="Normal"/>
    <n v="19.335000000000001"/>
    <n v="1029"/>
    <n v="80"/>
    <x v="0"/>
  </r>
  <r>
    <x v="1383"/>
    <n v="8"/>
    <n v="0.6"/>
    <n v="0.22"/>
    <n v="2.1"/>
    <n v="0.08"/>
    <n v="25"/>
    <n v="105"/>
    <n v="0.99612999999999996"/>
    <n v="3.3"/>
    <n v="0.49"/>
    <n v="9.9"/>
    <n v="5"/>
    <x v="0"/>
    <s v="Normal"/>
    <n v="19.335000000000001"/>
    <n v="1029"/>
    <n v="80"/>
    <x v="0"/>
  </r>
  <r>
    <x v="1384"/>
    <n v="7.1"/>
    <n v="0.755"/>
    <n v="0.15"/>
    <n v="1.8"/>
    <n v="0.107"/>
    <n v="20"/>
    <n v="84"/>
    <n v="0.99592999999999998"/>
    <n v="3.19"/>
    <n v="0.5"/>
    <n v="9.5"/>
    <n v="5"/>
    <x v="0"/>
    <s v="Normal"/>
    <n v="18.239999999999998"/>
    <n v="1472"/>
    <n v="64"/>
    <x v="0"/>
  </r>
  <r>
    <x v="1385"/>
    <n v="8"/>
    <n v="0.81"/>
    <n v="0.25"/>
    <n v="3.4"/>
    <n v="7.5999999999999998E-2"/>
    <n v="34"/>
    <n v="85"/>
    <n v="0.99668000000000001"/>
    <n v="3.19"/>
    <n v="0.42"/>
    <n v="9.1999999999999993"/>
    <n v="5"/>
    <x v="0"/>
    <s v="Normal"/>
    <n v="17.409999999999997"/>
    <n v="1589"/>
    <n v="51"/>
    <x v="0"/>
  </r>
  <r>
    <x v="1386"/>
    <n v="7.4"/>
    <n v="0.64"/>
    <n v="7.0000000000000007E-2"/>
    <n v="1.8"/>
    <n v="0.1"/>
    <n v="8"/>
    <n v="23"/>
    <n v="0.99609999999999999"/>
    <n v="3.3"/>
    <n v="0.57999999999999996"/>
    <n v="9.6"/>
    <n v="5"/>
    <x v="0"/>
    <s v="Normal"/>
    <n v="18.79"/>
    <n v="1249"/>
    <n v="15"/>
    <x v="0"/>
  </r>
  <r>
    <x v="1387"/>
    <n v="7.4"/>
    <n v="0.64"/>
    <n v="7.0000000000000007E-2"/>
    <n v="1.8"/>
    <n v="0.1"/>
    <n v="8"/>
    <n v="23"/>
    <n v="0.99609999999999999"/>
    <n v="3.3"/>
    <n v="0.57999999999999996"/>
    <n v="9.6"/>
    <n v="5"/>
    <x v="0"/>
    <s v="Normal"/>
    <n v="18.79"/>
    <n v="1249"/>
    <n v="15"/>
    <x v="0"/>
  </r>
  <r>
    <x v="1388"/>
    <n v="6.6"/>
    <n v="0.64"/>
    <n v="0.31"/>
    <n v="6.1"/>
    <n v="8.3000000000000004E-2"/>
    <n v="7"/>
    <n v="49"/>
    <n v="0.99717999999999996"/>
    <n v="3.35"/>
    <n v="0.68"/>
    <n v="10.3"/>
    <n v="5"/>
    <x v="0"/>
    <s v="Normal"/>
    <n v="20.34"/>
    <n v="782"/>
    <n v="42"/>
    <x v="1"/>
  </r>
  <r>
    <x v="1389"/>
    <n v="6.7"/>
    <n v="0.48"/>
    <n v="0.02"/>
    <n v="2.2000000000000002"/>
    <n v="0.08"/>
    <n v="36"/>
    <n v="111"/>
    <n v="0.99524000000000001"/>
    <n v="3.1"/>
    <n v="0.53"/>
    <n v="9.6999999999999993"/>
    <n v="5"/>
    <x v="0"/>
    <s v="Normal"/>
    <n v="19.234999999999999"/>
    <n v="1066"/>
    <n v="75"/>
    <x v="0"/>
  </r>
  <r>
    <x v="1390"/>
    <n v="6"/>
    <n v="0.49"/>
    <n v="0"/>
    <n v="2.2999999999999998"/>
    <n v="6.8000000000000005E-2"/>
    <n v="15"/>
    <n v="33"/>
    <n v="0.99292000000000002"/>
    <n v="3.58"/>
    <n v="0.59"/>
    <n v="12.5"/>
    <n v="6"/>
    <x v="0"/>
    <s v="Normal"/>
    <n v="24.905000000000001"/>
    <n v="97"/>
    <n v="18"/>
    <x v="1"/>
  </r>
  <r>
    <x v="1391"/>
    <n v="8"/>
    <n v="0.64"/>
    <n v="0.22"/>
    <n v="2.4"/>
    <n v="9.4E-2"/>
    <n v="5"/>
    <n v="33"/>
    <n v="0.99612000000000001"/>
    <n v="3.37"/>
    <n v="0.57999999999999996"/>
    <n v="11"/>
    <n v="5"/>
    <x v="0"/>
    <s v="Normal"/>
    <n v="21.59"/>
    <n v="528"/>
    <n v="28"/>
    <x v="1"/>
  </r>
  <r>
    <x v="1392"/>
    <n v="7.1"/>
    <n v="0.62"/>
    <n v="0.06"/>
    <n v="1.3"/>
    <n v="7.0000000000000007E-2"/>
    <n v="5"/>
    <n v="12"/>
    <n v="0.99419999999999997"/>
    <n v="3.17"/>
    <n v="0.48"/>
    <n v="9.8000000000000007"/>
    <n v="5"/>
    <x v="0"/>
    <s v="Normal"/>
    <n v="19.080000000000002"/>
    <n v="1131"/>
    <n v="7"/>
    <x v="0"/>
  </r>
  <r>
    <x v="1393"/>
    <n v="8"/>
    <n v="0.52"/>
    <n v="0.25"/>
    <n v="2"/>
    <n v="7.8E-2"/>
    <n v="19"/>
    <n v="59"/>
    <n v="0.99612000000000001"/>
    <n v="3.3"/>
    <n v="0.48"/>
    <n v="10.199999999999999"/>
    <n v="5"/>
    <x v="0"/>
    <s v="Normal"/>
    <n v="20.079999999999998"/>
    <n v="844"/>
    <n v="40"/>
    <x v="1"/>
  </r>
  <r>
    <x v="1394"/>
    <n v="6.4"/>
    <n v="0.56999999999999995"/>
    <n v="0.14000000000000001"/>
    <n v="3.9"/>
    <n v="7.0000000000000007E-2"/>
    <n v="27"/>
    <n v="73"/>
    <n v="0.99668999999999996"/>
    <n v="3.32"/>
    <n v="0.48"/>
    <n v="9.1999999999999993"/>
    <n v="5"/>
    <x v="0"/>
    <s v="Normal"/>
    <n v="17.979999999999997"/>
    <n v="1525"/>
    <n v="46"/>
    <x v="0"/>
  </r>
  <r>
    <x v="1395"/>
    <n v="8.6"/>
    <n v="0.68500000000000005"/>
    <n v="0.1"/>
    <n v="1.6"/>
    <n v="9.1999999999999998E-2"/>
    <n v="3"/>
    <n v="12"/>
    <n v="0.99744999999999995"/>
    <n v="3.31"/>
    <n v="0.65"/>
    <n v="9.5500000000000007"/>
    <n v="6"/>
    <x v="0"/>
    <s v="High"/>
    <n v="18.705000000000002"/>
    <n v="1288"/>
    <n v="9"/>
    <x v="0"/>
  </r>
  <r>
    <x v="1396"/>
    <n v="8.6999999999999993"/>
    <n v="0.67500000000000004"/>
    <n v="0.1"/>
    <n v="1.6"/>
    <n v="0.09"/>
    <n v="4"/>
    <n v="11"/>
    <n v="0.99744999999999995"/>
    <n v="3.31"/>
    <n v="0.65"/>
    <n v="9.5500000000000007"/>
    <n v="5"/>
    <x v="0"/>
    <s v="High"/>
    <n v="18.725000000000001"/>
    <n v="1274"/>
    <n v="7"/>
    <x v="0"/>
  </r>
  <r>
    <x v="1397"/>
    <n v="7.3"/>
    <n v="0.59"/>
    <n v="0.26"/>
    <n v="2"/>
    <n v="0.08"/>
    <n v="17"/>
    <n v="104"/>
    <n v="0.99583999999999995"/>
    <n v="3.28"/>
    <n v="0.52"/>
    <n v="9.9"/>
    <n v="5"/>
    <x v="0"/>
    <s v="Normal"/>
    <n v="19.400000000000002"/>
    <n v="1004"/>
    <n v="87"/>
    <x v="0"/>
  </r>
  <r>
    <x v="1398"/>
    <n v="7"/>
    <n v="0.6"/>
    <n v="0.12"/>
    <n v="2.2000000000000002"/>
    <n v="8.3000000000000004E-2"/>
    <n v="13"/>
    <n v="28"/>
    <n v="0.99660000000000004"/>
    <n v="3.52"/>
    <n v="0.62"/>
    <n v="10.199999999999999"/>
    <n v="7"/>
    <x v="1"/>
    <s v="Normal"/>
    <n v="20.13"/>
    <n v="831"/>
    <n v="15"/>
    <x v="1"/>
  </r>
  <r>
    <x v="1399"/>
    <n v="7.2"/>
    <n v="0.67"/>
    <n v="0"/>
    <n v="2.2000000000000002"/>
    <n v="6.8000000000000005E-2"/>
    <n v="10"/>
    <n v="24"/>
    <n v="0.99560000000000004"/>
    <n v="3.42"/>
    <n v="0.72"/>
    <n v="11.1"/>
    <n v="6"/>
    <x v="0"/>
    <s v="Normal"/>
    <n v="21.94"/>
    <n v="465"/>
    <n v="14"/>
    <x v="1"/>
  </r>
  <r>
    <x v="1400"/>
    <n v="7.9"/>
    <n v="0.69"/>
    <n v="0.21"/>
    <n v="2.1"/>
    <n v="0.08"/>
    <n v="33"/>
    <n v="141"/>
    <n v="0.99619999999999997"/>
    <n v="3.25"/>
    <n v="0.51"/>
    <n v="9.9"/>
    <n v="5"/>
    <x v="0"/>
    <s v="Normal"/>
    <n v="19.185000000000002"/>
    <n v="1088"/>
    <n v="108"/>
    <x v="0"/>
  </r>
  <r>
    <x v="1401"/>
    <n v="7.9"/>
    <n v="0.69"/>
    <n v="0.21"/>
    <n v="2.1"/>
    <n v="0.08"/>
    <n v="33"/>
    <n v="141"/>
    <n v="0.99619999999999997"/>
    <n v="3.25"/>
    <n v="0.51"/>
    <n v="9.9"/>
    <n v="5"/>
    <x v="0"/>
    <s v="Normal"/>
    <n v="19.185000000000002"/>
    <n v="1088"/>
    <n v="108"/>
    <x v="0"/>
  </r>
  <r>
    <x v="1402"/>
    <n v="7.6"/>
    <n v="0.3"/>
    <n v="0.42"/>
    <n v="2"/>
    <n v="5.1999999999999998E-2"/>
    <n v="6"/>
    <n v="24"/>
    <n v="0.99629999999999996"/>
    <n v="3.44"/>
    <n v="0.82"/>
    <n v="11.9"/>
    <n v="6"/>
    <x v="0"/>
    <s v="Normal"/>
    <n v="24.43"/>
    <n v="132"/>
    <n v="18"/>
    <x v="1"/>
  </r>
  <r>
    <x v="1403"/>
    <n v="7.2"/>
    <n v="0.33"/>
    <n v="0.33"/>
    <n v="1.7"/>
    <n v="6.0999999999999999E-2"/>
    <n v="3"/>
    <n v="13"/>
    <n v="0.996"/>
    <n v="3.23"/>
    <n v="1.1000000000000001"/>
    <n v="10"/>
    <n v="8"/>
    <x v="1"/>
    <s v="Normal"/>
    <n v="20.99"/>
    <n v="654"/>
    <n v="10"/>
    <x v="1"/>
  </r>
  <r>
    <x v="1404"/>
    <n v="8"/>
    <n v="0.5"/>
    <n v="0.39"/>
    <n v="2.6"/>
    <n v="8.2000000000000003E-2"/>
    <n v="12"/>
    <n v="46"/>
    <n v="0.99850000000000005"/>
    <n v="3.43"/>
    <n v="0.62"/>
    <n v="10.7"/>
    <n v="6"/>
    <x v="0"/>
    <s v="Normal"/>
    <n v="21.33"/>
    <n v="573"/>
    <n v="34"/>
    <x v="1"/>
  </r>
  <r>
    <x v="1405"/>
    <n v="7.7"/>
    <n v="0.28000000000000003"/>
    <n v="0.3"/>
    <n v="2"/>
    <n v="6.2E-2"/>
    <n v="18"/>
    <n v="34"/>
    <n v="0.99519999999999997"/>
    <n v="3.28"/>
    <n v="0.9"/>
    <n v="11.3"/>
    <n v="7"/>
    <x v="1"/>
    <s v="Normal"/>
    <n v="23.390000000000004"/>
    <n v="230"/>
    <n v="16"/>
    <x v="1"/>
  </r>
  <r>
    <x v="1406"/>
    <n v="8.1999999999999993"/>
    <n v="0.24"/>
    <n v="0.34"/>
    <n v="5.0999999999999996"/>
    <n v="6.2E-2"/>
    <n v="8"/>
    <n v="22"/>
    <n v="0.99739999999999995"/>
    <n v="3.22"/>
    <n v="0.94"/>
    <n v="10.9"/>
    <n v="6"/>
    <x v="0"/>
    <s v="Normal"/>
    <n v="22.73"/>
    <n v="322"/>
    <n v="14"/>
    <x v="1"/>
  </r>
  <r>
    <x v="1407"/>
    <n v="6"/>
    <n v="0.51"/>
    <n v="0"/>
    <n v="2.1"/>
    <n v="6.4000000000000001E-2"/>
    <n v="40"/>
    <n v="54"/>
    <n v="0.995"/>
    <n v="3.54"/>
    <n v="0.93"/>
    <n v="10.7"/>
    <n v="6"/>
    <x v="0"/>
    <s v="Normal"/>
    <n v="21.774999999999999"/>
    <n v="486"/>
    <n v="14"/>
    <x v="1"/>
  </r>
  <r>
    <x v="1408"/>
    <n v="8.1"/>
    <n v="0.28999999999999998"/>
    <n v="0.36"/>
    <n v="2.2000000000000002"/>
    <n v="4.8000000000000001E-2"/>
    <n v="35"/>
    <n v="53"/>
    <n v="0.995"/>
    <n v="3.27"/>
    <n v="1.01"/>
    <n v="12.4"/>
    <n v="7"/>
    <x v="1"/>
    <s v="Normal"/>
    <n v="25.735000000000003"/>
    <n v="40"/>
    <n v="18"/>
    <x v="1"/>
  </r>
  <r>
    <x v="1409"/>
    <n v="6"/>
    <n v="0.51"/>
    <n v="0"/>
    <n v="2.1"/>
    <n v="6.4000000000000001E-2"/>
    <n v="40"/>
    <n v="54"/>
    <n v="0.995"/>
    <n v="3.54"/>
    <n v="0.93"/>
    <n v="10.7"/>
    <n v="6"/>
    <x v="0"/>
    <s v="Normal"/>
    <n v="21.774999999999999"/>
    <n v="486"/>
    <n v="14"/>
    <x v="1"/>
  </r>
  <r>
    <x v="1410"/>
    <n v="6.6"/>
    <n v="0.96"/>
    <n v="0"/>
    <n v="1.8"/>
    <n v="8.2000000000000003E-2"/>
    <n v="5"/>
    <n v="16"/>
    <n v="0.99360000000000004"/>
    <n v="3.5"/>
    <n v="0.44"/>
    <n v="11.9"/>
    <n v="6"/>
    <x v="0"/>
    <s v="Normal"/>
    <n v="22.54"/>
    <n v="354"/>
    <n v="11"/>
    <x v="1"/>
  </r>
  <r>
    <x v="1411"/>
    <n v="6.4"/>
    <n v="0.47"/>
    <n v="0.4"/>
    <n v="2.4"/>
    <n v="7.0999999999999994E-2"/>
    <n v="8"/>
    <n v="19"/>
    <n v="0.99629999999999996"/>
    <n v="3.56"/>
    <n v="0.73"/>
    <n v="10.6"/>
    <n v="6"/>
    <x v="0"/>
    <s v="Normal"/>
    <n v="21.354999999999997"/>
    <n v="569"/>
    <n v="11"/>
    <x v="1"/>
  </r>
  <r>
    <x v="1412"/>
    <n v="8.1999999999999993"/>
    <n v="0.24"/>
    <n v="0.34"/>
    <n v="5.0999999999999996"/>
    <n v="6.2E-2"/>
    <n v="8"/>
    <n v="22"/>
    <n v="0.99739999999999995"/>
    <n v="3.22"/>
    <n v="0.94"/>
    <n v="10.9"/>
    <n v="6"/>
    <x v="0"/>
    <s v="Normal"/>
    <n v="22.73"/>
    <n v="322"/>
    <n v="14"/>
    <x v="1"/>
  </r>
  <r>
    <x v="1413"/>
    <n v="9.9"/>
    <n v="0.56999999999999995"/>
    <n v="0.25"/>
    <n v="2"/>
    <n v="0.104"/>
    <n v="12"/>
    <n v="89"/>
    <n v="0.99629999999999996"/>
    <n v="3.04"/>
    <n v="0.9"/>
    <n v="10.1"/>
    <n v="5"/>
    <x v="0"/>
    <s v="High"/>
    <n v="20.41"/>
    <n v="767"/>
    <n v="77"/>
    <x v="0"/>
  </r>
  <r>
    <x v="1414"/>
    <n v="10"/>
    <n v="0.32"/>
    <n v="0.59"/>
    <n v="2.2000000000000002"/>
    <n v="7.6999999999999999E-2"/>
    <n v="3"/>
    <n v="15"/>
    <n v="0.99939999999999996"/>
    <n v="3.2"/>
    <n v="0.78"/>
    <n v="9.6"/>
    <n v="5"/>
    <x v="0"/>
    <s v="High"/>
    <n v="19.729999999999997"/>
    <n v="924"/>
    <n v="12"/>
    <x v="0"/>
  </r>
  <r>
    <x v="1415"/>
    <n v="6.2"/>
    <n v="0.57999999999999996"/>
    <n v="0"/>
    <n v="1.6"/>
    <n v="6.5000000000000002E-2"/>
    <n v="8"/>
    <n v="18"/>
    <n v="0.99660000000000004"/>
    <n v="3.56"/>
    <n v="0.84"/>
    <n v="9.4"/>
    <n v="5"/>
    <x v="0"/>
    <s v="Normal"/>
    <n v="18.900000000000002"/>
    <n v="1204"/>
    <n v="10"/>
    <x v="0"/>
  </r>
  <r>
    <x v="1416"/>
    <n v="10"/>
    <n v="0.32"/>
    <n v="0.59"/>
    <n v="2.2000000000000002"/>
    <n v="7.6999999999999999E-2"/>
    <n v="3"/>
    <n v="15"/>
    <n v="0.99939999999999996"/>
    <n v="3.2"/>
    <n v="0.78"/>
    <n v="9.6"/>
    <n v="5"/>
    <x v="0"/>
    <s v="High"/>
    <n v="19.729999999999997"/>
    <n v="924"/>
    <n v="12"/>
    <x v="0"/>
  </r>
  <r>
    <x v="1417"/>
    <n v="7.3"/>
    <n v="0.34"/>
    <n v="0.33"/>
    <n v="2.5"/>
    <n v="6.4000000000000001E-2"/>
    <n v="21"/>
    <n v="37"/>
    <n v="0.99519999999999997"/>
    <n v="3.35"/>
    <n v="0.77"/>
    <n v="12.1"/>
    <n v="7"/>
    <x v="1"/>
    <s v="Normal"/>
    <n v="24.675000000000001"/>
    <n v="114"/>
    <n v="16"/>
    <x v="1"/>
  </r>
  <r>
    <x v="1418"/>
    <n v="7.8"/>
    <n v="0.53"/>
    <n v="0.01"/>
    <n v="1.6"/>
    <n v="7.6999999999999999E-2"/>
    <n v="3"/>
    <n v="19"/>
    <n v="0.995"/>
    <n v="3.16"/>
    <n v="0.46"/>
    <n v="9.8000000000000007"/>
    <n v="5"/>
    <x v="0"/>
    <s v="Normal"/>
    <n v="19.230000000000004"/>
    <n v="1068"/>
    <n v="16"/>
    <x v="0"/>
  </r>
  <r>
    <x v="1419"/>
    <n v="7.7"/>
    <n v="0.64"/>
    <n v="0.21"/>
    <n v="2.2000000000000002"/>
    <n v="7.6999999999999999E-2"/>
    <n v="32"/>
    <n v="133"/>
    <n v="0.99560000000000004"/>
    <n v="3.27"/>
    <n v="0.45"/>
    <n v="9.9"/>
    <n v="5"/>
    <x v="0"/>
    <s v="Normal"/>
    <n v="19.195"/>
    <n v="1087"/>
    <n v="101"/>
    <x v="0"/>
  </r>
  <r>
    <x v="1420"/>
    <n v="7.8"/>
    <n v="0.53"/>
    <n v="0.01"/>
    <n v="1.6"/>
    <n v="7.6999999999999999E-2"/>
    <n v="3"/>
    <n v="19"/>
    <n v="0.995"/>
    <n v="3.16"/>
    <n v="0.46"/>
    <n v="9.8000000000000007"/>
    <n v="5"/>
    <x v="0"/>
    <s v="Normal"/>
    <n v="19.230000000000004"/>
    <n v="1068"/>
    <n v="16"/>
    <x v="0"/>
  </r>
  <r>
    <x v="1421"/>
    <n v="7.5"/>
    <n v="0.4"/>
    <n v="0.18"/>
    <n v="1.6"/>
    <n v="7.9000000000000001E-2"/>
    <n v="24"/>
    <n v="58"/>
    <n v="0.99650000000000005"/>
    <n v="3.34"/>
    <n v="0.57999999999999996"/>
    <n v="9.4"/>
    <n v="5"/>
    <x v="0"/>
    <s v="Normal"/>
    <n v="18.87"/>
    <n v="1218"/>
    <n v="34"/>
    <x v="0"/>
  </r>
  <r>
    <x v="1422"/>
    <n v="7"/>
    <n v="0.54"/>
    <n v="0"/>
    <n v="2.1"/>
    <n v="7.9000000000000001E-2"/>
    <n v="39"/>
    <n v="55"/>
    <n v="0.99560000000000004"/>
    <n v="3.39"/>
    <n v="0.84"/>
    <n v="11.4"/>
    <n v="6"/>
    <x v="0"/>
    <s v="Normal"/>
    <n v="22.980000000000004"/>
    <n v="273"/>
    <n v="16"/>
    <x v="1"/>
  </r>
  <r>
    <x v="1423"/>
    <n v="6.4"/>
    <n v="0.53"/>
    <n v="0.09"/>
    <n v="3.9"/>
    <n v="0.123"/>
    <n v="14"/>
    <n v="31"/>
    <n v="0.99680000000000002"/>
    <n v="3.5"/>
    <n v="0.67"/>
    <n v="11"/>
    <n v="4"/>
    <x v="2"/>
    <s v="Normal"/>
    <n v="21.945"/>
    <n v="462"/>
    <n v="17"/>
    <x v="1"/>
  </r>
  <r>
    <x v="1424"/>
    <n v="8.3000000000000007"/>
    <n v="0.26"/>
    <n v="0.37"/>
    <n v="1.4"/>
    <n v="7.5999999999999998E-2"/>
    <n v="8"/>
    <n v="23"/>
    <n v="0.99739999999999995"/>
    <n v="3.26"/>
    <n v="0.7"/>
    <n v="9.6"/>
    <n v="6"/>
    <x v="0"/>
    <s v="Normal"/>
    <n v="19.73"/>
    <n v="922"/>
    <n v="15"/>
    <x v="0"/>
  </r>
  <r>
    <x v="1425"/>
    <n v="8.3000000000000007"/>
    <n v="0.26"/>
    <n v="0.37"/>
    <n v="1.4"/>
    <n v="7.5999999999999998E-2"/>
    <n v="8"/>
    <n v="23"/>
    <n v="0.99739999999999995"/>
    <n v="3.26"/>
    <n v="0.7"/>
    <n v="9.6"/>
    <n v="6"/>
    <x v="0"/>
    <s v="Normal"/>
    <n v="19.73"/>
    <n v="922"/>
    <n v="15"/>
    <x v="0"/>
  </r>
  <r>
    <x v="1426"/>
    <n v="7.7"/>
    <n v="0.23"/>
    <n v="0.37"/>
    <n v="1.8"/>
    <n v="4.5999999999999999E-2"/>
    <n v="23"/>
    <n v="60"/>
    <n v="0.99709999999999999"/>
    <n v="3.41"/>
    <n v="0.71"/>
    <n v="12.1"/>
    <n v="6"/>
    <x v="0"/>
    <s v="Normal"/>
    <n v="24.805"/>
    <n v="103"/>
    <n v="37"/>
    <x v="1"/>
  </r>
  <r>
    <x v="1427"/>
    <n v="7.6"/>
    <n v="0.41"/>
    <n v="0.33"/>
    <n v="2.5"/>
    <n v="7.8E-2"/>
    <n v="6"/>
    <n v="23"/>
    <n v="0.99570000000000003"/>
    <n v="3.3"/>
    <n v="0.57999999999999996"/>
    <n v="11.2"/>
    <n v="5"/>
    <x v="0"/>
    <s v="Normal"/>
    <n v="22.45"/>
    <n v="380"/>
    <n v="17"/>
    <x v="1"/>
  </r>
  <r>
    <x v="1428"/>
    <n v="7.8"/>
    <n v="0.64"/>
    <n v="0"/>
    <n v="1.9"/>
    <n v="7.1999999999999995E-2"/>
    <n v="27"/>
    <n v="55"/>
    <n v="0.99619999999999997"/>
    <n v="3.31"/>
    <n v="0.63"/>
    <n v="11"/>
    <n v="5"/>
    <x v="0"/>
    <s v="Normal"/>
    <n v="21.664999999999999"/>
    <n v="511"/>
    <n v="28"/>
    <x v="1"/>
  </r>
  <r>
    <x v="1429"/>
    <n v="7.9"/>
    <n v="0.18"/>
    <n v="0.4"/>
    <n v="2.2000000000000002"/>
    <n v="4.9000000000000002E-2"/>
    <n v="38"/>
    <n v="67"/>
    <n v="0.996"/>
    <n v="3.33"/>
    <n v="0.93"/>
    <n v="11.3"/>
    <n v="5"/>
    <x v="0"/>
    <s v="Normal"/>
    <n v="23.635000000000002"/>
    <n v="205"/>
    <n v="29"/>
    <x v="1"/>
  </r>
  <r>
    <x v="1430"/>
    <n v="7.4"/>
    <n v="0.41"/>
    <n v="0.24"/>
    <n v="1.8"/>
    <n v="6.6000000000000003E-2"/>
    <n v="18"/>
    <n v="47"/>
    <n v="0.99560000000000004"/>
    <n v="3.37"/>
    <n v="0.62"/>
    <n v="10.4"/>
    <n v="5"/>
    <x v="0"/>
    <s v="Normal"/>
    <n v="20.91"/>
    <n v="671"/>
    <n v="29"/>
    <x v="1"/>
  </r>
  <r>
    <x v="1431"/>
    <n v="7.6"/>
    <n v="0.43"/>
    <n v="0.31"/>
    <n v="2.1"/>
    <n v="6.9000000000000006E-2"/>
    <n v="13"/>
    <n v="74"/>
    <n v="0.99580000000000002"/>
    <n v="3.26"/>
    <n v="0.54"/>
    <n v="9.9"/>
    <n v="6"/>
    <x v="0"/>
    <s v="Normal"/>
    <n v="19.75"/>
    <n v="913"/>
    <n v="61"/>
    <x v="0"/>
  </r>
  <r>
    <x v="1432"/>
    <n v="5.9"/>
    <n v="0.44"/>
    <n v="0"/>
    <n v="1.6"/>
    <n v="4.2000000000000003E-2"/>
    <n v="3"/>
    <n v="11"/>
    <n v="0.99439999999999995"/>
    <n v="3.48"/>
    <n v="0.85"/>
    <n v="11.7"/>
    <n v="6"/>
    <x v="0"/>
    <s v="Normal"/>
    <n v="23.794999999999998"/>
    <n v="194"/>
    <n v="8"/>
    <x v="1"/>
  </r>
  <r>
    <x v="1433"/>
    <n v="6.1"/>
    <n v="0.4"/>
    <n v="0.16"/>
    <n v="1.8"/>
    <n v="6.9000000000000006E-2"/>
    <n v="11"/>
    <n v="25"/>
    <n v="0.99550000000000005"/>
    <n v="3.42"/>
    <n v="0.74"/>
    <n v="10.1"/>
    <n v="7"/>
    <x v="1"/>
    <s v="Normal"/>
    <n v="20.509999999999998"/>
    <n v="754"/>
    <n v="14"/>
    <x v="1"/>
  </r>
  <r>
    <x v="1434"/>
    <n v="10.199999999999999"/>
    <n v="0.54"/>
    <n v="0.37"/>
    <n v="15.4"/>
    <n v="0.214"/>
    <n v="55"/>
    <n v="95"/>
    <n v="1.00369"/>
    <n v="3.18"/>
    <n v="0.77"/>
    <n v="9"/>
    <n v="6"/>
    <x v="0"/>
    <s v="High"/>
    <n v="18.075000000000003"/>
    <n v="1505"/>
    <n v="40"/>
    <x v="0"/>
  </r>
  <r>
    <x v="1435"/>
    <n v="10.199999999999999"/>
    <n v="0.54"/>
    <n v="0.37"/>
    <n v="15.4"/>
    <n v="0.214"/>
    <n v="55"/>
    <n v="95"/>
    <n v="1.00369"/>
    <n v="3.18"/>
    <n v="0.77"/>
    <n v="9"/>
    <n v="6"/>
    <x v="0"/>
    <s v="High"/>
    <n v="18.075000000000003"/>
    <n v="1505"/>
    <n v="40"/>
    <x v="0"/>
  </r>
  <r>
    <x v="1436"/>
    <n v="10"/>
    <n v="0.38"/>
    <n v="0.38"/>
    <n v="1.6"/>
    <n v="0.16900000000000001"/>
    <n v="27"/>
    <n v="90"/>
    <n v="0.99914000000000003"/>
    <n v="3.15"/>
    <n v="0.65"/>
    <n v="8.5"/>
    <n v="5"/>
    <x v="0"/>
    <s v="High"/>
    <n v="17.215"/>
    <n v="1594"/>
    <n v="63"/>
    <x v="0"/>
  </r>
  <r>
    <x v="1437"/>
    <n v="6.8"/>
    <n v="0.91500000000000004"/>
    <n v="0.28999999999999998"/>
    <n v="4.8"/>
    <n v="7.0000000000000007E-2"/>
    <n v="15"/>
    <n v="39"/>
    <n v="0.99577000000000004"/>
    <n v="3.53"/>
    <n v="0.54"/>
    <n v="11.1"/>
    <n v="5"/>
    <x v="0"/>
    <s v="Normal"/>
    <n v="21.18"/>
    <n v="610"/>
    <n v="24"/>
    <x v="1"/>
  </r>
  <r>
    <x v="1438"/>
    <n v="7"/>
    <n v="0.59"/>
    <n v="0"/>
    <n v="1.7"/>
    <n v="5.1999999999999998E-2"/>
    <n v="3"/>
    <n v="8"/>
    <n v="0.996"/>
    <n v="3.41"/>
    <n v="0.47"/>
    <n v="10.3"/>
    <n v="5"/>
    <x v="0"/>
    <s v="Normal"/>
    <n v="20.125"/>
    <n v="832"/>
    <n v="5"/>
    <x v="1"/>
  </r>
  <r>
    <x v="1439"/>
    <n v="7.3"/>
    <n v="0.67"/>
    <n v="0.02"/>
    <n v="2.2000000000000002"/>
    <n v="7.1999999999999995E-2"/>
    <n v="31"/>
    <n v="92"/>
    <n v="0.99565999999999999"/>
    <n v="3.32"/>
    <n v="0.68"/>
    <n v="11.0666666666667"/>
    <n v="6"/>
    <x v="0"/>
    <s v="Normal"/>
    <n v="21.8133333333334"/>
    <n v="478"/>
    <n v="61"/>
    <x v="1"/>
  </r>
  <r>
    <x v="1440"/>
    <n v="7.2"/>
    <n v="0.37"/>
    <n v="0.32"/>
    <n v="2"/>
    <n v="6.2E-2"/>
    <n v="15"/>
    <n v="28"/>
    <n v="0.99470000000000003"/>
    <n v="3.23"/>
    <n v="0.73"/>
    <n v="11.3"/>
    <n v="7"/>
    <x v="1"/>
    <s v="Normal"/>
    <n v="22.955000000000002"/>
    <n v="279"/>
    <n v="13"/>
    <x v="1"/>
  </r>
  <r>
    <x v="1441"/>
    <n v="7.4"/>
    <n v="0.78500000000000003"/>
    <n v="0.19"/>
    <n v="5.2"/>
    <n v="9.4E-2"/>
    <n v="19"/>
    <n v="98"/>
    <n v="0.99712999999999996"/>
    <n v="3.16"/>
    <n v="0.52"/>
    <n v="9.56666666666667"/>
    <n v="6"/>
    <x v="0"/>
    <s v="Normal"/>
    <n v="18.343333333333341"/>
    <n v="1437"/>
    <n v="79"/>
    <x v="0"/>
  </r>
  <r>
    <x v="1442"/>
    <n v="6.9"/>
    <n v="0.63"/>
    <n v="0.02"/>
    <n v="1.9"/>
    <n v="7.8E-2"/>
    <n v="18"/>
    <n v="30"/>
    <n v="0.99712000000000001"/>
    <n v="3.4"/>
    <n v="0.75"/>
    <n v="9.8000000000000007"/>
    <n v="5"/>
    <x v="0"/>
    <s v="Normal"/>
    <n v="19.465"/>
    <n v="989"/>
    <n v="12"/>
    <x v="0"/>
  </r>
  <r>
    <x v="1443"/>
    <n v="6.9"/>
    <n v="0.57999999999999996"/>
    <n v="0.2"/>
    <n v="1.75"/>
    <n v="5.8000000000000003E-2"/>
    <n v="8"/>
    <n v="22"/>
    <n v="0.99321999999999999"/>
    <n v="3.38"/>
    <n v="0.49"/>
    <n v="11.7"/>
    <n v="5"/>
    <x v="0"/>
    <s v="Normal"/>
    <n v="22.974999999999998"/>
    <n v="276"/>
    <n v="14"/>
    <x v="1"/>
  </r>
  <r>
    <x v="1444"/>
    <n v="7.3"/>
    <n v="0.67"/>
    <n v="0.02"/>
    <n v="2.2000000000000002"/>
    <n v="7.1999999999999995E-2"/>
    <n v="31"/>
    <n v="92"/>
    <n v="0.99565999999999999"/>
    <n v="3.32"/>
    <n v="0.68"/>
    <n v="11.1"/>
    <n v="6"/>
    <x v="0"/>
    <s v="Normal"/>
    <n v="21.88"/>
    <n v="471"/>
    <n v="61"/>
    <x v="1"/>
  </r>
  <r>
    <x v="1445"/>
    <n v="7.4"/>
    <n v="0.78500000000000003"/>
    <n v="0.19"/>
    <n v="5.2"/>
    <n v="9.4E-2"/>
    <n v="19"/>
    <n v="98"/>
    <n v="0.99712999999999996"/>
    <n v="3.16"/>
    <n v="0.52"/>
    <n v="9.6"/>
    <n v="6"/>
    <x v="0"/>
    <s v="Normal"/>
    <n v="18.41"/>
    <n v="1413"/>
    <n v="79"/>
    <x v="0"/>
  </r>
  <r>
    <x v="1446"/>
    <n v="6.9"/>
    <n v="0.63"/>
    <n v="0.02"/>
    <n v="1.9"/>
    <n v="7.8E-2"/>
    <n v="18"/>
    <n v="30"/>
    <n v="0.99712000000000001"/>
    <n v="3.4"/>
    <n v="0.75"/>
    <n v="9.8000000000000007"/>
    <n v="5"/>
    <x v="0"/>
    <s v="Normal"/>
    <n v="19.465"/>
    <n v="989"/>
    <n v="12"/>
    <x v="0"/>
  </r>
  <r>
    <x v="1447"/>
    <n v="6.8"/>
    <n v="0.67"/>
    <n v="0"/>
    <n v="1.9"/>
    <n v="0.08"/>
    <n v="22"/>
    <n v="39"/>
    <n v="0.99700999999999995"/>
    <n v="3.4"/>
    <n v="0.74"/>
    <n v="9.6999999999999993"/>
    <n v="5"/>
    <x v="0"/>
    <s v="Normal"/>
    <n v="19.169999999999998"/>
    <n v="1102"/>
    <n v="17"/>
    <x v="0"/>
  </r>
  <r>
    <x v="1448"/>
    <n v="6.9"/>
    <n v="0.57999999999999996"/>
    <n v="0.01"/>
    <n v="1.9"/>
    <n v="0.08"/>
    <n v="40"/>
    <n v="54"/>
    <n v="0.99682999999999999"/>
    <n v="3.4"/>
    <n v="0.73"/>
    <n v="9.6999999999999993"/>
    <n v="5"/>
    <x v="0"/>
    <s v="Normal"/>
    <n v="19.334999999999997"/>
    <n v="1031"/>
    <n v="14"/>
    <x v="0"/>
  </r>
  <r>
    <x v="1449"/>
    <n v="7.2"/>
    <n v="0.38"/>
    <n v="0.31"/>
    <n v="2"/>
    <n v="5.6000000000000001E-2"/>
    <n v="15"/>
    <n v="29"/>
    <n v="0.99472000000000005"/>
    <n v="3.23"/>
    <n v="0.76"/>
    <n v="11.3"/>
    <n v="8"/>
    <x v="1"/>
    <s v="Normal"/>
    <n v="22.98"/>
    <n v="274"/>
    <n v="14"/>
    <x v="1"/>
  </r>
  <r>
    <x v="1450"/>
    <n v="7.2"/>
    <n v="0.37"/>
    <n v="0.32"/>
    <n v="2"/>
    <n v="6.2E-2"/>
    <n v="15"/>
    <n v="28"/>
    <n v="0.99470000000000003"/>
    <n v="3.23"/>
    <n v="0.73"/>
    <n v="11.3"/>
    <n v="7"/>
    <x v="1"/>
    <s v="Normal"/>
    <n v="22.955000000000002"/>
    <n v="279"/>
    <n v="13"/>
    <x v="1"/>
  </r>
  <r>
    <x v="1451"/>
    <n v="7.8"/>
    <n v="0.32"/>
    <n v="0.44"/>
    <n v="2.7"/>
    <n v="0.104"/>
    <n v="8"/>
    <n v="17"/>
    <n v="0.99731999999999998"/>
    <n v="3.33"/>
    <n v="0.78"/>
    <n v="11"/>
    <n v="7"/>
    <x v="1"/>
    <s v="Normal"/>
    <n v="22.53"/>
    <n v="358"/>
    <n v="9"/>
    <x v="1"/>
  </r>
  <r>
    <x v="1452"/>
    <n v="6.6"/>
    <n v="0.57999999999999996"/>
    <n v="0.02"/>
    <n v="2"/>
    <n v="6.2E-2"/>
    <n v="37"/>
    <n v="53"/>
    <n v="0.99373999999999996"/>
    <n v="3.35"/>
    <n v="0.76"/>
    <n v="11.6"/>
    <n v="7"/>
    <x v="1"/>
    <s v="Normal"/>
    <n v="23.18"/>
    <n v="248"/>
    <n v="16"/>
    <x v="1"/>
  </r>
  <r>
    <x v="1453"/>
    <n v="7.6"/>
    <n v="0.49"/>
    <n v="0.33"/>
    <n v="1.9"/>
    <n v="7.3999999999999996E-2"/>
    <n v="27"/>
    <n v="85"/>
    <n v="0.99705999999999995"/>
    <n v="3.41"/>
    <n v="0.57999999999999996"/>
    <n v="9"/>
    <n v="5"/>
    <x v="0"/>
    <s v="Normal"/>
    <n v="17.89"/>
    <n v="1537"/>
    <n v="58"/>
    <x v="0"/>
  </r>
  <r>
    <x v="1454"/>
    <n v="11.7"/>
    <n v="0.45"/>
    <n v="0.63"/>
    <n v="2.2000000000000002"/>
    <n v="7.2999999999999995E-2"/>
    <n v="7"/>
    <n v="23"/>
    <n v="0.99973999999999996"/>
    <n v="3.21"/>
    <n v="0.69"/>
    <n v="10.9"/>
    <n v="6"/>
    <x v="0"/>
    <s v="High"/>
    <n v="21.935000000000002"/>
    <n v="466"/>
    <n v="16"/>
    <x v="1"/>
  </r>
  <r>
    <x v="1455"/>
    <n v="6.5"/>
    <n v="0.9"/>
    <n v="0"/>
    <n v="1.6"/>
    <n v="5.1999999999999998E-2"/>
    <n v="9"/>
    <n v="17"/>
    <n v="0.99467000000000005"/>
    <n v="3.5"/>
    <n v="0.63"/>
    <n v="10.9"/>
    <n v="6"/>
    <x v="0"/>
    <s v="Normal"/>
    <n v="20.945"/>
    <n v="663"/>
    <n v="8"/>
    <x v="1"/>
  </r>
  <r>
    <x v="1456"/>
    <n v="6"/>
    <n v="0.54"/>
    <n v="0.06"/>
    <n v="1.8"/>
    <n v="0.05"/>
    <n v="38"/>
    <n v="89"/>
    <n v="0.99236000000000002"/>
    <n v="3.3"/>
    <n v="0.5"/>
    <n v="10.55"/>
    <n v="6"/>
    <x v="0"/>
    <s v="Normal"/>
    <n v="20.770000000000003"/>
    <n v="711"/>
    <n v="51"/>
    <x v="1"/>
  </r>
  <r>
    <x v="1457"/>
    <n v="7.6"/>
    <n v="0.49"/>
    <n v="0.33"/>
    <n v="1.9"/>
    <n v="7.3999999999999996E-2"/>
    <n v="27"/>
    <n v="85"/>
    <n v="0.99705999999999995"/>
    <n v="3.41"/>
    <n v="0.57999999999999996"/>
    <n v="9"/>
    <n v="5"/>
    <x v="0"/>
    <s v="Normal"/>
    <n v="17.89"/>
    <n v="1537"/>
    <n v="58"/>
    <x v="0"/>
  </r>
  <r>
    <x v="1458"/>
    <n v="8.4"/>
    <n v="0.28999999999999998"/>
    <n v="0.4"/>
    <n v="1.7"/>
    <n v="6.7000000000000004E-2"/>
    <n v="8"/>
    <n v="20"/>
    <n v="0.99602999999999997"/>
    <n v="3.39"/>
    <n v="0.6"/>
    <n v="10.5"/>
    <n v="5"/>
    <x v="0"/>
    <s v="Normal"/>
    <n v="21.32"/>
    <n v="574"/>
    <n v="12"/>
    <x v="1"/>
  </r>
  <r>
    <x v="1459"/>
    <n v="7.9"/>
    <n v="0.2"/>
    <n v="0.35"/>
    <n v="1.7"/>
    <n v="5.3999999999999999E-2"/>
    <n v="7"/>
    <n v="15"/>
    <n v="0.99458000000000002"/>
    <n v="3.32"/>
    <n v="0.8"/>
    <n v="11.9"/>
    <n v="7"/>
    <x v="1"/>
    <s v="Normal"/>
    <n v="24.6"/>
    <n v="119"/>
    <n v="8"/>
    <x v="1"/>
  </r>
  <r>
    <x v="1460"/>
    <n v="6.4"/>
    <n v="0.42"/>
    <n v="0.09"/>
    <n v="2.2999999999999998"/>
    <n v="5.3999999999999999E-2"/>
    <n v="34"/>
    <n v="64"/>
    <n v="0.99724000000000002"/>
    <n v="3.41"/>
    <n v="0.68"/>
    <n v="10.4"/>
    <n v="6"/>
    <x v="0"/>
    <s v="Normal"/>
    <n v="20.98"/>
    <n v="656"/>
    <n v="30"/>
    <x v="1"/>
  </r>
  <r>
    <x v="1461"/>
    <n v="6.2"/>
    <n v="0.78500000000000003"/>
    <n v="0"/>
    <n v="2.1"/>
    <n v="0.06"/>
    <n v="6"/>
    <n v="13"/>
    <n v="0.99663999999999997"/>
    <n v="3.59"/>
    <n v="0.61"/>
    <n v="10"/>
    <n v="4"/>
    <x v="2"/>
    <s v="Normal"/>
    <n v="19.344999999999999"/>
    <n v="1026"/>
    <n v="7"/>
    <x v="1"/>
  </r>
  <r>
    <x v="1462"/>
    <n v="6.8"/>
    <n v="0.64"/>
    <n v="0.03"/>
    <n v="2.2999999999999998"/>
    <n v="7.4999999999999997E-2"/>
    <n v="14"/>
    <n v="31"/>
    <n v="0.99544999999999995"/>
    <n v="3.36"/>
    <n v="0.57999999999999996"/>
    <n v="10.4"/>
    <n v="6"/>
    <x v="0"/>
    <s v="Normal"/>
    <n v="20.39"/>
    <n v="768"/>
    <n v="17"/>
    <x v="1"/>
  </r>
  <r>
    <x v="1463"/>
    <n v="6.9"/>
    <n v="0.63"/>
    <n v="0.01"/>
    <n v="2.4"/>
    <n v="7.5999999999999998E-2"/>
    <n v="14"/>
    <n v="39"/>
    <n v="0.99521999999999999"/>
    <n v="3.34"/>
    <n v="0.53"/>
    <n v="10.8"/>
    <n v="6"/>
    <x v="0"/>
    <s v="Normal"/>
    <n v="21.135000000000002"/>
    <n v="626"/>
    <n v="25"/>
    <x v="1"/>
  </r>
  <r>
    <x v="1464"/>
    <n v="6.8"/>
    <n v="0.59"/>
    <n v="0.1"/>
    <n v="1.7"/>
    <n v="6.3E-2"/>
    <n v="34"/>
    <n v="53"/>
    <n v="0.99580000000000002"/>
    <n v="3.41"/>
    <n v="0.67"/>
    <n v="9.6999999999999993"/>
    <n v="5"/>
    <x v="0"/>
    <s v="Normal"/>
    <n v="19.224999999999998"/>
    <n v="1072"/>
    <n v="19"/>
    <x v="0"/>
  </r>
  <r>
    <x v="1465"/>
    <n v="6.8"/>
    <n v="0.59"/>
    <n v="0.1"/>
    <n v="1.7"/>
    <n v="6.3E-2"/>
    <n v="34"/>
    <n v="53"/>
    <n v="0.99580000000000002"/>
    <n v="3.41"/>
    <n v="0.67"/>
    <n v="9.6999999999999993"/>
    <n v="5"/>
    <x v="0"/>
    <s v="Normal"/>
    <n v="19.224999999999998"/>
    <n v="1072"/>
    <n v="19"/>
    <x v="0"/>
  </r>
  <r>
    <x v="1466"/>
    <n v="7.3"/>
    <n v="0.48"/>
    <n v="0.32"/>
    <n v="2.1"/>
    <n v="6.2E-2"/>
    <n v="31"/>
    <n v="54"/>
    <n v="0.99728000000000006"/>
    <n v="3.3"/>
    <n v="0.65"/>
    <n v="10"/>
    <n v="7"/>
    <x v="1"/>
    <s v="Normal"/>
    <n v="20.015000000000001"/>
    <n v="852"/>
    <n v="23"/>
    <x v="1"/>
  </r>
  <r>
    <x v="1467"/>
    <n v="6.7"/>
    <n v="1.04"/>
    <n v="0.08"/>
    <n v="2.2999999999999998"/>
    <n v="6.7000000000000004E-2"/>
    <n v="19"/>
    <n v="32"/>
    <n v="0.99648000000000003"/>
    <n v="3.52"/>
    <n v="0.56999999999999995"/>
    <n v="11"/>
    <n v="4"/>
    <x v="2"/>
    <s v="Normal"/>
    <n v="20.774999999999999"/>
    <n v="710"/>
    <n v="13"/>
    <x v="1"/>
  </r>
  <r>
    <x v="1468"/>
    <n v="7.3"/>
    <n v="0.48"/>
    <n v="0.32"/>
    <n v="2.1"/>
    <n v="6.2E-2"/>
    <n v="31"/>
    <n v="54"/>
    <n v="0.99728000000000006"/>
    <n v="3.3"/>
    <n v="0.65"/>
    <n v="10"/>
    <n v="7"/>
    <x v="1"/>
    <s v="Normal"/>
    <n v="20.015000000000001"/>
    <n v="852"/>
    <n v="23"/>
    <x v="1"/>
  </r>
  <r>
    <x v="1469"/>
    <n v="7.3"/>
    <n v="0.98"/>
    <n v="0.05"/>
    <n v="2.1"/>
    <n v="6.0999999999999999E-2"/>
    <n v="20"/>
    <n v="49"/>
    <n v="0.99704999999999999"/>
    <n v="3.31"/>
    <n v="0.55000000000000004"/>
    <n v="9.6999999999999993"/>
    <n v="3"/>
    <x v="2"/>
    <s v="Normal"/>
    <n v="18.264999999999997"/>
    <n v="1462"/>
    <n v="29"/>
    <x v="0"/>
  </r>
  <r>
    <x v="1470"/>
    <n v="10"/>
    <n v="0.69"/>
    <n v="0.11"/>
    <n v="1.4"/>
    <n v="8.4000000000000005E-2"/>
    <n v="8"/>
    <n v="24"/>
    <n v="0.99578"/>
    <n v="2.88"/>
    <n v="0.47"/>
    <n v="9.6999999999999993"/>
    <n v="5"/>
    <x v="0"/>
    <s v="High"/>
    <n v="18.724999999999998"/>
    <n v="1279"/>
    <n v="16"/>
    <x v="0"/>
  </r>
  <r>
    <x v="1471"/>
    <n v="6.7"/>
    <n v="0.7"/>
    <n v="0.08"/>
    <n v="3.75"/>
    <n v="6.7000000000000004E-2"/>
    <n v="8"/>
    <n v="16"/>
    <n v="0.99334"/>
    <n v="3.43"/>
    <n v="0.52"/>
    <n v="12.6"/>
    <n v="5"/>
    <x v="0"/>
    <s v="Normal"/>
    <n v="24.580000000000002"/>
    <n v="120"/>
    <n v="8"/>
    <x v="1"/>
  </r>
  <r>
    <x v="1472"/>
    <n v="7.6"/>
    <n v="0.35"/>
    <n v="0.6"/>
    <n v="2.6"/>
    <n v="7.2999999999999995E-2"/>
    <n v="23"/>
    <n v="44"/>
    <n v="0.99656"/>
    <n v="3.38"/>
    <n v="0.79"/>
    <n v="11.1"/>
    <n v="6"/>
    <x v="0"/>
    <s v="Normal"/>
    <n v="22.684999999999999"/>
    <n v="329"/>
    <n v="21"/>
    <x v="1"/>
  </r>
  <r>
    <x v="1473"/>
    <n v="6.1"/>
    <n v="0.6"/>
    <n v="0.08"/>
    <n v="1.8"/>
    <n v="7.0999999999999994E-2"/>
    <n v="14"/>
    <n v="45"/>
    <n v="0.99336000000000002"/>
    <n v="3.38"/>
    <n v="0.54"/>
    <n v="11"/>
    <n v="5"/>
    <x v="0"/>
    <s v="Normal"/>
    <n v="21.61"/>
    <n v="523"/>
    <n v="31"/>
    <x v="1"/>
  </r>
  <r>
    <x v="1474"/>
    <n v="9.9"/>
    <n v="0.5"/>
    <n v="0.5"/>
    <n v="13.8"/>
    <n v="0.20499999999999999"/>
    <n v="48"/>
    <n v="82"/>
    <n v="1.0024200000000001"/>
    <n v="3.16"/>
    <n v="0.75"/>
    <n v="8.8000000000000007"/>
    <n v="5"/>
    <x v="0"/>
    <s v="High"/>
    <n v="17.725000000000001"/>
    <n v="1569"/>
    <n v="34"/>
    <x v="0"/>
  </r>
  <r>
    <x v="1475"/>
    <n v="5.3"/>
    <n v="0.47"/>
    <n v="0.11"/>
    <n v="2.2000000000000002"/>
    <n v="4.8000000000000001E-2"/>
    <n v="16"/>
    <n v="89"/>
    <n v="0.99182000000000003"/>
    <n v="3.54"/>
    <n v="0.88"/>
    <n v="13.5666666666667"/>
    <n v="7"/>
    <x v="1"/>
    <s v="Normal"/>
    <n v="27.513333333333399"/>
    <n v="11"/>
    <n v="73"/>
    <x v="1"/>
  </r>
  <r>
    <x v="1476"/>
    <n v="9.9"/>
    <n v="0.5"/>
    <n v="0.5"/>
    <n v="13.8"/>
    <n v="0.20499999999999999"/>
    <n v="48"/>
    <n v="82"/>
    <n v="1.0024200000000001"/>
    <n v="3.16"/>
    <n v="0.75"/>
    <n v="8.8000000000000007"/>
    <n v="5"/>
    <x v="0"/>
    <s v="High"/>
    <n v="17.725000000000001"/>
    <n v="1569"/>
    <n v="34"/>
    <x v="0"/>
  </r>
  <r>
    <x v="1477"/>
    <n v="5.3"/>
    <n v="0.47"/>
    <n v="0.11"/>
    <n v="2.2000000000000002"/>
    <n v="4.8000000000000001E-2"/>
    <n v="16"/>
    <n v="89"/>
    <n v="0.99182000000000003"/>
    <n v="3.54"/>
    <n v="0.88"/>
    <n v="13.6"/>
    <n v="7"/>
    <x v="1"/>
    <s v="Normal"/>
    <n v="27.58"/>
    <n v="10"/>
    <n v="73"/>
    <x v="1"/>
  </r>
  <r>
    <x v="1478"/>
    <n v="7.1"/>
    <n v="0.875"/>
    <n v="0.05"/>
    <n v="5.7"/>
    <n v="8.2000000000000003E-2"/>
    <n v="3"/>
    <n v="14"/>
    <n v="0.99807999999999997"/>
    <n v="3.4"/>
    <n v="0.52"/>
    <n v="10.199999999999999"/>
    <n v="3"/>
    <x v="2"/>
    <s v="Normal"/>
    <n v="19.43"/>
    <n v="998"/>
    <n v="11"/>
    <x v="1"/>
  </r>
  <r>
    <x v="1479"/>
    <n v="8.1999999999999993"/>
    <n v="0.28000000000000003"/>
    <n v="0.6"/>
    <n v="3"/>
    <n v="0.104"/>
    <n v="10"/>
    <n v="22"/>
    <n v="0.99827999999999995"/>
    <n v="3.39"/>
    <n v="0.68"/>
    <n v="10.6"/>
    <n v="5"/>
    <x v="0"/>
    <s v="Normal"/>
    <n v="21.66"/>
    <n v="513"/>
    <n v="12"/>
    <x v="1"/>
  </r>
  <r>
    <x v="1480"/>
    <n v="5.6"/>
    <n v="0.62"/>
    <n v="0.03"/>
    <n v="1.5"/>
    <n v="0.08"/>
    <n v="6"/>
    <n v="13"/>
    <n v="0.99497999999999998"/>
    <n v="3.66"/>
    <n v="0.62"/>
    <n v="10.1"/>
    <n v="4"/>
    <x v="2"/>
    <s v="Normal"/>
    <n v="19.89"/>
    <n v="883"/>
    <n v="7"/>
    <x v="1"/>
  </r>
  <r>
    <x v="1481"/>
    <n v="8.1999999999999993"/>
    <n v="0.28000000000000003"/>
    <n v="0.6"/>
    <n v="3"/>
    <n v="0.104"/>
    <n v="10"/>
    <n v="22"/>
    <n v="0.99827999999999995"/>
    <n v="3.39"/>
    <n v="0.68"/>
    <n v="10.6"/>
    <n v="5"/>
    <x v="0"/>
    <s v="Normal"/>
    <n v="21.66"/>
    <n v="513"/>
    <n v="12"/>
    <x v="1"/>
  </r>
  <r>
    <x v="1482"/>
    <n v="7.2"/>
    <n v="0.57999999999999996"/>
    <n v="0.54"/>
    <n v="2.1"/>
    <n v="0.114"/>
    <n v="3"/>
    <n v="9"/>
    <n v="0.99719000000000002"/>
    <n v="3.33"/>
    <n v="0.56999999999999995"/>
    <n v="10.3"/>
    <n v="4"/>
    <x v="2"/>
    <s v="Normal"/>
    <n v="20.295000000000002"/>
    <n v="793"/>
    <n v="6"/>
    <x v="1"/>
  </r>
  <r>
    <x v="1483"/>
    <n v="8.1"/>
    <n v="0.33"/>
    <n v="0.44"/>
    <n v="1.5"/>
    <n v="4.2000000000000003E-2"/>
    <n v="6"/>
    <n v="12"/>
    <n v="0.99541999999999997"/>
    <n v="3.35"/>
    <n v="0.61"/>
    <n v="10.7"/>
    <n v="5"/>
    <x v="0"/>
    <s v="Normal"/>
    <n v="21.654999999999998"/>
    <n v="518"/>
    <n v="6"/>
    <x v="1"/>
  </r>
  <r>
    <x v="1484"/>
    <n v="6.8"/>
    <n v="0.91"/>
    <n v="0.06"/>
    <n v="2"/>
    <n v="0.06"/>
    <n v="4"/>
    <n v="11"/>
    <n v="0.99592000000000003"/>
    <n v="3.53"/>
    <n v="0.64"/>
    <n v="10.9"/>
    <n v="4"/>
    <x v="2"/>
    <s v="Normal"/>
    <n v="20.94"/>
    <n v="664"/>
    <n v="7"/>
    <x v="1"/>
  </r>
  <r>
    <x v="1485"/>
    <n v="7"/>
    <n v="0.65500000000000003"/>
    <n v="0.16"/>
    <n v="2.1"/>
    <n v="7.3999999999999996E-2"/>
    <n v="8"/>
    <n v="25"/>
    <n v="0.99605999999999995"/>
    <n v="3.37"/>
    <n v="0.55000000000000004"/>
    <n v="9.6999999999999993"/>
    <n v="5"/>
    <x v="0"/>
    <s v="Normal"/>
    <n v="18.914999999999999"/>
    <n v="1201"/>
    <n v="17"/>
    <x v="0"/>
  </r>
  <r>
    <x v="1486"/>
    <n v="6.8"/>
    <n v="0.68"/>
    <n v="0.21"/>
    <n v="2.1"/>
    <n v="7.0000000000000007E-2"/>
    <n v="9"/>
    <n v="23"/>
    <n v="0.99546000000000001"/>
    <n v="3.38"/>
    <n v="0.6"/>
    <n v="10.3"/>
    <n v="5"/>
    <x v="0"/>
    <s v="Normal"/>
    <n v="20.14"/>
    <n v="829"/>
    <n v="14"/>
    <x v="1"/>
  </r>
  <r>
    <x v="1487"/>
    <n v="6"/>
    <n v="0.64"/>
    <n v="0.05"/>
    <n v="1.9"/>
    <n v="6.6000000000000003E-2"/>
    <n v="9"/>
    <n v="17"/>
    <n v="0.99495999999999996"/>
    <n v="3.52"/>
    <n v="0.78"/>
    <n v="10.6"/>
    <n v="5"/>
    <x v="0"/>
    <s v="Normal"/>
    <n v="21.089999999999996"/>
    <n v="634"/>
    <n v="8"/>
    <x v="1"/>
  </r>
  <r>
    <x v="1488"/>
    <n v="5.6"/>
    <n v="0.54"/>
    <n v="0.04"/>
    <n v="1.7"/>
    <n v="4.9000000000000002E-2"/>
    <n v="5"/>
    <n v="13"/>
    <n v="0.99419999999999997"/>
    <n v="3.72"/>
    <n v="0.57999999999999996"/>
    <n v="11.4"/>
    <n v="5"/>
    <x v="0"/>
    <s v="Normal"/>
    <n v="22.590000000000003"/>
    <n v="343"/>
    <n v="8"/>
    <x v="1"/>
  </r>
  <r>
    <x v="1489"/>
    <n v="6.2"/>
    <n v="0.56999999999999995"/>
    <n v="0.1"/>
    <n v="2.1"/>
    <n v="4.8000000000000001E-2"/>
    <n v="4"/>
    <n v="11"/>
    <n v="0.99448000000000003"/>
    <n v="3.44"/>
    <n v="0.76"/>
    <n v="10.8"/>
    <n v="6"/>
    <x v="0"/>
    <s v="Normal"/>
    <n v="21.6"/>
    <n v="525"/>
    <n v="7"/>
    <x v="1"/>
  </r>
  <r>
    <x v="1490"/>
    <n v="7.1"/>
    <n v="0.22"/>
    <n v="0.49"/>
    <n v="1.8"/>
    <n v="3.9E-2"/>
    <n v="8"/>
    <n v="18"/>
    <n v="0.99343999999999999"/>
    <n v="3.39"/>
    <n v="0.56000000000000005"/>
    <n v="12.4"/>
    <n v="6"/>
    <x v="0"/>
    <s v="Normal"/>
    <n v="25.2"/>
    <n v="81"/>
    <n v="10"/>
    <x v="1"/>
  </r>
  <r>
    <x v="1491"/>
    <n v="5.6"/>
    <n v="0.54"/>
    <n v="0.04"/>
    <n v="1.7"/>
    <n v="4.9000000000000002E-2"/>
    <n v="5"/>
    <n v="13"/>
    <n v="0.99419999999999997"/>
    <n v="3.72"/>
    <n v="0.57999999999999996"/>
    <n v="11.4"/>
    <n v="5"/>
    <x v="0"/>
    <s v="Normal"/>
    <n v="22.590000000000003"/>
    <n v="343"/>
    <n v="8"/>
    <x v="1"/>
  </r>
  <r>
    <x v="1492"/>
    <n v="6.2"/>
    <n v="0.65"/>
    <n v="0.06"/>
    <n v="1.6"/>
    <n v="0.05"/>
    <n v="6"/>
    <n v="18"/>
    <n v="0.99348000000000003"/>
    <n v="3.57"/>
    <n v="0.54"/>
    <n v="11.95"/>
    <n v="5"/>
    <x v="0"/>
    <s v="Normal"/>
    <n v="23.409999999999997"/>
    <n v="228"/>
    <n v="12"/>
    <x v="1"/>
  </r>
  <r>
    <x v="1493"/>
    <n v="7.7"/>
    <n v="0.54"/>
    <n v="0.26"/>
    <n v="1.9"/>
    <n v="8.8999999999999996E-2"/>
    <n v="23"/>
    <n v="147"/>
    <n v="0.99636000000000002"/>
    <n v="3.26"/>
    <n v="0.59"/>
    <n v="9.6999999999999993"/>
    <n v="5"/>
    <x v="0"/>
    <s v="Normal"/>
    <n v="19.204999999999998"/>
    <n v="1081"/>
    <n v="124"/>
    <x v="0"/>
  </r>
  <r>
    <x v="1494"/>
    <n v="6.4"/>
    <n v="0.31"/>
    <n v="0.09"/>
    <n v="1.4"/>
    <n v="6.6000000000000003E-2"/>
    <n v="15"/>
    <n v="28"/>
    <n v="0.99458999999999997"/>
    <n v="3.42"/>
    <n v="0.7"/>
    <n v="10"/>
    <n v="7"/>
    <x v="1"/>
    <s v="Normal"/>
    <n v="20.43"/>
    <n v="764"/>
    <n v="13"/>
    <x v="1"/>
  </r>
  <r>
    <x v="1495"/>
    <n v="7"/>
    <n v="0.43"/>
    <n v="0.02"/>
    <n v="1.9"/>
    <n v="0.08"/>
    <n v="15"/>
    <n v="28"/>
    <n v="0.99492000000000003"/>
    <n v="3.35"/>
    <n v="0.81"/>
    <n v="10.6"/>
    <n v="6"/>
    <x v="0"/>
    <s v="Normal"/>
    <n v="21.555"/>
    <n v="537"/>
    <n v="13"/>
    <x v="1"/>
  </r>
  <r>
    <x v="1496"/>
    <n v="7.7"/>
    <n v="0.54"/>
    <n v="0.26"/>
    <n v="1.9"/>
    <n v="8.8999999999999996E-2"/>
    <n v="23"/>
    <n v="147"/>
    <n v="0.99636000000000002"/>
    <n v="3.26"/>
    <n v="0.59"/>
    <n v="9.6999999999999993"/>
    <n v="5"/>
    <x v="0"/>
    <s v="Normal"/>
    <n v="19.204999999999998"/>
    <n v="1081"/>
    <n v="124"/>
    <x v="0"/>
  </r>
  <r>
    <x v="1497"/>
    <n v="6.9"/>
    <n v="0.74"/>
    <n v="0.03"/>
    <n v="2.2999999999999998"/>
    <n v="5.3999999999999999E-2"/>
    <n v="7"/>
    <n v="16"/>
    <n v="0.99507999999999996"/>
    <n v="3.45"/>
    <n v="0.63"/>
    <n v="11.5"/>
    <n v="6"/>
    <x v="0"/>
    <s v="Normal"/>
    <n v="22.465"/>
    <n v="373"/>
    <n v="9"/>
    <x v="1"/>
  </r>
  <r>
    <x v="1498"/>
    <n v="6.6"/>
    <n v="0.89500000000000002"/>
    <n v="0.04"/>
    <n v="2.2999999999999998"/>
    <n v="6.8000000000000005E-2"/>
    <n v="7"/>
    <n v="13"/>
    <n v="0.99582000000000004"/>
    <n v="3.53"/>
    <n v="0.57999999999999996"/>
    <n v="10.8"/>
    <n v="6"/>
    <x v="0"/>
    <s v="Normal"/>
    <n v="20.680000000000003"/>
    <n v="727"/>
    <n v="6"/>
    <x v="1"/>
  </r>
  <r>
    <x v="1499"/>
    <n v="6.9"/>
    <n v="0.74"/>
    <n v="0.03"/>
    <n v="2.2999999999999998"/>
    <n v="5.3999999999999999E-2"/>
    <n v="7"/>
    <n v="16"/>
    <n v="0.99507999999999996"/>
    <n v="3.45"/>
    <n v="0.63"/>
    <n v="11.5"/>
    <n v="6"/>
    <x v="0"/>
    <s v="Normal"/>
    <n v="22.465"/>
    <n v="373"/>
    <n v="9"/>
    <x v="1"/>
  </r>
  <r>
    <x v="1500"/>
    <n v="7.5"/>
    <n v="0.72499999999999998"/>
    <n v="0.04"/>
    <n v="1.5"/>
    <n v="7.5999999999999998E-2"/>
    <n v="8"/>
    <n v="15"/>
    <n v="0.99507999999999996"/>
    <n v="3.26"/>
    <n v="0.53"/>
    <n v="9.6"/>
    <n v="5"/>
    <x v="0"/>
    <s v="Normal"/>
    <n v="18.545000000000002"/>
    <n v="1362"/>
    <n v="7"/>
    <x v="0"/>
  </r>
  <r>
    <x v="1501"/>
    <n v="7.8"/>
    <n v="0.82"/>
    <n v="0.28999999999999998"/>
    <n v="4.3"/>
    <n v="8.3000000000000004E-2"/>
    <n v="21"/>
    <n v="64"/>
    <n v="0.99641999999999997"/>
    <n v="3.16"/>
    <n v="0.53"/>
    <n v="9.4"/>
    <n v="5"/>
    <x v="0"/>
    <s v="Normal"/>
    <n v="17.955000000000002"/>
    <n v="1527"/>
    <n v="43"/>
    <x v="0"/>
  </r>
  <r>
    <x v="1502"/>
    <n v="7.3"/>
    <n v="0.58499999999999996"/>
    <n v="0.18"/>
    <n v="2.4"/>
    <n v="7.8E-2"/>
    <n v="15"/>
    <n v="60"/>
    <n v="0.99638000000000004"/>
    <n v="3.31"/>
    <n v="0.54"/>
    <n v="9.8000000000000007"/>
    <n v="5"/>
    <x v="0"/>
    <s v="Normal"/>
    <n v="19.240000000000002"/>
    <n v="1058"/>
    <n v="45"/>
    <x v="0"/>
  </r>
  <r>
    <x v="1503"/>
    <n v="6.2"/>
    <n v="0.44"/>
    <n v="0.39"/>
    <n v="2.5"/>
    <n v="7.6999999999999999E-2"/>
    <n v="6"/>
    <n v="14"/>
    <n v="0.99555000000000005"/>
    <n v="3.51"/>
    <n v="0.69"/>
    <n v="11"/>
    <n v="6"/>
    <x v="0"/>
    <s v="Normal"/>
    <n v="22.155000000000001"/>
    <n v="426"/>
    <n v="8"/>
    <x v="1"/>
  </r>
  <r>
    <x v="1504"/>
    <n v="7.5"/>
    <n v="0.38"/>
    <n v="0.56999999999999995"/>
    <n v="2.2999999999999998"/>
    <n v="0.106"/>
    <n v="5"/>
    <n v="12"/>
    <n v="0.99604999999999999"/>
    <n v="3.36"/>
    <n v="0.55000000000000004"/>
    <n v="11.4"/>
    <n v="6"/>
    <x v="0"/>
    <s v="Normal"/>
    <n v="22.864999999999998"/>
    <n v="300"/>
    <n v="7"/>
    <x v="1"/>
  </r>
  <r>
    <x v="1505"/>
    <n v="6.7"/>
    <n v="0.76"/>
    <n v="0.02"/>
    <n v="1.8"/>
    <n v="7.8E-2"/>
    <n v="6"/>
    <n v="12"/>
    <n v="0.996"/>
    <n v="3.55"/>
    <n v="0.63"/>
    <n v="9.9499999999999993"/>
    <n v="3"/>
    <x v="2"/>
    <s v="Normal"/>
    <n v="19.324999999999999"/>
    <n v="1034"/>
    <n v="6"/>
    <x v="0"/>
  </r>
  <r>
    <x v="1506"/>
    <n v="6.8"/>
    <n v="0.81"/>
    <n v="0.05"/>
    <n v="2"/>
    <n v="7.0000000000000007E-2"/>
    <n v="6"/>
    <n v="14"/>
    <n v="0.99561999999999995"/>
    <n v="3.51"/>
    <n v="0.66"/>
    <n v="10.8"/>
    <n v="6"/>
    <x v="0"/>
    <s v="Normal"/>
    <n v="20.97"/>
    <n v="657"/>
    <n v="8"/>
    <x v="1"/>
  </r>
  <r>
    <x v="1507"/>
    <n v="7.5"/>
    <n v="0.38"/>
    <n v="0.56999999999999995"/>
    <n v="2.2999999999999998"/>
    <n v="0.106"/>
    <n v="5"/>
    <n v="12"/>
    <n v="0.99604999999999999"/>
    <n v="3.36"/>
    <n v="0.55000000000000004"/>
    <n v="11.4"/>
    <n v="6"/>
    <x v="0"/>
    <s v="Normal"/>
    <n v="22.864999999999998"/>
    <n v="300"/>
    <n v="7"/>
    <x v="1"/>
  </r>
  <r>
    <x v="1508"/>
    <n v="7.1"/>
    <n v="0.27"/>
    <n v="0.6"/>
    <n v="2.1"/>
    <n v="7.3999999999999996E-2"/>
    <n v="17"/>
    <n v="25"/>
    <n v="0.99814000000000003"/>
    <n v="3.38"/>
    <n v="0.72"/>
    <n v="10.6"/>
    <n v="6"/>
    <x v="0"/>
    <s v="Normal"/>
    <n v="21.740000000000002"/>
    <n v="497"/>
    <n v="8"/>
    <x v="1"/>
  </r>
  <r>
    <x v="1509"/>
    <n v="7.9"/>
    <n v="0.18"/>
    <n v="0.4"/>
    <n v="1.8"/>
    <n v="6.2E-2"/>
    <n v="7"/>
    <n v="20"/>
    <n v="0.99409999999999998"/>
    <n v="3.28"/>
    <n v="0.7"/>
    <n v="11.1"/>
    <n v="5"/>
    <x v="0"/>
    <s v="Normal"/>
    <n v="22.89"/>
    <n v="292"/>
    <n v="13"/>
    <x v="1"/>
  </r>
  <r>
    <x v="1510"/>
    <n v="6.4"/>
    <n v="0.36"/>
    <n v="0.21"/>
    <n v="2.2000000000000002"/>
    <n v="4.7E-2"/>
    <n v="26"/>
    <n v="48"/>
    <n v="0.99661"/>
    <n v="3.47"/>
    <n v="0.77"/>
    <n v="9.6999999999999993"/>
    <n v="6"/>
    <x v="0"/>
    <s v="Normal"/>
    <n v="19.835000000000001"/>
    <n v="897"/>
    <n v="22"/>
    <x v="0"/>
  </r>
  <r>
    <x v="1511"/>
    <n v="7.1"/>
    <n v="0.69"/>
    <n v="0.04"/>
    <n v="2.1"/>
    <n v="6.8000000000000005E-2"/>
    <n v="19"/>
    <n v="27"/>
    <n v="0.99712000000000001"/>
    <n v="3.44"/>
    <n v="0.67"/>
    <n v="9.8000000000000007"/>
    <n v="5"/>
    <x v="0"/>
    <s v="Normal"/>
    <n v="19.225000000000001"/>
    <n v="1071"/>
    <n v="8"/>
    <x v="0"/>
  </r>
  <r>
    <x v="1512"/>
    <n v="6.4"/>
    <n v="0.79"/>
    <n v="0.04"/>
    <n v="2.2000000000000002"/>
    <n v="6.0999999999999999E-2"/>
    <n v="11"/>
    <n v="17"/>
    <n v="0.99587999999999999"/>
    <n v="3.53"/>
    <n v="0.65"/>
    <n v="10.4"/>
    <n v="6"/>
    <x v="0"/>
    <s v="Normal"/>
    <n v="20.195"/>
    <n v="814"/>
    <n v="6"/>
    <x v="1"/>
  </r>
  <r>
    <x v="1513"/>
    <n v="6.4"/>
    <n v="0.56000000000000005"/>
    <n v="0.15"/>
    <n v="1.8"/>
    <n v="7.8E-2"/>
    <n v="17"/>
    <n v="65"/>
    <n v="0.99294000000000004"/>
    <n v="3.33"/>
    <n v="0.6"/>
    <n v="10.5"/>
    <n v="6"/>
    <x v="0"/>
    <s v="Normal"/>
    <n v="20.779999999999998"/>
    <n v="708"/>
    <n v="48"/>
    <x v="1"/>
  </r>
  <r>
    <x v="1514"/>
    <n v="6.9"/>
    <n v="0.84"/>
    <n v="0.21"/>
    <n v="4.0999999999999996"/>
    <n v="7.3999999999999996E-2"/>
    <n v="16"/>
    <n v="65"/>
    <n v="0.99841999999999997"/>
    <n v="3.53"/>
    <n v="0.72"/>
    <n v="9.2333333333333307"/>
    <n v="6"/>
    <x v="0"/>
    <s v="Normal"/>
    <n v="17.86666666666666"/>
    <n v="1543"/>
    <n v="49"/>
    <x v="0"/>
  </r>
  <r>
    <x v="1515"/>
    <n v="6.9"/>
    <n v="0.84"/>
    <n v="0.21"/>
    <n v="4.0999999999999996"/>
    <n v="7.3999999999999996E-2"/>
    <n v="16"/>
    <n v="65"/>
    <n v="0.99841999999999997"/>
    <n v="3.53"/>
    <n v="0.72"/>
    <n v="9.25"/>
    <n v="6"/>
    <x v="0"/>
    <s v="Normal"/>
    <n v="17.899999999999999"/>
    <n v="1536"/>
    <n v="49"/>
    <x v="0"/>
  </r>
  <r>
    <x v="1516"/>
    <n v="6.1"/>
    <n v="0.32"/>
    <n v="0.25"/>
    <n v="2.2999999999999998"/>
    <n v="7.0999999999999994E-2"/>
    <n v="23"/>
    <n v="58"/>
    <n v="0.99633000000000005"/>
    <n v="3.42"/>
    <n v="0.97"/>
    <n v="10.6"/>
    <n v="5"/>
    <x v="0"/>
    <s v="Normal"/>
    <n v="22.015000000000001"/>
    <n v="454"/>
    <n v="35"/>
    <x v="1"/>
  </r>
  <r>
    <x v="1517"/>
    <n v="6.5"/>
    <n v="0.53"/>
    <n v="0.06"/>
    <n v="2"/>
    <n v="6.3E-2"/>
    <n v="29"/>
    <n v="44"/>
    <n v="0.99489000000000005"/>
    <n v="3.38"/>
    <n v="0.83"/>
    <n v="10.3"/>
    <n v="6"/>
    <x v="0"/>
    <s v="Normal"/>
    <n v="20.785000000000004"/>
    <n v="704"/>
    <n v="15"/>
    <x v="1"/>
  </r>
  <r>
    <x v="1518"/>
    <n v="7.4"/>
    <n v="0.47"/>
    <n v="0.46"/>
    <n v="2.2000000000000002"/>
    <n v="0.114"/>
    <n v="7"/>
    <n v="20"/>
    <n v="0.99646999999999997"/>
    <n v="3.32"/>
    <n v="0.63"/>
    <n v="10.5"/>
    <n v="5"/>
    <x v="0"/>
    <s v="Normal"/>
    <n v="21.004999999999999"/>
    <n v="652"/>
    <n v="13"/>
    <x v="1"/>
  </r>
  <r>
    <x v="1519"/>
    <n v="6.6"/>
    <n v="0.7"/>
    <n v="0.08"/>
    <n v="2.6"/>
    <n v="0.106"/>
    <n v="14"/>
    <n v="27"/>
    <n v="0.99665000000000004"/>
    <n v="3.44"/>
    <n v="0.57999999999999996"/>
    <n v="10.199999999999999"/>
    <n v="5"/>
    <x v="0"/>
    <s v="Normal"/>
    <n v="19.87"/>
    <n v="887"/>
    <n v="13"/>
    <x v="1"/>
  </r>
  <r>
    <x v="1520"/>
    <n v="6.5"/>
    <n v="0.53"/>
    <n v="0.06"/>
    <n v="2"/>
    <n v="6.3E-2"/>
    <n v="29"/>
    <n v="44"/>
    <n v="0.99489000000000005"/>
    <n v="3.38"/>
    <n v="0.83"/>
    <n v="10.3"/>
    <n v="6"/>
    <x v="0"/>
    <s v="Normal"/>
    <n v="20.785000000000004"/>
    <n v="704"/>
    <n v="15"/>
    <x v="1"/>
  </r>
  <r>
    <x v="1521"/>
    <n v="6.9"/>
    <n v="0.48"/>
    <n v="0.2"/>
    <n v="1.9"/>
    <n v="8.2000000000000003E-2"/>
    <n v="9"/>
    <n v="23"/>
    <n v="0.99585000000000001"/>
    <n v="3.39"/>
    <n v="0.43"/>
    <n v="9.0500000000000007"/>
    <n v="4"/>
    <x v="2"/>
    <s v="Normal"/>
    <n v="17.785"/>
    <n v="1559"/>
    <n v="14"/>
    <x v="0"/>
  </r>
  <r>
    <x v="1522"/>
    <n v="6.1"/>
    <n v="0.32"/>
    <n v="0.25"/>
    <n v="2.2999999999999998"/>
    <n v="7.0999999999999994E-2"/>
    <n v="23"/>
    <n v="58"/>
    <n v="0.99633000000000005"/>
    <n v="3.42"/>
    <n v="0.97"/>
    <n v="10.6"/>
    <n v="5"/>
    <x v="0"/>
    <s v="Normal"/>
    <n v="22.015000000000001"/>
    <n v="454"/>
    <n v="35"/>
    <x v="1"/>
  </r>
  <r>
    <x v="1523"/>
    <n v="6.8"/>
    <n v="0.48"/>
    <n v="0.25"/>
    <n v="2"/>
    <n v="7.5999999999999998E-2"/>
    <n v="29"/>
    <n v="61"/>
    <n v="0.99529999999999996"/>
    <n v="3.34"/>
    <n v="0.6"/>
    <n v="10.4"/>
    <n v="5"/>
    <x v="0"/>
    <s v="Normal"/>
    <n v="20.74"/>
    <n v="718"/>
    <n v="32"/>
    <x v="1"/>
  </r>
  <r>
    <x v="1524"/>
    <n v="6"/>
    <n v="0.42"/>
    <n v="0.19"/>
    <n v="2"/>
    <n v="7.4999999999999997E-2"/>
    <n v="22"/>
    <n v="47"/>
    <n v="0.99521999999999999"/>
    <n v="3.39"/>
    <n v="0.78"/>
    <n v="10"/>
    <n v="6"/>
    <x v="0"/>
    <s v="Normal"/>
    <n v="20.330000000000002"/>
    <n v="785"/>
    <n v="25"/>
    <x v="1"/>
  </r>
  <r>
    <x v="1525"/>
    <n v="6.7"/>
    <n v="0.48"/>
    <n v="0.08"/>
    <n v="2.1"/>
    <n v="6.4000000000000001E-2"/>
    <n v="18"/>
    <n v="34"/>
    <n v="0.99551999999999996"/>
    <n v="3.33"/>
    <n v="0.64"/>
    <n v="9.6999999999999993"/>
    <n v="5"/>
    <x v="0"/>
    <s v="Normal"/>
    <n v="19.399999999999999"/>
    <n v="1006"/>
    <n v="16"/>
    <x v="0"/>
  </r>
  <r>
    <x v="1526"/>
    <n v="6.8"/>
    <n v="0.47"/>
    <n v="0.08"/>
    <n v="2.2000000000000002"/>
    <n v="6.4000000000000001E-2"/>
    <n v="18"/>
    <n v="38"/>
    <n v="0.99553000000000003"/>
    <n v="3.3"/>
    <n v="0.65"/>
    <n v="9.6"/>
    <n v="6"/>
    <x v="0"/>
    <s v="Normal"/>
    <n v="19.234999999999999"/>
    <n v="1066"/>
    <n v="20"/>
    <x v="0"/>
  </r>
  <r>
    <x v="1527"/>
    <n v="7.1"/>
    <n v="0.53"/>
    <n v="7.0000000000000007E-2"/>
    <n v="1.7"/>
    <n v="7.0999999999999994E-2"/>
    <n v="15"/>
    <n v="24"/>
    <n v="0.99509999999999998"/>
    <n v="3.29"/>
    <n v="0.66"/>
    <n v="10.8"/>
    <n v="6"/>
    <x v="0"/>
    <s v="Normal"/>
    <n v="21.53"/>
    <n v="538"/>
    <n v="9"/>
    <x v="1"/>
  </r>
  <r>
    <x v="1528"/>
    <n v="7.9"/>
    <n v="0.28999999999999998"/>
    <n v="0.49"/>
    <n v="2.2000000000000002"/>
    <n v="9.6000000000000002E-2"/>
    <n v="21"/>
    <n v="59"/>
    <n v="0.99714000000000003"/>
    <n v="3.31"/>
    <n v="0.67"/>
    <n v="10.1"/>
    <n v="6"/>
    <x v="0"/>
    <s v="Normal"/>
    <n v="20.625"/>
    <n v="736"/>
    <n v="38"/>
    <x v="1"/>
  </r>
  <r>
    <x v="1529"/>
    <n v="7.1"/>
    <n v="0.69"/>
    <n v="0.08"/>
    <n v="2.1"/>
    <n v="6.3E-2"/>
    <n v="42"/>
    <n v="52"/>
    <n v="0.99607999999999997"/>
    <n v="3.42"/>
    <n v="0.6"/>
    <n v="10.199999999999999"/>
    <n v="6"/>
    <x v="0"/>
    <s v="Normal"/>
    <n v="19.919999999999998"/>
    <n v="873"/>
    <n v="10"/>
    <x v="1"/>
  </r>
  <r>
    <x v="1530"/>
    <n v="6.6"/>
    <n v="0.44"/>
    <n v="0.09"/>
    <n v="2.2000000000000002"/>
    <n v="6.3E-2"/>
    <n v="9"/>
    <n v="18"/>
    <n v="0.99443999999999999"/>
    <n v="3.42"/>
    <n v="0.69"/>
    <n v="11.3"/>
    <n v="6"/>
    <x v="0"/>
    <s v="Normal"/>
    <n v="22.755000000000003"/>
    <n v="319"/>
    <n v="9"/>
    <x v="1"/>
  </r>
  <r>
    <x v="1531"/>
    <n v="6.1"/>
    <n v="0.70499999999999996"/>
    <n v="0.1"/>
    <n v="2.8"/>
    <n v="8.1000000000000003E-2"/>
    <n v="13"/>
    <n v="28"/>
    <n v="0.99631000000000003"/>
    <n v="3.6"/>
    <n v="0.66"/>
    <n v="10.199999999999999"/>
    <n v="5"/>
    <x v="0"/>
    <s v="Normal"/>
    <n v="19.979999999999997"/>
    <n v="857"/>
    <n v="15"/>
    <x v="1"/>
  </r>
  <r>
    <x v="1532"/>
    <n v="7.2"/>
    <n v="0.53"/>
    <n v="0.13"/>
    <n v="2"/>
    <n v="5.8000000000000003E-2"/>
    <n v="18"/>
    <n v="22"/>
    <n v="0.99573"/>
    <n v="3.21"/>
    <n v="0.68"/>
    <n v="9.9"/>
    <n v="6"/>
    <x v="0"/>
    <s v="Normal"/>
    <n v="19.760000000000002"/>
    <n v="912"/>
    <n v="4"/>
    <x v="0"/>
  </r>
  <r>
    <x v="1533"/>
    <n v="8"/>
    <n v="0.39"/>
    <n v="0.3"/>
    <n v="1.9"/>
    <n v="7.3999999999999996E-2"/>
    <n v="32"/>
    <n v="84"/>
    <n v="0.99717"/>
    <n v="3.39"/>
    <n v="0.61"/>
    <n v="9"/>
    <n v="5"/>
    <x v="0"/>
    <s v="Normal"/>
    <n v="18.134999999999998"/>
    <n v="1495"/>
    <n v="52"/>
    <x v="0"/>
  </r>
  <r>
    <x v="1534"/>
    <n v="6.6"/>
    <n v="0.56000000000000005"/>
    <n v="0.14000000000000001"/>
    <n v="2.4"/>
    <n v="6.4000000000000001E-2"/>
    <n v="13"/>
    <n v="29"/>
    <n v="0.99397000000000002"/>
    <n v="3.42"/>
    <n v="0.62"/>
    <n v="11.7"/>
    <n v="7"/>
    <x v="1"/>
    <s v="Normal"/>
    <n v="23.209999999999997"/>
    <n v="244"/>
    <n v="16"/>
    <x v="1"/>
  </r>
  <r>
    <x v="1535"/>
    <n v="7"/>
    <n v="0.55000000000000004"/>
    <n v="0.13"/>
    <n v="2.2000000000000002"/>
    <n v="7.4999999999999997E-2"/>
    <n v="15"/>
    <n v="35"/>
    <n v="0.99590000000000001"/>
    <n v="3.36"/>
    <n v="0.59"/>
    <n v="9.6999999999999993"/>
    <n v="6"/>
    <x v="0"/>
    <s v="Normal"/>
    <n v="19.184999999999999"/>
    <n v="1090"/>
    <n v="20"/>
    <x v="0"/>
  </r>
  <r>
    <x v="1536"/>
    <n v="6.1"/>
    <n v="0.53"/>
    <n v="0.08"/>
    <n v="1.9"/>
    <n v="7.6999999999999999E-2"/>
    <n v="24"/>
    <n v="45"/>
    <n v="0.99528000000000005"/>
    <n v="3.6"/>
    <n v="0.68"/>
    <n v="10.3"/>
    <n v="6"/>
    <x v="0"/>
    <s v="Normal"/>
    <n v="20.560000000000002"/>
    <n v="742"/>
    <n v="21"/>
    <x v="1"/>
  </r>
  <r>
    <x v="1537"/>
    <n v="5.4"/>
    <n v="0.57999999999999996"/>
    <n v="0.08"/>
    <n v="1.9"/>
    <n v="5.8999999999999997E-2"/>
    <n v="20"/>
    <n v="31"/>
    <n v="0.99483999999999995"/>
    <n v="3.5"/>
    <n v="0.64"/>
    <n v="10.199999999999999"/>
    <n v="6"/>
    <x v="0"/>
    <s v="Normal"/>
    <n v="20.2"/>
    <n v="813"/>
    <n v="11"/>
    <x v="1"/>
  </r>
  <r>
    <x v="1538"/>
    <n v="6.2"/>
    <n v="0.64"/>
    <n v="0.09"/>
    <n v="2.5"/>
    <n v="8.1000000000000003E-2"/>
    <n v="15"/>
    <n v="26"/>
    <n v="0.99538000000000004"/>
    <n v="3.57"/>
    <n v="0.63"/>
    <n v="12"/>
    <n v="5"/>
    <x v="0"/>
    <s v="Normal"/>
    <n v="23.664999999999999"/>
    <n v="204"/>
    <n v="11"/>
    <x v="1"/>
  </r>
  <r>
    <x v="1539"/>
    <n v="7.2"/>
    <n v="0.39"/>
    <n v="0.32"/>
    <n v="1.8"/>
    <n v="6.5000000000000002E-2"/>
    <n v="34"/>
    <n v="60"/>
    <n v="0.99714000000000003"/>
    <n v="3.46"/>
    <n v="0.78"/>
    <n v="9.9"/>
    <n v="5"/>
    <x v="0"/>
    <s v="Normal"/>
    <n v="20.189999999999998"/>
    <n v="816"/>
    <n v="26"/>
    <x v="0"/>
  </r>
  <r>
    <x v="1540"/>
    <n v="6.2"/>
    <n v="0.52"/>
    <n v="0.08"/>
    <n v="4.4000000000000004"/>
    <n v="7.0999999999999994E-2"/>
    <n v="11"/>
    <n v="32"/>
    <n v="0.99646000000000001"/>
    <n v="3.56"/>
    <n v="0.63"/>
    <n v="11.6"/>
    <n v="6"/>
    <x v="0"/>
    <s v="Normal"/>
    <n v="23.105"/>
    <n v="259"/>
    <n v="21"/>
    <x v="1"/>
  </r>
  <r>
    <x v="1541"/>
    <n v="7.4"/>
    <n v="0.25"/>
    <n v="0.28999999999999998"/>
    <n v="2.2000000000000002"/>
    <n v="5.3999999999999999E-2"/>
    <n v="19"/>
    <n v="49"/>
    <n v="0.99665999999999999"/>
    <n v="3.4"/>
    <n v="0.76"/>
    <n v="10.9"/>
    <n v="7"/>
    <x v="1"/>
    <s v="Normal"/>
    <n v="22.44"/>
    <n v="384"/>
    <n v="30"/>
    <x v="1"/>
  </r>
  <r>
    <x v="1542"/>
    <n v="6.7"/>
    <n v="0.85499999999999998"/>
    <n v="0.02"/>
    <n v="1.9"/>
    <n v="6.4000000000000001E-2"/>
    <n v="29"/>
    <n v="38"/>
    <n v="0.99472000000000005"/>
    <n v="3.3"/>
    <n v="0.56000000000000005"/>
    <n v="10.75"/>
    <n v="6"/>
    <x v="0"/>
    <s v="Normal"/>
    <n v="20.63"/>
    <n v="734"/>
    <n v="9"/>
    <x v="1"/>
  </r>
  <r>
    <x v="1543"/>
    <n v="11.1"/>
    <n v="0.44"/>
    <n v="0.42"/>
    <n v="2.2000000000000002"/>
    <n v="6.4000000000000001E-2"/>
    <n v="14"/>
    <n v="19"/>
    <n v="0.99758000000000002"/>
    <n v="3.25"/>
    <n v="0.56999999999999995"/>
    <n v="10.4"/>
    <n v="6"/>
    <x v="0"/>
    <s v="High"/>
    <n v="20.775000000000002"/>
    <n v="709"/>
    <n v="5"/>
    <x v="1"/>
  </r>
  <r>
    <x v="1544"/>
    <n v="8.4"/>
    <n v="0.37"/>
    <n v="0.43"/>
    <n v="2.2999999999999998"/>
    <n v="6.3E-2"/>
    <n v="12"/>
    <n v="19"/>
    <n v="0.99550000000000005"/>
    <n v="3.17"/>
    <n v="0.81"/>
    <n v="11.2"/>
    <n v="7"/>
    <x v="1"/>
    <s v="High"/>
    <n v="22.875"/>
    <n v="295"/>
    <n v="7"/>
    <x v="0"/>
  </r>
  <r>
    <x v="1545"/>
    <n v="6.5"/>
    <n v="0.63"/>
    <n v="0.33"/>
    <n v="1.8"/>
    <n v="5.8999999999999997E-2"/>
    <n v="16"/>
    <n v="28"/>
    <n v="0.99531000000000003"/>
    <n v="3.36"/>
    <n v="0.64"/>
    <n v="10.1"/>
    <n v="6"/>
    <x v="0"/>
    <s v="Normal"/>
    <n v="19.899999999999999"/>
    <n v="880"/>
    <n v="12"/>
    <x v="1"/>
  </r>
  <r>
    <x v="1546"/>
    <n v="7"/>
    <n v="0.56999999999999995"/>
    <n v="0.02"/>
    <n v="2"/>
    <n v="7.1999999999999995E-2"/>
    <n v="17"/>
    <n v="26"/>
    <n v="0.99575000000000002"/>
    <n v="3.36"/>
    <n v="0.61"/>
    <n v="10.199999999999999"/>
    <n v="5"/>
    <x v="0"/>
    <s v="Normal"/>
    <n v="20.174999999999997"/>
    <n v="823"/>
    <n v="9"/>
    <x v="1"/>
  </r>
  <r>
    <x v="1547"/>
    <n v="6.3"/>
    <n v="0.6"/>
    <n v="0.1"/>
    <n v="1.6"/>
    <n v="4.8000000000000001E-2"/>
    <n v="12"/>
    <n v="26"/>
    <n v="0.99306000000000005"/>
    <n v="3.55"/>
    <n v="0.51"/>
    <n v="12.1"/>
    <n v="5"/>
    <x v="0"/>
    <s v="Normal"/>
    <n v="23.765000000000001"/>
    <n v="195"/>
    <n v="14"/>
    <x v="1"/>
  </r>
  <r>
    <x v="1548"/>
    <n v="11.2"/>
    <n v="0.4"/>
    <n v="0.5"/>
    <n v="2"/>
    <n v="9.9000000000000005E-2"/>
    <n v="19"/>
    <n v="50"/>
    <n v="0.99782999999999999"/>
    <n v="3.1"/>
    <n v="0.57999999999999996"/>
    <n v="10.4"/>
    <n v="5"/>
    <x v="0"/>
    <s v="High"/>
    <n v="20.87"/>
    <n v="682"/>
    <n v="31"/>
    <x v="0"/>
  </r>
  <r>
    <x v="1549"/>
    <n v="7.4"/>
    <n v="0.36"/>
    <n v="0.3"/>
    <n v="1.8"/>
    <n v="7.3999999999999996E-2"/>
    <n v="17"/>
    <n v="24"/>
    <n v="0.99419000000000002"/>
    <n v="3.24"/>
    <n v="0.7"/>
    <n v="11.4"/>
    <n v="8"/>
    <x v="1"/>
    <s v="Normal"/>
    <n v="23.130000000000003"/>
    <n v="255"/>
    <n v="7"/>
    <x v="1"/>
  </r>
  <r>
    <x v="1550"/>
    <n v="7.1"/>
    <n v="0.68"/>
    <n v="0"/>
    <n v="2.2999999999999998"/>
    <n v="8.6999999999999994E-2"/>
    <n v="17"/>
    <n v="26"/>
    <n v="0.99782999999999999"/>
    <n v="3.45"/>
    <n v="0.53"/>
    <n v="9.5"/>
    <n v="5"/>
    <x v="0"/>
    <s v="Normal"/>
    <n v="18.435000000000002"/>
    <n v="1398"/>
    <n v="9"/>
    <x v="0"/>
  </r>
  <r>
    <x v="1551"/>
    <n v="7.1"/>
    <n v="0.67"/>
    <n v="0"/>
    <n v="2.2999999999999998"/>
    <n v="8.3000000000000004E-2"/>
    <n v="18"/>
    <n v="27"/>
    <n v="0.99768000000000001"/>
    <n v="3.44"/>
    <n v="0.54"/>
    <n v="9.4"/>
    <n v="5"/>
    <x v="0"/>
    <s v="Normal"/>
    <n v="18.27"/>
    <n v="1460"/>
    <n v="9"/>
    <x v="0"/>
  </r>
  <r>
    <x v="1552"/>
    <n v="6.3"/>
    <n v="0.68"/>
    <n v="0.01"/>
    <n v="3.7"/>
    <n v="0.10299999999999999"/>
    <n v="32"/>
    <n v="54"/>
    <n v="0.99585999999999997"/>
    <n v="3.51"/>
    <n v="0.66"/>
    <n v="11.3"/>
    <n v="6"/>
    <x v="0"/>
    <s v="Normal"/>
    <n v="22.23"/>
    <n v="417"/>
    <n v="22"/>
    <x v="1"/>
  </r>
  <r>
    <x v="1553"/>
    <n v="7.3"/>
    <n v="0.73499999999999999"/>
    <n v="0"/>
    <n v="2.2000000000000002"/>
    <n v="0.08"/>
    <n v="18"/>
    <n v="28"/>
    <n v="0.99765000000000004"/>
    <n v="3.41"/>
    <n v="0.6"/>
    <n v="9.4"/>
    <n v="5"/>
    <x v="0"/>
    <s v="Normal"/>
    <n v="18.23"/>
    <n v="1477"/>
    <n v="10"/>
    <x v="0"/>
  </r>
  <r>
    <x v="1554"/>
    <n v="6.6"/>
    <n v="0.85499999999999998"/>
    <n v="0.02"/>
    <n v="2.4"/>
    <n v="6.2E-2"/>
    <n v="15"/>
    <n v="23"/>
    <n v="0.99626999999999999"/>
    <n v="3.54"/>
    <n v="0.6"/>
    <n v="11"/>
    <n v="6"/>
    <x v="0"/>
    <s v="Normal"/>
    <n v="21.189999999999998"/>
    <n v="606"/>
    <n v="8"/>
    <x v="1"/>
  </r>
  <r>
    <x v="1555"/>
    <n v="7"/>
    <n v="0.56000000000000005"/>
    <n v="0.17"/>
    <n v="1.7"/>
    <n v="6.5000000000000002E-2"/>
    <n v="15"/>
    <n v="24"/>
    <n v="0.99514000000000002"/>
    <n v="3.44"/>
    <n v="0.68"/>
    <n v="10.55"/>
    <n v="7"/>
    <x v="1"/>
    <s v="Normal"/>
    <n v="21"/>
    <n v="653"/>
    <n v="9"/>
    <x v="1"/>
  </r>
  <r>
    <x v="1556"/>
    <n v="6.6"/>
    <n v="0.88"/>
    <n v="0.04"/>
    <n v="2.2000000000000002"/>
    <n v="6.6000000000000003E-2"/>
    <n v="12"/>
    <n v="20"/>
    <n v="0.99636000000000002"/>
    <n v="3.53"/>
    <n v="0.56000000000000005"/>
    <n v="9.9"/>
    <n v="5"/>
    <x v="0"/>
    <s v="Normal"/>
    <n v="18.88"/>
    <n v="1211"/>
    <n v="8"/>
    <x v="0"/>
  </r>
  <r>
    <x v="1557"/>
    <n v="6.6"/>
    <n v="0.85499999999999998"/>
    <n v="0.02"/>
    <n v="2.4"/>
    <n v="6.2E-2"/>
    <n v="15"/>
    <n v="23"/>
    <n v="0.99626999999999999"/>
    <n v="3.54"/>
    <n v="0.6"/>
    <n v="11"/>
    <n v="6"/>
    <x v="0"/>
    <s v="Normal"/>
    <n v="21.189999999999998"/>
    <n v="606"/>
    <n v="8"/>
    <x v="1"/>
  </r>
  <r>
    <x v="1558"/>
    <n v="6.9"/>
    <n v="0.63"/>
    <n v="0.33"/>
    <n v="6.7"/>
    <n v="0.23499999999999999"/>
    <n v="66"/>
    <n v="115"/>
    <n v="0.99787000000000003"/>
    <n v="3.22"/>
    <n v="0.56000000000000005"/>
    <n v="9.5"/>
    <n v="5"/>
    <x v="0"/>
    <s v="Normal"/>
    <n v="18.579999999999998"/>
    <n v="1350"/>
    <n v="49"/>
    <x v="0"/>
  </r>
  <r>
    <x v="1559"/>
    <n v="7.8"/>
    <n v="0.6"/>
    <n v="0.26"/>
    <n v="2"/>
    <n v="0.08"/>
    <n v="31"/>
    <n v="131"/>
    <n v="0.99621999999999999"/>
    <n v="3.21"/>
    <n v="0.52"/>
    <n v="9.9"/>
    <n v="5"/>
    <x v="0"/>
    <s v="Normal"/>
    <n v="19.380000000000003"/>
    <n v="1012"/>
    <n v="100"/>
    <x v="0"/>
  </r>
  <r>
    <x v="1560"/>
    <n v="7.8"/>
    <n v="0.6"/>
    <n v="0.26"/>
    <n v="2"/>
    <n v="0.08"/>
    <n v="31"/>
    <n v="131"/>
    <n v="0.99621999999999999"/>
    <n v="3.21"/>
    <n v="0.52"/>
    <n v="9.9"/>
    <n v="5"/>
    <x v="0"/>
    <s v="Normal"/>
    <n v="19.380000000000003"/>
    <n v="1012"/>
    <n v="100"/>
    <x v="0"/>
  </r>
  <r>
    <x v="1561"/>
    <n v="7.8"/>
    <n v="0.6"/>
    <n v="0.26"/>
    <n v="2"/>
    <n v="0.08"/>
    <n v="31"/>
    <n v="131"/>
    <n v="0.99621999999999999"/>
    <n v="3.21"/>
    <n v="0.52"/>
    <n v="9.9"/>
    <n v="5"/>
    <x v="0"/>
    <s v="Normal"/>
    <n v="19.380000000000003"/>
    <n v="1012"/>
    <n v="100"/>
    <x v="0"/>
  </r>
  <r>
    <x v="1562"/>
    <n v="7.2"/>
    <n v="0.69499999999999995"/>
    <n v="0.13"/>
    <n v="2"/>
    <n v="7.5999999999999998E-2"/>
    <n v="12"/>
    <n v="20"/>
    <n v="0.99546000000000001"/>
    <n v="3.29"/>
    <n v="0.54"/>
    <n v="10.1"/>
    <n v="5"/>
    <x v="0"/>
    <s v="Normal"/>
    <n v="19.619999999999997"/>
    <n v="944"/>
    <n v="8"/>
    <x v="1"/>
  </r>
  <r>
    <x v="1563"/>
    <n v="7.2"/>
    <n v="0.69499999999999995"/>
    <n v="0.13"/>
    <n v="2"/>
    <n v="7.5999999999999998E-2"/>
    <n v="12"/>
    <n v="20"/>
    <n v="0.99546000000000001"/>
    <n v="3.29"/>
    <n v="0.54"/>
    <n v="10.1"/>
    <n v="5"/>
    <x v="0"/>
    <s v="Normal"/>
    <n v="19.619999999999997"/>
    <n v="944"/>
    <n v="8"/>
    <x v="1"/>
  </r>
  <r>
    <x v="1564"/>
    <n v="7.2"/>
    <n v="0.69499999999999995"/>
    <n v="0.13"/>
    <n v="2"/>
    <n v="7.5999999999999998E-2"/>
    <n v="12"/>
    <n v="20"/>
    <n v="0.99546000000000001"/>
    <n v="3.29"/>
    <n v="0.54"/>
    <n v="10.1"/>
    <n v="5"/>
    <x v="0"/>
    <s v="Normal"/>
    <n v="19.619999999999997"/>
    <n v="944"/>
    <n v="8"/>
    <x v="1"/>
  </r>
  <r>
    <x v="1565"/>
    <n v="6.7"/>
    <n v="0.67"/>
    <n v="0.02"/>
    <n v="1.9"/>
    <n v="6.0999999999999999E-2"/>
    <n v="26"/>
    <n v="42"/>
    <n v="0.99489000000000005"/>
    <n v="3.39"/>
    <n v="0.82"/>
    <n v="10.9"/>
    <n v="6"/>
    <x v="0"/>
    <s v="Normal"/>
    <n v="21.69"/>
    <n v="506"/>
    <n v="16"/>
    <x v="1"/>
  </r>
  <r>
    <x v="1566"/>
    <n v="6.7"/>
    <n v="0.16"/>
    <n v="0.64"/>
    <n v="2.1"/>
    <n v="5.8999999999999997E-2"/>
    <n v="24"/>
    <n v="52"/>
    <n v="0.99494000000000005"/>
    <n v="3.34"/>
    <n v="0.71"/>
    <n v="11.2"/>
    <n v="6"/>
    <x v="0"/>
    <s v="Normal"/>
    <n v="23.145"/>
    <n v="254"/>
    <n v="28"/>
    <x v="1"/>
  </r>
  <r>
    <x v="1567"/>
    <n v="7.2"/>
    <n v="0.69499999999999995"/>
    <n v="0.13"/>
    <n v="2"/>
    <n v="7.5999999999999998E-2"/>
    <n v="12"/>
    <n v="20"/>
    <n v="0.99546000000000001"/>
    <n v="3.29"/>
    <n v="0.54"/>
    <n v="10.1"/>
    <n v="5"/>
    <x v="0"/>
    <s v="Normal"/>
    <n v="19.619999999999997"/>
    <n v="944"/>
    <n v="8"/>
    <x v="1"/>
  </r>
  <r>
    <x v="1568"/>
    <n v="7"/>
    <n v="0.56000000000000005"/>
    <n v="0.13"/>
    <n v="1.6"/>
    <n v="7.6999999999999999E-2"/>
    <n v="25"/>
    <n v="42"/>
    <n v="0.99629000000000001"/>
    <n v="3.34"/>
    <n v="0.59"/>
    <n v="9.1999999999999993"/>
    <n v="5"/>
    <x v="0"/>
    <s v="Normal"/>
    <n v="18.164999999999999"/>
    <n v="1486"/>
    <n v="17"/>
    <x v="0"/>
  </r>
  <r>
    <x v="1569"/>
    <n v="6.2"/>
    <n v="0.51"/>
    <n v="0.14000000000000001"/>
    <n v="1.9"/>
    <n v="5.6000000000000001E-2"/>
    <n v="15"/>
    <n v="34"/>
    <n v="0.99395999999999995"/>
    <n v="3.48"/>
    <n v="0.56999999999999995"/>
    <n v="11.5"/>
    <n v="6"/>
    <x v="0"/>
    <s v="Normal"/>
    <n v="22.835000000000001"/>
    <n v="307"/>
    <n v="19"/>
    <x v="1"/>
  </r>
  <r>
    <x v="1570"/>
    <n v="6.4"/>
    <n v="0.36"/>
    <n v="0.53"/>
    <n v="2.2000000000000002"/>
    <n v="0.23"/>
    <n v="19"/>
    <n v="35"/>
    <n v="0.99339999999999995"/>
    <n v="3.37"/>
    <n v="0.93"/>
    <n v="12.4"/>
    <n v="6"/>
    <x v="0"/>
    <s v="Normal"/>
    <n v="25.475000000000001"/>
    <n v="57"/>
    <n v="16"/>
    <x v="1"/>
  </r>
  <r>
    <x v="1571"/>
    <n v="6.4"/>
    <n v="0.38"/>
    <n v="0.14000000000000001"/>
    <n v="2.2000000000000002"/>
    <n v="3.7999999999999999E-2"/>
    <n v="15"/>
    <n v="25"/>
    <n v="0.99514000000000002"/>
    <n v="3.44"/>
    <n v="0.65"/>
    <n v="11.1"/>
    <n v="6"/>
    <x v="0"/>
    <s v="Normal"/>
    <n v="22.414999999999999"/>
    <n v="391"/>
    <n v="10"/>
    <x v="1"/>
  </r>
  <r>
    <x v="1572"/>
    <n v="7.3"/>
    <n v="0.69"/>
    <n v="0.32"/>
    <n v="2.2000000000000002"/>
    <n v="6.9000000000000006E-2"/>
    <n v="35"/>
    <n v="104"/>
    <n v="0.99631999999999998"/>
    <n v="3.33"/>
    <n v="0.51"/>
    <n v="9.5"/>
    <n v="5"/>
    <x v="0"/>
    <s v="Normal"/>
    <n v="18.385000000000002"/>
    <n v="1422"/>
    <n v="69"/>
    <x v="0"/>
  </r>
  <r>
    <x v="1573"/>
    <n v="6"/>
    <n v="0.57999999999999996"/>
    <n v="0.2"/>
    <n v="2.4"/>
    <n v="7.4999999999999997E-2"/>
    <n v="15"/>
    <n v="50"/>
    <n v="0.99467000000000005"/>
    <n v="3.58"/>
    <n v="0.67"/>
    <n v="12.5"/>
    <n v="6"/>
    <x v="0"/>
    <s v="Normal"/>
    <n v="24.844999999999999"/>
    <n v="100"/>
    <n v="35"/>
    <x v="1"/>
  </r>
  <r>
    <x v="1574"/>
    <n v="5.6"/>
    <n v="0.31"/>
    <n v="0.78"/>
    <n v="13.9"/>
    <n v="7.3999999999999996E-2"/>
    <n v="23"/>
    <n v="92"/>
    <n v="0.99677000000000004"/>
    <n v="3.39"/>
    <n v="0.48"/>
    <n v="10.5"/>
    <n v="6"/>
    <x v="0"/>
    <s v="Normal"/>
    <n v="21.099999999999998"/>
    <n v="630"/>
    <n v="69"/>
    <x v="1"/>
  </r>
  <r>
    <x v="1575"/>
    <n v="7.5"/>
    <n v="0.52"/>
    <n v="0.4"/>
    <n v="2.2000000000000002"/>
    <n v="0.06"/>
    <n v="12"/>
    <n v="20"/>
    <n v="0.99473999999999996"/>
    <n v="3.26"/>
    <n v="0.64"/>
    <n v="11.8"/>
    <n v="6"/>
    <x v="0"/>
    <s v="Normal"/>
    <n v="23.520000000000003"/>
    <n v="216"/>
    <n v="8"/>
    <x v="1"/>
  </r>
  <r>
    <x v="1576"/>
    <n v="8"/>
    <n v="0.3"/>
    <n v="0.63"/>
    <n v="1.6"/>
    <n v="8.1000000000000003E-2"/>
    <n v="16"/>
    <n v="29"/>
    <n v="0.99587999999999999"/>
    <n v="3.3"/>
    <n v="0.78"/>
    <n v="10.8"/>
    <n v="6"/>
    <x v="0"/>
    <s v="Normal"/>
    <n v="22.17"/>
    <n v="425"/>
    <n v="13"/>
    <x v="1"/>
  </r>
  <r>
    <x v="1577"/>
    <n v="6.2"/>
    <n v="0.7"/>
    <n v="0.15"/>
    <n v="5.0999999999999996"/>
    <n v="7.5999999999999998E-2"/>
    <n v="13"/>
    <n v="27"/>
    <n v="0.99621999999999999"/>
    <n v="3.54"/>
    <n v="0.6"/>
    <n v="11.9"/>
    <n v="6"/>
    <x v="0"/>
    <s v="Normal"/>
    <n v="23.3"/>
    <n v="234"/>
    <n v="14"/>
    <x v="1"/>
  </r>
  <r>
    <x v="1578"/>
    <n v="6.8"/>
    <n v="0.67"/>
    <n v="0.15"/>
    <n v="1.8"/>
    <n v="0.11799999999999999"/>
    <n v="13"/>
    <n v="20"/>
    <n v="0.99539999999999995"/>
    <n v="3.42"/>
    <n v="0.67"/>
    <n v="11.3"/>
    <n v="6"/>
    <x v="0"/>
    <s v="Normal"/>
    <n v="22.265000000000001"/>
    <n v="411"/>
    <n v="7"/>
    <x v="1"/>
  </r>
  <r>
    <x v="1579"/>
    <n v="6.2"/>
    <n v="0.56000000000000005"/>
    <n v="0.09"/>
    <n v="1.7"/>
    <n v="5.2999999999999999E-2"/>
    <n v="24"/>
    <n v="32"/>
    <n v="0.99402000000000001"/>
    <n v="3.54"/>
    <n v="0.6"/>
    <n v="11.3"/>
    <n v="5"/>
    <x v="0"/>
    <s v="Normal"/>
    <n v="22.38"/>
    <n v="394"/>
    <n v="8"/>
    <x v="1"/>
  </r>
  <r>
    <x v="1580"/>
    <n v="7.4"/>
    <n v="0.35"/>
    <n v="0.33"/>
    <n v="2.4"/>
    <n v="6.8000000000000005E-2"/>
    <n v="9"/>
    <n v="26"/>
    <n v="0.99470000000000003"/>
    <n v="3.36"/>
    <n v="0.6"/>
    <n v="11.9"/>
    <n v="6"/>
    <x v="0"/>
    <s v="Normal"/>
    <n v="24"/>
    <n v="180"/>
    <n v="17"/>
    <x v="1"/>
  </r>
  <r>
    <x v="1581"/>
    <n v="6.2"/>
    <n v="0.56000000000000005"/>
    <n v="0.09"/>
    <n v="1.7"/>
    <n v="5.2999999999999999E-2"/>
    <n v="24"/>
    <n v="32"/>
    <n v="0.99402000000000001"/>
    <n v="3.54"/>
    <n v="0.6"/>
    <n v="11.3"/>
    <n v="5"/>
    <x v="0"/>
    <s v="Normal"/>
    <n v="22.38"/>
    <n v="394"/>
    <n v="8"/>
    <x v="1"/>
  </r>
  <r>
    <x v="1582"/>
    <n v="6.1"/>
    <n v="0.71499999999999997"/>
    <n v="0.1"/>
    <n v="2.6"/>
    <n v="5.2999999999999999E-2"/>
    <n v="13"/>
    <n v="27"/>
    <n v="0.99361999999999995"/>
    <n v="3.57"/>
    <n v="0.5"/>
    <n v="11.9"/>
    <n v="5"/>
    <x v="0"/>
    <s v="Normal"/>
    <n v="23.12"/>
    <n v="257"/>
    <n v="14"/>
    <x v="1"/>
  </r>
  <r>
    <x v="1583"/>
    <n v="6.2"/>
    <n v="0.46"/>
    <n v="0.28999999999999998"/>
    <n v="2.1"/>
    <n v="7.3999999999999996E-2"/>
    <n v="32"/>
    <n v="98"/>
    <n v="0.99578"/>
    <n v="3.33"/>
    <n v="0.62"/>
    <n v="9.8000000000000007"/>
    <n v="5"/>
    <x v="0"/>
    <s v="Normal"/>
    <n v="19.61"/>
    <n v="951"/>
    <n v="66"/>
    <x v="0"/>
  </r>
  <r>
    <x v="1584"/>
    <n v="6.7"/>
    <n v="0.32"/>
    <n v="0.44"/>
    <n v="2.4"/>
    <n v="6.0999999999999999E-2"/>
    <n v="24"/>
    <n v="34"/>
    <n v="0.99483999999999995"/>
    <n v="3.29"/>
    <n v="0.8"/>
    <n v="11.6"/>
    <n v="7"/>
    <x v="1"/>
    <s v="Normal"/>
    <n v="23.759999999999998"/>
    <n v="199"/>
    <n v="10"/>
    <x v="1"/>
  </r>
  <r>
    <x v="1585"/>
    <n v="7.2"/>
    <n v="0.39"/>
    <n v="0.44"/>
    <n v="2.6"/>
    <n v="6.6000000000000003E-2"/>
    <n v="22"/>
    <n v="48"/>
    <n v="0.99494000000000005"/>
    <n v="3.3"/>
    <n v="0.84"/>
    <n v="11.5"/>
    <n v="6"/>
    <x v="0"/>
    <s v="Normal"/>
    <n v="23.48"/>
    <n v="222"/>
    <n v="26"/>
    <x v="1"/>
  </r>
  <r>
    <x v="1586"/>
    <n v="7.5"/>
    <n v="0.31"/>
    <n v="0.41"/>
    <n v="2.4"/>
    <n v="6.5000000000000002E-2"/>
    <n v="34"/>
    <n v="60"/>
    <n v="0.99492000000000003"/>
    <n v="3.34"/>
    <n v="0.85"/>
    <n v="11.4"/>
    <n v="6"/>
    <x v="0"/>
    <s v="Normal"/>
    <n v="23.454999999999998"/>
    <n v="223"/>
    <n v="26"/>
    <x v="1"/>
  </r>
  <r>
    <x v="1587"/>
    <n v="5.8"/>
    <n v="0.61"/>
    <n v="0.11"/>
    <n v="1.8"/>
    <n v="6.6000000000000003E-2"/>
    <n v="18"/>
    <n v="28"/>
    <n v="0.99482999999999999"/>
    <n v="3.55"/>
    <n v="0.66"/>
    <n v="10.9"/>
    <n v="6"/>
    <x v="0"/>
    <s v="Normal"/>
    <n v="21.57"/>
    <n v="532"/>
    <n v="10"/>
    <x v="1"/>
  </r>
  <r>
    <x v="1588"/>
    <n v="7.2"/>
    <n v="0.66"/>
    <n v="0.33"/>
    <n v="2.5"/>
    <n v="6.8000000000000005E-2"/>
    <n v="34"/>
    <n v="102"/>
    <n v="0.99414000000000002"/>
    <n v="3.27"/>
    <n v="0.78"/>
    <n v="12.8"/>
    <n v="6"/>
    <x v="0"/>
    <s v="Normal"/>
    <n v="25.450000000000003"/>
    <n v="61"/>
    <n v="68"/>
    <x v="1"/>
  </r>
  <r>
    <x v="1589"/>
    <n v="6.6"/>
    <n v="0.72499999999999998"/>
    <n v="0.2"/>
    <n v="7.8"/>
    <n v="7.2999999999999995E-2"/>
    <n v="29"/>
    <n v="79"/>
    <n v="0.99770000000000003"/>
    <n v="3.29"/>
    <n v="0.54"/>
    <n v="9.1999999999999993"/>
    <n v="5"/>
    <x v="0"/>
    <s v="Normal"/>
    <n v="17.759999999999998"/>
    <n v="1562"/>
    <n v="50"/>
    <x v="0"/>
  </r>
  <r>
    <x v="1590"/>
    <n v="6.3"/>
    <n v="0.55000000000000004"/>
    <n v="0.15"/>
    <n v="1.8"/>
    <n v="7.6999999999999999E-2"/>
    <n v="26"/>
    <n v="35"/>
    <n v="0.99314000000000002"/>
    <n v="3.32"/>
    <n v="0.82"/>
    <n v="11.6"/>
    <n v="6"/>
    <x v="0"/>
    <s v="Normal"/>
    <n v="23.33"/>
    <n v="233"/>
    <n v="9"/>
    <x v="1"/>
  </r>
  <r>
    <x v="1591"/>
    <n v="5.4"/>
    <n v="0.74"/>
    <n v="0.09"/>
    <n v="1.7"/>
    <n v="8.8999999999999996E-2"/>
    <n v="16"/>
    <n v="26"/>
    <n v="0.99402000000000001"/>
    <n v="3.67"/>
    <n v="0.56000000000000005"/>
    <n v="11.6"/>
    <n v="6"/>
    <x v="0"/>
    <s v="Normal"/>
    <n v="22.56"/>
    <n v="349"/>
    <n v="10"/>
    <x v="1"/>
  </r>
  <r>
    <x v="1592"/>
    <n v="6.3"/>
    <n v="0.51"/>
    <n v="0.13"/>
    <n v="2.2999999999999998"/>
    <n v="7.5999999999999998E-2"/>
    <n v="29"/>
    <n v="40"/>
    <n v="0.99573999999999996"/>
    <n v="3.42"/>
    <n v="0.75"/>
    <n v="11"/>
    <n v="6"/>
    <x v="0"/>
    <s v="Normal"/>
    <n v="22.105"/>
    <n v="440"/>
    <n v="11"/>
    <x v="1"/>
  </r>
  <r>
    <x v="1593"/>
    <n v="6.8"/>
    <n v="0.62"/>
    <n v="0.08"/>
    <n v="1.9"/>
    <n v="6.8000000000000005E-2"/>
    <n v="28"/>
    <n v="38"/>
    <n v="0.99651000000000001"/>
    <n v="3.42"/>
    <n v="0.82"/>
    <n v="9.5"/>
    <n v="6"/>
    <x v="0"/>
    <s v="Normal"/>
    <n v="18.990000000000002"/>
    <n v="1169"/>
    <n v="10"/>
    <x v="0"/>
  </r>
  <r>
    <x v="1594"/>
    <n v="6.2"/>
    <n v="0.6"/>
    <n v="0.08"/>
    <n v="2"/>
    <n v="0.09"/>
    <n v="32"/>
    <n v="44"/>
    <n v="0.99490000000000001"/>
    <n v="3.45"/>
    <n v="0.57999999999999996"/>
    <n v="10.5"/>
    <n v="5"/>
    <x v="0"/>
    <s v="Normal"/>
    <n v="20.67"/>
    <n v="730"/>
    <n v="12"/>
    <x v="1"/>
  </r>
  <r>
    <x v="1595"/>
    <n v="5.9"/>
    <n v="0.55000000000000004"/>
    <n v="0.1"/>
    <n v="2.2000000000000002"/>
    <n v="6.2E-2"/>
    <n v="39"/>
    <n v="51"/>
    <n v="0.99512"/>
    <n v="3.52"/>
    <n v="0.76"/>
    <n v="11.2"/>
    <n v="6"/>
    <x v="0"/>
    <s v="Normal"/>
    <n v="22.439999999999998"/>
    <n v="387"/>
    <n v="12"/>
    <x v="1"/>
  </r>
  <r>
    <x v="1596"/>
    <n v="6.3"/>
    <n v="0.51"/>
    <n v="0.13"/>
    <n v="2.2999999999999998"/>
    <n v="7.5999999999999998E-2"/>
    <n v="29"/>
    <n v="40"/>
    <n v="0.99573999999999996"/>
    <n v="3.42"/>
    <n v="0.75"/>
    <n v="11"/>
    <n v="6"/>
    <x v="0"/>
    <s v="Normal"/>
    <n v="22.105"/>
    <n v="440"/>
    <n v="11"/>
    <x v="1"/>
  </r>
  <r>
    <x v="1597"/>
    <n v="5.9"/>
    <n v="0.64500000000000002"/>
    <n v="0.12"/>
    <n v="2"/>
    <n v="7.4999999999999997E-2"/>
    <n v="32"/>
    <n v="44"/>
    <n v="0.99546999999999997"/>
    <n v="3.57"/>
    <n v="0.71"/>
    <n v="10.199999999999999"/>
    <n v="5"/>
    <x v="0"/>
    <s v="Normal"/>
    <n v="20.175000000000001"/>
    <n v="821"/>
    <n v="12"/>
    <x v="1"/>
  </r>
  <r>
    <x v="1598"/>
    <n v="6"/>
    <n v="0.31"/>
    <n v="0.47"/>
    <n v="3.6"/>
    <n v="6.7000000000000004E-2"/>
    <n v="18"/>
    <n v="42"/>
    <n v="0.99548999999999999"/>
    <n v="3.39"/>
    <n v="0.66"/>
    <n v="11"/>
    <n v="6"/>
    <x v="0"/>
    <s v="Normal"/>
    <n v="22.369999999999997"/>
    <n v="397"/>
    <n v="2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87D4C-47E7-45D4-89B0-3D3181D818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3:H27" firstHeaderRow="0" firstDataRow="1" firstDataCol="1"/>
  <pivotFields count="19">
    <pivotField numFmtId="1" showAll="0"/>
    <pivotField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axis="axisRow" showAll="0">
      <items count="4">
        <item x="1"/>
        <item x="2"/>
        <item x="0"/>
        <item t="default"/>
      </items>
    </pivotField>
    <pivotField showAll="0"/>
    <pivotField numFmtId="2" showAll="0"/>
    <pivotField numFmtId="2" showAll="0"/>
    <pivotField numFmtId="2" showAll="0"/>
    <pivotField showAll="0"/>
  </pivotFields>
  <rowFields count="1">
    <field x="13"/>
  </rowFields>
  <rowItems count="4">
    <i>
      <x/>
    </i>
    <i>
      <x v="1"/>
    </i>
    <i>
      <x v="2"/>
    </i>
    <i t="grand">
      <x/>
    </i>
  </rowItems>
  <colFields count="1">
    <field x="-2"/>
  </colFields>
  <colItems count="2">
    <i>
      <x/>
    </i>
    <i i="1">
      <x v="1"/>
    </i>
  </colItems>
  <dataFields count="2">
    <dataField name="Average of citric acid" fld="3" subtotal="average" baseField="12" baseItem="0" numFmtId="2"/>
    <dataField name="Average of volatile acidity" fld="2" subtotal="average"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BF5D93-7B6B-46CE-AEFD-E679778C3B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5:K9" firstHeaderRow="0" firstDataRow="1" firstDataCol="1"/>
  <pivotFields count="19">
    <pivotField numFmtId="1" showAll="0"/>
    <pivotField numFmtId="2" showAll="0"/>
    <pivotField dataField="1" numFmtId="2" showAll="0"/>
    <pivotField dataField="1" numFmtId="2" showAll="0"/>
    <pivotField numFmtId="2" showAll="0"/>
    <pivotField numFmtId="2" showAll="0"/>
    <pivotField numFmtId="2" showAll="0"/>
    <pivotField numFmtId="2" showAll="0"/>
    <pivotField numFmtId="2" showAll="0"/>
    <pivotField dataField="1" numFmtId="2" showAll="0"/>
    <pivotField numFmtId="2" showAll="0"/>
    <pivotField dataField="1" numFmtId="2" showAll="0"/>
    <pivotField showAll="0"/>
    <pivotField axis="axisRow" showAll="0">
      <items count="4">
        <item x="1"/>
        <item x="2"/>
        <item x="0"/>
        <item t="default"/>
      </items>
    </pivotField>
    <pivotField showAll="0"/>
    <pivotField numFmtId="2" showAll="0"/>
    <pivotField numFmtId="2" showAll="0"/>
    <pivotField numFmtId="2" showAll="0"/>
    <pivotField showAll="0"/>
  </pivotFields>
  <rowFields count="1">
    <field x="13"/>
  </rowFields>
  <rowItems count="4">
    <i>
      <x/>
    </i>
    <i>
      <x v="1"/>
    </i>
    <i>
      <x v="2"/>
    </i>
    <i t="grand">
      <x/>
    </i>
  </rowItems>
  <colFields count="1">
    <field x="-2"/>
  </colFields>
  <colItems count="4">
    <i>
      <x/>
    </i>
    <i i="1">
      <x v="1"/>
    </i>
    <i i="2">
      <x v="2"/>
    </i>
    <i i="3">
      <x v="3"/>
    </i>
  </colItems>
  <dataFields count="4">
    <dataField name="Average of alcohol" fld="11" subtotal="average" baseField="12" baseItem="0" numFmtId="2"/>
    <dataField name="Average of citric acid" fld="3" subtotal="average" baseField="12" baseItem="0" numFmtId="2"/>
    <dataField name="Average of volatile acidity" fld="2" subtotal="average" baseField="12" baseItem="0" numFmtId="2"/>
    <dataField name="Average of pH" fld="9" subtotal="average" baseField="12" baseItem="0" numFmtId="2"/>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2B6A40-0D5D-4C5A-BF30-36D031525F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7" firstHeaderRow="1" firstDataRow="1" firstDataCol="1"/>
  <pivotFields count="19">
    <pivotField numFmtId="1"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axis="axisRow" showAll="0">
      <items count="4">
        <item x="1"/>
        <item x="2"/>
        <item x="0"/>
        <item t="default"/>
      </items>
    </pivotField>
    <pivotField showAll="0"/>
    <pivotField numFmtId="2" showAll="0"/>
    <pivotField numFmtId="2" showAll="0"/>
    <pivotField numFmtId="2" showAll="0"/>
    <pivotField showAll="0"/>
  </pivotFields>
  <rowFields count="1">
    <field x="13"/>
  </rowFields>
  <rowItems count="4">
    <i>
      <x/>
    </i>
    <i>
      <x v="1"/>
    </i>
    <i>
      <x v="2"/>
    </i>
    <i t="grand">
      <x/>
    </i>
  </rowItems>
  <colItems count="1">
    <i/>
  </colItems>
  <dataFields count="1">
    <dataField name="Average of alcohol" fld="11" subtotal="average" baseField="12" baseItem="0" numFmtId="2"/>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9B9EC2-F8B5-4CDD-A353-271DCB25B298}"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N7:O27" firstHeaderRow="1" firstDataRow="1" firstDataCol="1"/>
  <pivotFields count="19">
    <pivotField axis="axisRow" numFmtId="1" showAll="0" measureFilter="1" sortType="descending">
      <items count="1600">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items count="4">
        <item x="1"/>
        <item x="2"/>
        <item x="0"/>
        <item t="default"/>
      </items>
    </pivotField>
    <pivotField showAll="0"/>
    <pivotField dataField="1" numFmtId="2" showAll="0"/>
    <pivotField numFmtId="2" showAll="0"/>
    <pivotField numFmtId="2" showAll="0"/>
    <pivotField axis="axisRow" showAll="0">
      <items count="3">
        <item x="0"/>
        <item x="1"/>
        <item t="default"/>
      </items>
    </pivotField>
  </pivotFields>
  <rowFields count="2">
    <field x="0"/>
    <field x="18"/>
  </rowFields>
  <rowItems count="20">
    <i>
      <x v="946"/>
    </i>
    <i r="1">
      <x/>
    </i>
    <i>
      <x v="1454"/>
    </i>
    <i r="1">
      <x v="1"/>
    </i>
    <i>
      <x v="1456"/>
    </i>
    <i r="1">
      <x v="1"/>
    </i>
    <i>
      <x v="328"/>
    </i>
    <i r="1">
      <x v="1"/>
    </i>
    <i>
      <x v="1010"/>
    </i>
    <i r="1">
      <x v="1"/>
    </i>
    <i>
      <x v="777"/>
    </i>
    <i r="1">
      <x v="1"/>
    </i>
    <i>
      <x v="1131"/>
    </i>
    <i r="1">
      <x v="1"/>
    </i>
    <i>
      <x v="329"/>
    </i>
    <i r="1">
      <x v="1"/>
    </i>
    <i>
      <x v="466"/>
    </i>
    <i r="1">
      <x v="1"/>
    </i>
    <i>
      <x v="121"/>
    </i>
    <i r="1">
      <x v="1"/>
    </i>
  </rowItems>
  <colItems count="1">
    <i/>
  </colItems>
  <dataFields count="1">
    <dataField name="Sum of Quality_score_index" fld="15" baseField="0" baseItem="0" numFmtId="2"/>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7C1090-03E9-4CEB-9A54-D940B2074C5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6:L29" firstHeaderRow="1" firstDataRow="1" firstDataCol="1"/>
  <pivotFields count="19">
    <pivotField dataField="1" numFmtId="1"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items count="4">
        <item x="1"/>
        <item x="2"/>
        <item x="0"/>
        <item t="default"/>
      </items>
    </pivotField>
    <pivotField showAll="0"/>
    <pivotField numFmtId="2" showAll="0"/>
    <pivotField numFmtId="2" showAll="0"/>
    <pivotField numFmtId="2" showAll="0"/>
    <pivotField axis="axisRow" showAll="0">
      <items count="3">
        <item x="0"/>
        <item x="1"/>
        <item t="default"/>
      </items>
    </pivotField>
  </pivotFields>
  <rowFields count="1">
    <field x="18"/>
  </rowFields>
  <rowItems count="3">
    <i>
      <x/>
    </i>
    <i>
      <x v="1"/>
    </i>
    <i t="grand">
      <x/>
    </i>
  </rowItems>
  <colItems count="1">
    <i/>
  </colItems>
  <dataFields count="1">
    <dataField name="Count of Wine_id" fld="0" subtotal="count" baseField="18" baseItem="0"/>
  </dataField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8" count="1" selected="0">
            <x v="1"/>
          </reference>
        </references>
      </pivotArea>
    </chartFormat>
    <chartFormat chart="5" format="4">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BAF631-D4C1-492D-8922-08D75EBE3E4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D27" firstHeaderRow="0" firstDataRow="1" firstDataCol="1"/>
  <pivotFields count="19">
    <pivotField numFmtId="1" showAll="0"/>
    <pivotField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axis="axisRow" showAll="0">
      <items count="4">
        <item x="1"/>
        <item x="2"/>
        <item x="0"/>
        <item t="default"/>
      </items>
    </pivotField>
    <pivotField showAll="0"/>
    <pivotField numFmtId="2" showAll="0"/>
    <pivotField numFmtId="2" showAll="0"/>
    <pivotField numFmtId="2" showAll="0"/>
    <pivotField showAll="0"/>
  </pivotFields>
  <rowFields count="1">
    <field x="13"/>
  </rowFields>
  <rowItems count="4">
    <i>
      <x/>
    </i>
    <i>
      <x v="1"/>
    </i>
    <i>
      <x v="2"/>
    </i>
    <i t="grand">
      <x/>
    </i>
  </rowItems>
  <colFields count="1">
    <field x="-2"/>
  </colFields>
  <colItems count="2">
    <i>
      <x/>
    </i>
    <i i="1">
      <x v="1"/>
    </i>
  </colItems>
  <dataFields count="2">
    <dataField name="Average of citric acid" fld="3" subtotal="average" baseField="12" baseItem="0" numFmtId="2"/>
    <dataField name="Average of volatile acidity" fld="2" subtotal="average"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04AC94-04B7-4D03-A2A0-A409CBBF6F0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L22" firstHeaderRow="0" firstDataRow="1" firstDataCol="1"/>
  <pivotFields count="19">
    <pivotField numFmtId="1" showAll="0"/>
    <pivotField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axis="axisRow" showAll="0">
      <items count="4">
        <item x="1"/>
        <item x="2"/>
        <item x="0"/>
        <item t="default"/>
      </items>
    </pivotField>
    <pivotField showAll="0"/>
    <pivotField numFmtId="2" showAll="0"/>
    <pivotField numFmtId="2" showAll="0"/>
    <pivotField numFmtId="2" showAll="0"/>
    <pivotField showAll="0"/>
  </pivotFields>
  <rowFields count="1">
    <field x="13"/>
  </rowFields>
  <rowItems count="4">
    <i>
      <x/>
    </i>
    <i>
      <x v="1"/>
    </i>
    <i>
      <x v="2"/>
    </i>
    <i t="grand">
      <x/>
    </i>
  </rowItems>
  <colFields count="1">
    <field x="-2"/>
  </colFields>
  <colItems count="2">
    <i>
      <x/>
    </i>
    <i i="1">
      <x v="1"/>
    </i>
  </colItems>
  <dataFields count="2">
    <dataField name="Average of citric acid" fld="3" subtotal="average" baseField="12" baseItem="0" numFmtId="2"/>
    <dataField name="Average of volatile acidity" fld="2" subtotal="average"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494254-1D3D-4A79-A134-E277550147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6:C20" firstHeaderRow="1" firstDataRow="1" firstDataCol="1"/>
  <pivotFields count="19">
    <pivotField numFmtId="1"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axis="axisRow" showAll="0">
      <items count="4">
        <item x="1"/>
        <item x="2"/>
        <item x="0"/>
        <item t="default"/>
      </items>
    </pivotField>
    <pivotField showAll="0"/>
    <pivotField numFmtId="2" showAll="0"/>
    <pivotField numFmtId="2" showAll="0"/>
    <pivotField numFmtId="2" showAll="0"/>
    <pivotField showAll="0"/>
  </pivotFields>
  <rowFields count="1">
    <field x="13"/>
  </rowFields>
  <rowItems count="4">
    <i>
      <x/>
    </i>
    <i>
      <x v="1"/>
    </i>
    <i>
      <x v="2"/>
    </i>
    <i t="grand">
      <x/>
    </i>
  </rowItems>
  <colItems count="1">
    <i/>
  </colItems>
  <dataFields count="1">
    <dataField name="Count of wines" fld="1" subtotal="count" baseField="12"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2824C7-862C-4B97-87B7-B5BBDEEBCBD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C14" firstHeaderRow="1" firstDataRow="1" firstDataCol="1"/>
  <pivotFields count="19">
    <pivotField numFmtId="1"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 numFmtId="2" showAll="0"/>
    <pivotField showAll="0"/>
    <pivotField axis="axisRow" showAll="0">
      <items count="4">
        <item x="1"/>
        <item x="2"/>
        <item x="0"/>
        <item t="default"/>
      </items>
    </pivotField>
    <pivotField showAll="0"/>
    <pivotField numFmtId="2" showAll="0"/>
    <pivotField numFmtId="2" showAll="0"/>
    <pivotField numFmtId="2" showAll="0"/>
    <pivotField showAll="0"/>
  </pivotFields>
  <rowFields count="1">
    <field x="13"/>
  </rowFields>
  <rowItems count="4">
    <i>
      <x/>
    </i>
    <i>
      <x v="1"/>
    </i>
    <i>
      <x v="2"/>
    </i>
    <i t="grand">
      <x/>
    </i>
  </rowItems>
  <colItems count="1">
    <i/>
  </colItems>
  <dataFields count="1">
    <dataField name="Average of pH" fld="9" subtotal="average"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_category1" xr10:uid="{101F08F6-F4DB-4910-B27B-81CE96CCEAEC}" sourceName="quality_category">
  <pivotTables>
    <pivotTable tabId="3" name="PivotTable1"/>
    <pivotTable tabId="3" name="PivotTable2"/>
    <pivotTable tabId="3" name="PivotTable3"/>
    <pivotTable tabId="3" name="PivotTable4"/>
    <pivotTable tabId="3" name="PivotTable5"/>
    <pivotTable tabId="3" name="PivotTable8"/>
    <pivotTable tabId="3" name="PivotTable10"/>
    <pivotTable tabId="3" name="PivotTable13"/>
    <pivotTable tabId="3" name="PivotTable14"/>
  </pivotTables>
  <data>
    <tabular pivotCacheId="207736598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_category" xr10:uid="{627F3490-2923-467A-B236-30DAF4D3EA88}" sourceName="quality_category">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lity_category" xr10:uid="{C8214818-E6F6-41F0-81C7-4FDDC170D03E}" cache="Slicer_quality_category" caption="quality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lity_category 1" xr10:uid="{430B18C1-2787-48D6-A37A-151BCA98E3B5}" cache="Slicer_quality_category1" caption="quality_category"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52E96B-F374-454E-A0C4-8149E301DF47}" name="Table1" displayName="Table1" ref="A1:S1600" totalsRowShown="0">
  <autoFilter ref="A1:S1600" xr:uid="{7052E96B-F374-454E-A0C4-8149E301DF47}"/>
  <tableColumns count="19">
    <tableColumn id="19" xr3:uid="{EDE3298D-461C-43D7-B18F-AB03667A8F29}" name="Wine_id" dataDxfId="11"/>
    <tableColumn id="1" xr3:uid="{C31E247C-F298-43DD-BDF8-37EAA3A12880}" name="fixed acidity"/>
    <tableColumn id="2" xr3:uid="{E253137F-4720-4C47-94BE-6E45C1C6DAA0}" name="volatile acidity"/>
    <tableColumn id="3" xr3:uid="{BBB44F9D-9AF2-4485-BBEC-E9D15F750101}" name="citric acid"/>
    <tableColumn id="4" xr3:uid="{B5BA41DA-DD25-44F3-9FAC-F7806BA0841B}" name="residual sugar"/>
    <tableColumn id="5" xr3:uid="{1F6E0864-6257-4EAE-B294-9B7A0BDE1A41}" name="chlorides"/>
    <tableColumn id="6" xr3:uid="{C56FF5C8-0E38-4E72-9CB7-FE2B78D22046}" name="free sulfur dioxide"/>
    <tableColumn id="7" xr3:uid="{F022D3A6-7E28-4C96-A603-91057455682D}" name="total sulfur dioxide"/>
    <tableColumn id="8" xr3:uid="{CB596B80-1A54-4052-8CB4-8B9F51A2B5E4}" name="density"/>
    <tableColumn id="9" xr3:uid="{6BC01DC5-1F63-4949-A622-50C49399CF1A}" name="pH"/>
    <tableColumn id="10" xr3:uid="{D42FA072-D3A0-4D34-AB26-586EB0050EC0}" name="sulphates"/>
    <tableColumn id="11" xr3:uid="{A22D5734-5648-4A3C-A23B-70A9F48B866C}" name="alcohol" dataDxfId="10"/>
    <tableColumn id="12" xr3:uid="{35E2CDB0-1F4B-435F-94EF-B13AB1BA4861}" name="quality"/>
    <tableColumn id="13" xr3:uid="{9B69FEB2-931A-4668-AC1B-9FD35E5A3564}" name="quality_category" dataDxfId="9">
      <calculatedColumnFormula array="1">_xlfn.IFS(Table1[[#This Row],[quality]]&lt;=4,"Low",Table1[[#This Row],[quality]]&lt;=6,"Medium",Table1[[#This Row],[quality]]&gt;=7,"High")</calculatedColumnFormula>
    </tableColumn>
    <tableColumn id="15" xr3:uid="{376D7226-278B-44C1-85F9-70996337F9F7}" name="High_risk" dataDxfId="8">
      <calculatedColumnFormula>IF(AND(Table1[[#This Row],[fixed acidity]]&gt;Sheet1!$C$4,Table1[[#This Row],[pH]]&lt;Sheet1!$K$4),"High","Normal")</calculatedColumnFormula>
    </tableColumn>
    <tableColumn id="14" xr3:uid="{82CE11B0-9059-4ABD-B42C-279F3653257D}" name="Quality_score_index" dataDxfId="7">
      <calculatedColumnFormula>(Table1[[#This Row],[alcohol]]*2)+(Table1[[#This Row],[sulphates]]*1.5)-(Table1[[#This Row],[volatile acidity]]*2)</calculatedColumnFormula>
    </tableColumn>
    <tableColumn id="16" xr3:uid="{80E75D39-706E-4498-BD7E-B8E9A321630E}" name="Rank" dataDxfId="6">
      <calculatedColumnFormula>RANK(Table1[[#This Row],[Quality_score_index]],Table1[Quality_score_index],0)</calculatedColumnFormula>
    </tableColumn>
    <tableColumn id="17" xr3:uid="{4244B18F-0553-4ACD-AEDE-9DC2B676EAB0}" name="Sulfur_diff" dataDxfId="5">
      <calculatedColumnFormula>Table1[[#This Row],[total sulfur dioxide]]-Table1[[#This Row],[free sulfur dioxide]]</calculatedColumnFormula>
    </tableColumn>
    <tableColumn id="18" xr3:uid="{BE22120C-5481-4B8F-A8B0-E5745DA1979D}" name="wine_name" dataDxfId="4">
      <calculatedColumnFormula>IF(AND(Table1[[#This Row],[pH]]&gt;=3.2,Table1[[#This Row],[alcohol]]&gt;=10),"White wine","Red wine")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3AF5-7B5A-4A06-B9B6-7DCF13B9BA6E}">
  <dimension ref="A1:S1600"/>
  <sheetViews>
    <sheetView zoomScale="92" workbookViewId="0">
      <selection activeCell="N14" sqref="N14"/>
    </sheetView>
  </sheetViews>
  <sheetFormatPr defaultRowHeight="14.4" x14ac:dyDescent="0.3"/>
  <cols>
    <col min="1" max="1" width="16.21875" bestFit="1" customWidth="1"/>
    <col min="2" max="2" width="18.21875" bestFit="1" customWidth="1"/>
    <col min="3" max="3" width="13.88671875" bestFit="1" customWidth="1"/>
    <col min="4" max="4" width="17.77734375" bestFit="1" customWidth="1"/>
    <col min="5" max="5" width="13.6640625" bestFit="1" customWidth="1"/>
    <col min="6" max="6" width="21.5546875" bestFit="1" customWidth="1"/>
    <col min="7" max="7" width="22.109375" bestFit="1" customWidth="1"/>
    <col min="8" max="8" width="12.21875" bestFit="1" customWidth="1"/>
    <col min="9" max="9" width="8.33203125" bestFit="1" customWidth="1"/>
    <col min="10" max="10" width="14.109375" bestFit="1" customWidth="1"/>
    <col min="11" max="11" width="12" bestFit="1" customWidth="1"/>
    <col min="12" max="12" width="11.6640625" bestFit="1" customWidth="1"/>
    <col min="13" max="13" width="20.109375" bestFit="1" customWidth="1"/>
    <col min="14" max="14" width="13.77734375" bestFit="1" customWidth="1"/>
    <col min="15" max="15" width="23.5546875" style="8" bestFit="1" customWidth="1"/>
    <col min="16" max="16" width="10.109375" bestFit="1" customWidth="1"/>
    <col min="17" max="17" width="14.5546875" bestFit="1" customWidth="1"/>
    <col min="18" max="18" width="15.88671875" bestFit="1" customWidth="1"/>
  </cols>
  <sheetData>
    <row r="1" spans="1:19" x14ac:dyDescent="0.3">
      <c r="A1" s="1" t="s">
        <v>42</v>
      </c>
      <c r="B1" s="1" t="s">
        <v>0</v>
      </c>
      <c r="C1" s="1" t="s">
        <v>1</v>
      </c>
      <c r="D1" s="1" t="s">
        <v>2</v>
      </c>
      <c r="E1" s="1" t="s">
        <v>3</v>
      </c>
      <c r="F1" s="1" t="s">
        <v>4</v>
      </c>
      <c r="G1" s="1" t="s">
        <v>5</v>
      </c>
      <c r="H1" s="1" t="s">
        <v>6</v>
      </c>
      <c r="I1" s="1" t="s">
        <v>7</v>
      </c>
      <c r="J1" s="1" t="s">
        <v>8</v>
      </c>
      <c r="K1" s="1" t="s">
        <v>9</v>
      </c>
      <c r="L1" s="1" t="s">
        <v>10</v>
      </c>
      <c r="M1" s="2" t="s">
        <v>11</v>
      </c>
      <c r="N1" s="2" t="s">
        <v>12</v>
      </c>
      <c r="O1" s="2" t="s">
        <v>22</v>
      </c>
      <c r="P1" s="1" t="s">
        <v>23</v>
      </c>
      <c r="Q1" s="1" t="s">
        <v>24</v>
      </c>
      <c r="R1" s="1" t="s">
        <v>28</v>
      </c>
      <c r="S1" s="1" t="s">
        <v>41</v>
      </c>
    </row>
    <row r="2" spans="1:19" x14ac:dyDescent="0.3">
      <c r="A2" s="13">
        <v>1</v>
      </c>
      <c r="B2" s="1">
        <v>7.4</v>
      </c>
      <c r="C2" s="1">
        <v>0.7</v>
      </c>
      <c r="D2" s="1">
        <v>0</v>
      </c>
      <c r="E2" s="1">
        <v>1.9</v>
      </c>
      <c r="F2" s="1">
        <v>7.5999999999999998E-2</v>
      </c>
      <c r="G2" s="1">
        <v>11</v>
      </c>
      <c r="H2" s="1">
        <v>34</v>
      </c>
      <c r="I2" s="1">
        <v>0.99780000000000002</v>
      </c>
      <c r="J2" s="1">
        <v>3.51</v>
      </c>
      <c r="K2" s="1">
        <v>0.56000000000000005</v>
      </c>
      <c r="L2" s="1">
        <v>9.4</v>
      </c>
      <c r="M2" s="2">
        <v>5</v>
      </c>
      <c r="N2" s="2" t="str" cm="1">
        <f t="array" ref="N2">_xlfn.IFS(Table1[[#This Row],[quality]]&lt;=4,"Low",Table1[[#This Row],[quality]]&lt;=6,"Medium",Table1[[#This Row],[quality]]&gt;=7,"High")</f>
        <v>Medium</v>
      </c>
      <c r="O2" s="2" t="str">
        <f>IF(AND(Table1[[#This Row],[fixed acidity]]&gt;Sheet1!$C$4,Table1[[#This Row],[pH]]&lt;Sheet1!$K$4),"High","Normal")</f>
        <v>Normal</v>
      </c>
      <c r="P2" s="1">
        <f>(Table1[[#This Row],[alcohol]]*2)+(Table1[[#This Row],[sulphates]]*1.5)-(Table1[[#This Row],[volatile acidity]]*2)</f>
        <v>18.240000000000002</v>
      </c>
      <c r="Q2" s="1">
        <f>RANK(Table1[[#This Row],[Quality_score_index]],Table1[Quality_score_index],0)</f>
        <v>1470</v>
      </c>
      <c r="R2" s="1">
        <f>Table1[[#This Row],[total sulfur dioxide]]-Table1[[#This Row],[free sulfur dioxide]]</f>
        <v>23</v>
      </c>
      <c r="S2" s="1" t="str">
        <f>IF(AND(Table1[[#This Row],[pH]]&gt;=3.2,Table1[[#This Row],[alcohol]]&gt;=10),"White wine","Red wine")</f>
        <v>Red wine</v>
      </c>
    </row>
    <row r="3" spans="1:19" x14ac:dyDescent="0.3">
      <c r="A3" s="13">
        <v>2</v>
      </c>
      <c r="B3" s="1">
        <v>7.8</v>
      </c>
      <c r="C3" s="1">
        <v>0.88</v>
      </c>
      <c r="D3" s="1">
        <v>0</v>
      </c>
      <c r="E3" s="1">
        <v>2.6</v>
      </c>
      <c r="F3" s="1">
        <v>9.8000000000000004E-2</v>
      </c>
      <c r="G3" s="1">
        <v>25</v>
      </c>
      <c r="H3" s="1">
        <v>67</v>
      </c>
      <c r="I3" s="1">
        <v>0.99680000000000002</v>
      </c>
      <c r="J3" s="1">
        <v>3.2</v>
      </c>
      <c r="K3" s="1">
        <v>0.68</v>
      </c>
      <c r="L3" s="1">
        <v>9.8000000000000007</v>
      </c>
      <c r="M3" s="2">
        <v>5</v>
      </c>
      <c r="N3" s="2" t="str" cm="1">
        <f t="array" ref="N3">_xlfn.IFS(Table1[[#This Row],[quality]]&lt;=4,"Low",Table1[[#This Row],[quality]]&lt;=6,"Medium",Table1[[#This Row],[quality]]&gt;=7,"High")</f>
        <v>Medium</v>
      </c>
      <c r="O3" s="2" t="str">
        <f>IF(AND(Table1[[#This Row],[fixed acidity]]&gt;Sheet1!$C$4,Table1[[#This Row],[pH]]&lt;Sheet1!$K$4),"High","Normal")</f>
        <v>Normal</v>
      </c>
      <c r="P3" s="1">
        <f>(Table1[[#This Row],[alcohol]]*2)+(Table1[[#This Row],[sulphates]]*1.5)-(Table1[[#This Row],[volatile acidity]]*2)</f>
        <v>18.86</v>
      </c>
      <c r="Q3" s="1">
        <f>RANK(Table1[[#This Row],[Quality_score_index]],Table1[Quality_score_index],0)</f>
        <v>1222</v>
      </c>
      <c r="R3" s="1">
        <f>Table1[[#This Row],[total sulfur dioxide]]-Table1[[#This Row],[free sulfur dioxide]]</f>
        <v>42</v>
      </c>
      <c r="S3" s="1" t="str">
        <f>IF(AND(Table1[[#This Row],[pH]]&gt;=3.2,Table1[[#This Row],[alcohol]]&gt;=10),"White wine","Red wine")</f>
        <v>Red wine</v>
      </c>
    </row>
    <row r="4" spans="1:19" x14ac:dyDescent="0.3">
      <c r="A4" s="13">
        <v>3</v>
      </c>
      <c r="B4" s="1">
        <v>7.8</v>
      </c>
      <c r="C4" s="1">
        <v>0.76</v>
      </c>
      <c r="D4" s="1">
        <v>0.04</v>
      </c>
      <c r="E4" s="1">
        <v>2.2999999999999998</v>
      </c>
      <c r="F4" s="1">
        <v>9.1999999999999998E-2</v>
      </c>
      <c r="G4" s="1">
        <v>15</v>
      </c>
      <c r="H4" s="1">
        <v>54</v>
      </c>
      <c r="I4" s="1">
        <v>0.997</v>
      </c>
      <c r="J4" s="1">
        <v>3.26</v>
      </c>
      <c r="K4" s="1">
        <v>0.65</v>
      </c>
      <c r="L4" s="1">
        <v>9.8000000000000007</v>
      </c>
      <c r="M4" s="2">
        <v>5</v>
      </c>
      <c r="N4" s="2" t="str" cm="1">
        <f t="array" ref="N4">_xlfn.IFS(Table1[[#This Row],[quality]]&lt;=4,"Low",Table1[[#This Row],[quality]]&lt;=6,"Medium",Table1[[#This Row],[quality]]&gt;=7,"High")</f>
        <v>Medium</v>
      </c>
      <c r="O4" s="2" t="str">
        <f>IF(AND(Table1[[#This Row],[fixed acidity]]&gt;Sheet1!$C$4,Table1[[#This Row],[pH]]&lt;Sheet1!$K$4),"High","Normal")</f>
        <v>Normal</v>
      </c>
      <c r="P4" s="1">
        <f>(Table1[[#This Row],[alcohol]]*2)+(Table1[[#This Row],[sulphates]]*1.5)-(Table1[[#This Row],[volatile acidity]]*2)</f>
        <v>19.055000000000003</v>
      </c>
      <c r="Q4" s="1">
        <f>RANK(Table1[[#This Row],[Quality_score_index]],Table1[Quality_score_index],0)</f>
        <v>1143</v>
      </c>
      <c r="R4" s="1">
        <f>Table1[[#This Row],[total sulfur dioxide]]-Table1[[#This Row],[free sulfur dioxide]]</f>
        <v>39</v>
      </c>
      <c r="S4" s="1" t="str">
        <f>IF(AND(Table1[[#This Row],[pH]]&gt;=3.2,Table1[[#This Row],[alcohol]]&gt;=10),"White wine","Red wine")</f>
        <v>Red wine</v>
      </c>
    </row>
    <row r="5" spans="1:19" x14ac:dyDescent="0.3">
      <c r="A5" s="13">
        <v>4</v>
      </c>
      <c r="B5" s="1">
        <v>11.2</v>
      </c>
      <c r="C5" s="1">
        <v>0.28000000000000003</v>
      </c>
      <c r="D5" s="1">
        <v>0.56000000000000005</v>
      </c>
      <c r="E5" s="1">
        <v>1.9</v>
      </c>
      <c r="F5" s="1">
        <v>7.4999999999999997E-2</v>
      </c>
      <c r="G5" s="1">
        <v>17</v>
      </c>
      <c r="H5" s="1">
        <v>60</v>
      </c>
      <c r="I5" s="1">
        <v>0.998</v>
      </c>
      <c r="J5" s="1">
        <v>3.16</v>
      </c>
      <c r="K5" s="1">
        <v>0.57999999999999996</v>
      </c>
      <c r="L5" s="1">
        <v>9.8000000000000007</v>
      </c>
      <c r="M5" s="2">
        <v>6</v>
      </c>
      <c r="N5" s="2" t="str" cm="1">
        <f t="array" ref="N5">_xlfn.IFS(Table1[[#This Row],[quality]]&lt;=4,"Low",Table1[[#This Row],[quality]]&lt;=6,"Medium",Table1[[#This Row],[quality]]&gt;=7,"High")</f>
        <v>Medium</v>
      </c>
      <c r="O5" s="2" t="str">
        <f>IF(AND(Table1[[#This Row],[fixed acidity]]&gt;Sheet1!$C$4,Table1[[#This Row],[pH]]&lt;Sheet1!$K$4),"High","Normal")</f>
        <v>High</v>
      </c>
      <c r="P5" s="1">
        <f>(Table1[[#This Row],[alcohol]]*2)+(Table1[[#This Row],[sulphates]]*1.5)-(Table1[[#This Row],[volatile acidity]]*2)</f>
        <v>19.910000000000004</v>
      </c>
      <c r="Q5" s="1">
        <f>RANK(Table1[[#This Row],[Quality_score_index]],Table1[Quality_score_index],0)</f>
        <v>876</v>
      </c>
      <c r="R5" s="1">
        <f>Table1[[#This Row],[total sulfur dioxide]]-Table1[[#This Row],[free sulfur dioxide]]</f>
        <v>43</v>
      </c>
      <c r="S5" s="1" t="str">
        <f>IF(AND(Table1[[#This Row],[pH]]&gt;=3.2,Table1[[#This Row],[alcohol]]&gt;=10),"White wine","Red wine")</f>
        <v>Red wine</v>
      </c>
    </row>
    <row r="6" spans="1:19" x14ac:dyDescent="0.3">
      <c r="A6" s="13">
        <v>5</v>
      </c>
      <c r="B6" s="1">
        <v>7.4</v>
      </c>
      <c r="C6" s="1">
        <v>0.7</v>
      </c>
      <c r="D6" s="1">
        <v>0</v>
      </c>
      <c r="E6" s="1">
        <v>1.9</v>
      </c>
      <c r="F6" s="1">
        <v>7.5999999999999998E-2</v>
      </c>
      <c r="G6" s="1">
        <v>11</v>
      </c>
      <c r="H6" s="1">
        <v>34</v>
      </c>
      <c r="I6" s="1">
        <v>0.99780000000000002</v>
      </c>
      <c r="J6" s="1">
        <v>3.51</v>
      </c>
      <c r="K6" s="1">
        <v>0.56000000000000005</v>
      </c>
      <c r="L6" s="1">
        <v>9.4</v>
      </c>
      <c r="M6" s="2">
        <v>5</v>
      </c>
      <c r="N6" s="2" t="str" cm="1">
        <f t="array" ref="N6">_xlfn.IFS(Table1[[#This Row],[quality]]&lt;=4,"Low",Table1[[#This Row],[quality]]&lt;=6,"Medium",Table1[[#This Row],[quality]]&gt;=7,"High")</f>
        <v>Medium</v>
      </c>
      <c r="O6" s="2" t="str">
        <f>IF(AND(Table1[[#This Row],[fixed acidity]]&gt;Sheet1!$C$4,Table1[[#This Row],[pH]]&lt;Sheet1!$K$4),"High","Normal")</f>
        <v>Normal</v>
      </c>
      <c r="P6" s="1">
        <f>(Table1[[#This Row],[alcohol]]*2)+(Table1[[#This Row],[sulphates]]*1.5)-(Table1[[#This Row],[volatile acidity]]*2)</f>
        <v>18.240000000000002</v>
      </c>
      <c r="Q6" s="1">
        <f>RANK(Table1[[#This Row],[Quality_score_index]],Table1[Quality_score_index],0)</f>
        <v>1470</v>
      </c>
      <c r="R6" s="1">
        <f>Table1[[#This Row],[total sulfur dioxide]]-Table1[[#This Row],[free sulfur dioxide]]</f>
        <v>23</v>
      </c>
      <c r="S6" s="1" t="str">
        <f>IF(AND(Table1[[#This Row],[pH]]&gt;=3.2,Table1[[#This Row],[alcohol]]&gt;=10),"White wine","Red wine")</f>
        <v>Red wine</v>
      </c>
    </row>
    <row r="7" spans="1:19" x14ac:dyDescent="0.3">
      <c r="A7" s="13">
        <v>6</v>
      </c>
      <c r="B7" s="1">
        <v>7.4</v>
      </c>
      <c r="C7" s="1">
        <v>0.66</v>
      </c>
      <c r="D7" s="1">
        <v>0</v>
      </c>
      <c r="E7" s="1">
        <v>1.8</v>
      </c>
      <c r="F7" s="1">
        <v>7.4999999999999997E-2</v>
      </c>
      <c r="G7" s="1">
        <v>13</v>
      </c>
      <c r="H7" s="1">
        <v>40</v>
      </c>
      <c r="I7" s="1">
        <v>0.99780000000000002</v>
      </c>
      <c r="J7" s="1">
        <v>3.51</v>
      </c>
      <c r="K7" s="1">
        <v>0.56000000000000005</v>
      </c>
      <c r="L7" s="1">
        <v>9.4</v>
      </c>
      <c r="M7" s="2">
        <v>5</v>
      </c>
      <c r="N7" s="2" t="str" cm="1">
        <f t="array" ref="N7">_xlfn.IFS(Table1[[#This Row],[quality]]&lt;=4,"Low",Table1[[#This Row],[quality]]&lt;=6,"Medium",Table1[[#This Row],[quality]]&gt;=7,"High")</f>
        <v>Medium</v>
      </c>
      <c r="O7" s="2" t="str">
        <f>IF(AND(Table1[[#This Row],[fixed acidity]]&gt;Sheet1!$C$4,Table1[[#This Row],[pH]]&lt;Sheet1!$K$4),"High","Normal")</f>
        <v>Normal</v>
      </c>
      <c r="P7" s="1">
        <f>(Table1[[#This Row],[alcohol]]*2)+(Table1[[#This Row],[sulphates]]*1.5)-(Table1[[#This Row],[volatile acidity]]*2)</f>
        <v>18.32</v>
      </c>
      <c r="Q7" s="1">
        <f>RANK(Table1[[#This Row],[Quality_score_index]],Table1[Quality_score_index],0)</f>
        <v>1448</v>
      </c>
      <c r="R7" s="1">
        <f>Table1[[#This Row],[total sulfur dioxide]]-Table1[[#This Row],[free sulfur dioxide]]</f>
        <v>27</v>
      </c>
      <c r="S7" s="1" t="str">
        <f>IF(AND(Table1[[#This Row],[pH]]&gt;=3.2,Table1[[#This Row],[alcohol]]&gt;=10),"White wine","Red wine")</f>
        <v>Red wine</v>
      </c>
    </row>
    <row r="8" spans="1:19" x14ac:dyDescent="0.3">
      <c r="A8" s="13">
        <v>7</v>
      </c>
      <c r="B8" s="1">
        <v>7.9</v>
      </c>
      <c r="C8" s="1">
        <v>0.6</v>
      </c>
      <c r="D8" s="1">
        <v>0.06</v>
      </c>
      <c r="E8" s="1">
        <v>1.6</v>
      </c>
      <c r="F8" s="1">
        <v>6.9000000000000006E-2</v>
      </c>
      <c r="G8" s="1">
        <v>15</v>
      </c>
      <c r="H8" s="1">
        <v>59</v>
      </c>
      <c r="I8" s="1">
        <v>0.99639999999999995</v>
      </c>
      <c r="J8" s="1">
        <v>3.3</v>
      </c>
      <c r="K8" s="1">
        <v>0.46</v>
      </c>
      <c r="L8" s="1">
        <v>9.4</v>
      </c>
      <c r="M8" s="2">
        <v>5</v>
      </c>
      <c r="N8" s="2" t="str" cm="1">
        <f t="array" ref="N8">_xlfn.IFS(Table1[[#This Row],[quality]]&lt;=4,"Low",Table1[[#This Row],[quality]]&lt;=6,"Medium",Table1[[#This Row],[quality]]&gt;=7,"High")</f>
        <v>Medium</v>
      </c>
      <c r="O8" s="2" t="str">
        <f>IF(AND(Table1[[#This Row],[fixed acidity]]&gt;Sheet1!$C$4,Table1[[#This Row],[pH]]&lt;Sheet1!$K$4),"High","Normal")</f>
        <v>Normal</v>
      </c>
      <c r="P8" s="1">
        <f>(Table1[[#This Row],[alcohol]]*2)+(Table1[[#This Row],[sulphates]]*1.5)-(Table1[[#This Row],[volatile acidity]]*2)</f>
        <v>18.290000000000003</v>
      </c>
      <c r="Q8" s="1">
        <f>RANK(Table1[[#This Row],[Quality_score_index]],Table1[Quality_score_index],0)</f>
        <v>1455</v>
      </c>
      <c r="R8" s="1">
        <f>Table1[[#This Row],[total sulfur dioxide]]-Table1[[#This Row],[free sulfur dioxide]]</f>
        <v>44</v>
      </c>
      <c r="S8" s="1" t="str">
        <f>IF(AND(Table1[[#This Row],[pH]]&gt;=3.2,Table1[[#This Row],[alcohol]]&gt;=10),"White wine","Red wine")</f>
        <v>Red wine</v>
      </c>
    </row>
    <row r="9" spans="1:19" x14ac:dyDescent="0.3">
      <c r="A9" s="13">
        <v>8</v>
      </c>
      <c r="B9" s="1">
        <v>7.3</v>
      </c>
      <c r="C9" s="1">
        <v>0.65</v>
      </c>
      <c r="D9" s="1">
        <v>0</v>
      </c>
      <c r="E9" s="1">
        <v>1.2</v>
      </c>
      <c r="F9" s="1">
        <v>6.5000000000000002E-2</v>
      </c>
      <c r="G9" s="1">
        <v>15</v>
      </c>
      <c r="H9" s="1">
        <v>21</v>
      </c>
      <c r="I9" s="1">
        <v>0.99460000000000004</v>
      </c>
      <c r="J9" s="1">
        <v>3.39</v>
      </c>
      <c r="K9" s="1">
        <v>0.47</v>
      </c>
      <c r="L9" s="1">
        <v>10</v>
      </c>
      <c r="M9" s="2">
        <v>7</v>
      </c>
      <c r="N9" s="2" t="str" cm="1">
        <f t="array" ref="N9">_xlfn.IFS(Table1[[#This Row],[quality]]&lt;=4,"Low",Table1[[#This Row],[quality]]&lt;=6,"Medium",Table1[[#This Row],[quality]]&gt;=7,"High")</f>
        <v>High</v>
      </c>
      <c r="O9" s="2" t="str">
        <f>IF(AND(Table1[[#This Row],[fixed acidity]]&gt;Sheet1!$C$4,Table1[[#This Row],[pH]]&lt;Sheet1!$K$4),"High","Normal")</f>
        <v>Normal</v>
      </c>
      <c r="P9" s="1">
        <f>(Table1[[#This Row],[alcohol]]*2)+(Table1[[#This Row],[sulphates]]*1.5)-(Table1[[#This Row],[volatile acidity]]*2)</f>
        <v>19.404999999999998</v>
      </c>
      <c r="Q9" s="1">
        <f>RANK(Table1[[#This Row],[Quality_score_index]],Table1[Quality_score_index],0)</f>
        <v>1003</v>
      </c>
      <c r="R9" s="1">
        <f>Table1[[#This Row],[total sulfur dioxide]]-Table1[[#This Row],[free sulfur dioxide]]</f>
        <v>6</v>
      </c>
      <c r="S9" s="1" t="str">
        <f>IF(AND(Table1[[#This Row],[pH]]&gt;=3.2,Table1[[#This Row],[alcohol]]&gt;=10),"White wine","Red wine")</f>
        <v>White wine</v>
      </c>
    </row>
    <row r="10" spans="1:19" x14ac:dyDescent="0.3">
      <c r="A10" s="13">
        <v>9</v>
      </c>
      <c r="B10" s="1">
        <v>7.8</v>
      </c>
      <c r="C10" s="1">
        <v>0.57999999999999996</v>
      </c>
      <c r="D10" s="1">
        <v>0.02</v>
      </c>
      <c r="E10" s="1">
        <v>2</v>
      </c>
      <c r="F10" s="1">
        <v>7.2999999999999995E-2</v>
      </c>
      <c r="G10" s="1">
        <v>9</v>
      </c>
      <c r="H10" s="1">
        <v>18</v>
      </c>
      <c r="I10" s="1">
        <v>0.99680000000000002</v>
      </c>
      <c r="J10" s="1">
        <v>3.36</v>
      </c>
      <c r="K10" s="1">
        <v>0.56999999999999995</v>
      </c>
      <c r="L10" s="1">
        <v>9.5</v>
      </c>
      <c r="M10" s="2">
        <v>7</v>
      </c>
      <c r="N10" s="2" t="str" cm="1">
        <f t="array" ref="N10">_xlfn.IFS(Table1[[#This Row],[quality]]&lt;=4,"Low",Table1[[#This Row],[quality]]&lt;=6,"Medium",Table1[[#This Row],[quality]]&gt;=7,"High")</f>
        <v>High</v>
      </c>
      <c r="O10" s="2" t="str">
        <f>IF(AND(Table1[[#This Row],[fixed acidity]]&gt;Sheet1!$C$4,Table1[[#This Row],[pH]]&lt;Sheet1!$K$4),"High","Normal")</f>
        <v>Normal</v>
      </c>
      <c r="P10" s="1">
        <f>(Table1[[#This Row],[alcohol]]*2)+(Table1[[#This Row],[sulphates]]*1.5)-(Table1[[#This Row],[volatile acidity]]*2)</f>
        <v>18.695</v>
      </c>
      <c r="Q10" s="1">
        <f>RANK(Table1[[#This Row],[Quality_score_index]],Table1[Quality_score_index],0)</f>
        <v>1294</v>
      </c>
      <c r="R10" s="1">
        <f>Table1[[#This Row],[total sulfur dioxide]]-Table1[[#This Row],[free sulfur dioxide]]</f>
        <v>9</v>
      </c>
      <c r="S10" s="1" t="str">
        <f>IF(AND(Table1[[#This Row],[pH]]&gt;=3.2,Table1[[#This Row],[alcohol]]&gt;=10),"White wine","Red wine")</f>
        <v>Red wine</v>
      </c>
    </row>
    <row r="11" spans="1:19" x14ac:dyDescent="0.3">
      <c r="A11" s="13">
        <v>10</v>
      </c>
      <c r="B11" s="1">
        <v>7.5</v>
      </c>
      <c r="C11" s="1">
        <v>0.5</v>
      </c>
      <c r="D11" s="1">
        <v>0.36</v>
      </c>
      <c r="E11" s="1">
        <v>6.1</v>
      </c>
      <c r="F11" s="1">
        <v>7.0999999999999994E-2</v>
      </c>
      <c r="G11" s="1">
        <v>17</v>
      </c>
      <c r="H11" s="1">
        <v>102</v>
      </c>
      <c r="I11" s="1">
        <v>0.99780000000000002</v>
      </c>
      <c r="J11" s="1">
        <v>3.35</v>
      </c>
      <c r="K11" s="1">
        <v>0.8</v>
      </c>
      <c r="L11" s="1">
        <v>10.5</v>
      </c>
      <c r="M11" s="2">
        <v>5</v>
      </c>
      <c r="N11" s="2" t="str" cm="1">
        <f t="array" ref="N11">_xlfn.IFS(Table1[[#This Row],[quality]]&lt;=4,"Low",Table1[[#This Row],[quality]]&lt;=6,"Medium",Table1[[#This Row],[quality]]&gt;=7,"High")</f>
        <v>Medium</v>
      </c>
      <c r="O11" s="2" t="str">
        <f>IF(AND(Table1[[#This Row],[fixed acidity]]&gt;Sheet1!$C$4,Table1[[#This Row],[pH]]&lt;Sheet1!$K$4),"High","Normal")</f>
        <v>Normal</v>
      </c>
      <c r="P11" s="1">
        <f>(Table1[[#This Row],[alcohol]]*2)+(Table1[[#This Row],[sulphates]]*1.5)-(Table1[[#This Row],[volatile acidity]]*2)</f>
        <v>21.2</v>
      </c>
      <c r="Q11" s="1">
        <f>RANK(Table1[[#This Row],[Quality_score_index]],Table1[Quality_score_index],0)</f>
        <v>602</v>
      </c>
      <c r="R11" s="1">
        <f>Table1[[#This Row],[total sulfur dioxide]]-Table1[[#This Row],[free sulfur dioxide]]</f>
        <v>85</v>
      </c>
      <c r="S11" s="1" t="str">
        <f>IF(AND(Table1[[#This Row],[pH]]&gt;=3.2,Table1[[#This Row],[alcohol]]&gt;=10),"White wine","Red wine")</f>
        <v>White wine</v>
      </c>
    </row>
    <row r="12" spans="1:19" x14ac:dyDescent="0.3">
      <c r="A12" s="13">
        <v>11</v>
      </c>
      <c r="B12" s="1">
        <v>6.7</v>
      </c>
      <c r="C12" s="1">
        <v>0.57999999999999996</v>
      </c>
      <c r="D12" s="1">
        <v>0.08</v>
      </c>
      <c r="E12" s="1">
        <v>1.8</v>
      </c>
      <c r="F12" s="1">
        <v>9.7000000000000003E-2</v>
      </c>
      <c r="G12" s="1">
        <v>15</v>
      </c>
      <c r="H12" s="1">
        <v>65</v>
      </c>
      <c r="I12" s="1">
        <v>0.99590000000000001</v>
      </c>
      <c r="J12" s="1">
        <v>3.28</v>
      </c>
      <c r="K12" s="1">
        <v>0.54</v>
      </c>
      <c r="L12" s="1">
        <v>9.1999999999999993</v>
      </c>
      <c r="M12" s="2">
        <v>5</v>
      </c>
      <c r="N12" s="2" t="str" cm="1">
        <f t="array" ref="N12">_xlfn.IFS(Table1[[#This Row],[quality]]&lt;=4,"Low",Table1[[#This Row],[quality]]&lt;=6,"Medium",Table1[[#This Row],[quality]]&gt;=7,"High")</f>
        <v>Medium</v>
      </c>
      <c r="O12" s="2" t="str">
        <f>IF(AND(Table1[[#This Row],[fixed acidity]]&gt;Sheet1!$C$4,Table1[[#This Row],[pH]]&lt;Sheet1!$K$4),"High","Normal")</f>
        <v>Normal</v>
      </c>
      <c r="P12" s="1">
        <f>(Table1[[#This Row],[alcohol]]*2)+(Table1[[#This Row],[sulphates]]*1.5)-(Table1[[#This Row],[volatile acidity]]*2)</f>
        <v>18.049999999999997</v>
      </c>
      <c r="Q12" s="1">
        <f>RANK(Table1[[#This Row],[Quality_score_index]],Table1[Quality_score_index],0)</f>
        <v>1513</v>
      </c>
      <c r="R12" s="1">
        <f>Table1[[#This Row],[total sulfur dioxide]]-Table1[[#This Row],[free sulfur dioxide]]</f>
        <v>50</v>
      </c>
      <c r="S12" s="1" t="str">
        <f>IF(AND(Table1[[#This Row],[pH]]&gt;=3.2,Table1[[#This Row],[alcohol]]&gt;=10),"White wine","Red wine")</f>
        <v>Red wine</v>
      </c>
    </row>
    <row r="13" spans="1:19" x14ac:dyDescent="0.3">
      <c r="A13" s="13">
        <v>12</v>
      </c>
      <c r="B13" s="1">
        <v>7.5</v>
      </c>
      <c r="C13" s="1">
        <v>0.5</v>
      </c>
      <c r="D13" s="1">
        <v>0.36</v>
      </c>
      <c r="E13" s="1">
        <v>6.1</v>
      </c>
      <c r="F13" s="1">
        <v>7.0999999999999994E-2</v>
      </c>
      <c r="G13" s="1">
        <v>17</v>
      </c>
      <c r="H13" s="1">
        <v>102</v>
      </c>
      <c r="I13" s="1">
        <v>0.99780000000000002</v>
      </c>
      <c r="J13" s="1">
        <v>3.35</v>
      </c>
      <c r="K13" s="1">
        <v>0.8</v>
      </c>
      <c r="L13" s="1">
        <v>10.5</v>
      </c>
      <c r="M13" s="2">
        <v>5</v>
      </c>
      <c r="N13" s="2" t="str" cm="1">
        <f t="array" ref="N13">_xlfn.IFS(Table1[[#This Row],[quality]]&lt;=4,"Low",Table1[[#This Row],[quality]]&lt;=6,"Medium",Table1[[#This Row],[quality]]&gt;=7,"High")</f>
        <v>Medium</v>
      </c>
      <c r="O13" s="2" t="str">
        <f>IF(AND(Table1[[#This Row],[fixed acidity]]&gt;Sheet1!$C$4,Table1[[#This Row],[pH]]&lt;Sheet1!$K$4),"High","Normal")</f>
        <v>Normal</v>
      </c>
      <c r="P13" s="1">
        <f>(Table1[[#This Row],[alcohol]]*2)+(Table1[[#This Row],[sulphates]]*1.5)-(Table1[[#This Row],[volatile acidity]]*2)</f>
        <v>21.2</v>
      </c>
      <c r="Q13" s="1">
        <f>RANK(Table1[[#This Row],[Quality_score_index]],Table1[Quality_score_index],0)</f>
        <v>602</v>
      </c>
      <c r="R13" s="1">
        <f>Table1[[#This Row],[total sulfur dioxide]]-Table1[[#This Row],[free sulfur dioxide]]</f>
        <v>85</v>
      </c>
      <c r="S13" s="1" t="str">
        <f>IF(AND(Table1[[#This Row],[pH]]&gt;=3.2,Table1[[#This Row],[alcohol]]&gt;=10),"White wine","Red wine")</f>
        <v>White wine</v>
      </c>
    </row>
    <row r="14" spans="1:19" x14ac:dyDescent="0.3">
      <c r="A14" s="13">
        <v>13</v>
      </c>
      <c r="B14" s="1">
        <v>5.6</v>
      </c>
      <c r="C14" s="1">
        <v>0.61499999999999999</v>
      </c>
      <c r="D14" s="1">
        <v>0</v>
      </c>
      <c r="E14" s="1">
        <v>1.6</v>
      </c>
      <c r="F14" s="1">
        <v>8.8999999999999996E-2</v>
      </c>
      <c r="G14" s="1">
        <v>16</v>
      </c>
      <c r="H14" s="1">
        <v>59</v>
      </c>
      <c r="I14" s="1">
        <v>0.99429999999999996</v>
      </c>
      <c r="J14" s="1">
        <v>3.58</v>
      </c>
      <c r="K14" s="1">
        <v>0.52</v>
      </c>
      <c r="L14" s="1">
        <v>9.9</v>
      </c>
      <c r="M14" s="2">
        <v>5</v>
      </c>
      <c r="N14" s="2" t="str" cm="1">
        <f t="array" ref="N14">_xlfn.IFS(Table1[[#This Row],[quality]]&lt;=4,"Low",Table1[[#This Row],[quality]]&lt;=6,"Medium",Table1[[#This Row],[quality]]&gt;=7,"High")</f>
        <v>Medium</v>
      </c>
      <c r="O14" s="2" t="str">
        <f>IF(AND(Table1[[#This Row],[fixed acidity]]&gt;Sheet1!$C$4,Table1[[#This Row],[pH]]&lt;Sheet1!$K$4),"High","Normal")</f>
        <v>Normal</v>
      </c>
      <c r="P14" s="1">
        <f>(Table1[[#This Row],[alcohol]]*2)+(Table1[[#This Row],[sulphates]]*1.5)-(Table1[[#This Row],[volatile acidity]]*2)</f>
        <v>19.350000000000001</v>
      </c>
      <c r="Q14" s="1">
        <f>RANK(Table1[[#This Row],[Quality_score_index]],Table1[Quality_score_index],0)</f>
        <v>1024</v>
      </c>
      <c r="R14" s="1">
        <f>Table1[[#This Row],[total sulfur dioxide]]-Table1[[#This Row],[free sulfur dioxide]]</f>
        <v>43</v>
      </c>
      <c r="S14" s="1" t="str">
        <f>IF(AND(Table1[[#This Row],[pH]]&gt;=3.2,Table1[[#This Row],[alcohol]]&gt;=10),"White wine","Red wine")</f>
        <v>Red wine</v>
      </c>
    </row>
    <row r="15" spans="1:19" x14ac:dyDescent="0.3">
      <c r="A15" s="13">
        <v>14</v>
      </c>
      <c r="B15" s="1">
        <v>7.8</v>
      </c>
      <c r="C15" s="1">
        <v>0.61</v>
      </c>
      <c r="D15" s="1">
        <v>0.28999999999999998</v>
      </c>
      <c r="E15" s="1">
        <v>1.6</v>
      </c>
      <c r="F15" s="1">
        <v>0.114</v>
      </c>
      <c r="G15" s="1">
        <v>9</v>
      </c>
      <c r="H15" s="1">
        <v>29</v>
      </c>
      <c r="I15" s="1">
        <v>0.99739999999999995</v>
      </c>
      <c r="J15" s="1">
        <v>3.26</v>
      </c>
      <c r="K15" s="1">
        <v>1.56</v>
      </c>
      <c r="L15" s="1">
        <v>9.1</v>
      </c>
      <c r="M15" s="2">
        <v>5</v>
      </c>
      <c r="N15" s="2" t="str" cm="1">
        <f t="array" ref="N15">_xlfn.IFS(Table1[[#This Row],[quality]]&lt;=4,"Low",Table1[[#This Row],[quality]]&lt;=6,"Medium",Table1[[#This Row],[quality]]&gt;=7,"High")</f>
        <v>Medium</v>
      </c>
      <c r="O15" s="2" t="str">
        <f>IF(AND(Table1[[#This Row],[fixed acidity]]&gt;Sheet1!$C$4,Table1[[#This Row],[pH]]&lt;Sheet1!$K$4),"High","Normal")</f>
        <v>Normal</v>
      </c>
      <c r="P15" s="1">
        <f>(Table1[[#This Row],[alcohol]]*2)+(Table1[[#This Row],[sulphates]]*1.5)-(Table1[[#This Row],[volatile acidity]]*2)</f>
        <v>19.32</v>
      </c>
      <c r="Q15" s="1">
        <f>RANK(Table1[[#This Row],[Quality_score_index]],Table1[Quality_score_index],0)</f>
        <v>1035</v>
      </c>
      <c r="R15" s="1">
        <f>Table1[[#This Row],[total sulfur dioxide]]-Table1[[#This Row],[free sulfur dioxide]]</f>
        <v>20</v>
      </c>
      <c r="S15" s="1" t="str">
        <f>IF(AND(Table1[[#This Row],[pH]]&gt;=3.2,Table1[[#This Row],[alcohol]]&gt;=10),"White wine","Red wine")</f>
        <v>Red wine</v>
      </c>
    </row>
    <row r="16" spans="1:19" x14ac:dyDescent="0.3">
      <c r="A16" s="13">
        <v>15</v>
      </c>
      <c r="B16" s="1">
        <v>8.9</v>
      </c>
      <c r="C16" s="1">
        <v>0.62</v>
      </c>
      <c r="D16" s="1">
        <v>0.18</v>
      </c>
      <c r="E16" s="1">
        <v>3.8</v>
      </c>
      <c r="F16" s="1">
        <v>0.17599999999999999</v>
      </c>
      <c r="G16" s="1">
        <v>52</v>
      </c>
      <c r="H16" s="1">
        <v>145</v>
      </c>
      <c r="I16" s="1">
        <v>0.99860000000000004</v>
      </c>
      <c r="J16" s="1">
        <v>3.16</v>
      </c>
      <c r="K16" s="1">
        <v>0.88</v>
      </c>
      <c r="L16" s="1">
        <v>9.1999999999999993</v>
      </c>
      <c r="M16" s="2">
        <v>5</v>
      </c>
      <c r="N16" s="2" t="str" cm="1">
        <f t="array" ref="N16">_xlfn.IFS(Table1[[#This Row],[quality]]&lt;=4,"Low",Table1[[#This Row],[quality]]&lt;=6,"Medium",Table1[[#This Row],[quality]]&gt;=7,"High")</f>
        <v>Medium</v>
      </c>
      <c r="O16" s="2" t="str">
        <f>IF(AND(Table1[[#This Row],[fixed acidity]]&gt;Sheet1!$C$4,Table1[[#This Row],[pH]]&lt;Sheet1!$K$4),"High","Normal")</f>
        <v>High</v>
      </c>
      <c r="P16" s="1">
        <f>(Table1[[#This Row],[alcohol]]*2)+(Table1[[#This Row],[sulphates]]*1.5)-(Table1[[#This Row],[volatile acidity]]*2)</f>
        <v>18.48</v>
      </c>
      <c r="Q16" s="1">
        <f>RANK(Table1[[#This Row],[Quality_score_index]],Table1[Quality_score_index],0)</f>
        <v>1380</v>
      </c>
      <c r="R16" s="1">
        <f>Table1[[#This Row],[total sulfur dioxide]]-Table1[[#This Row],[free sulfur dioxide]]</f>
        <v>93</v>
      </c>
      <c r="S16" s="1" t="str">
        <f>IF(AND(Table1[[#This Row],[pH]]&gt;=3.2,Table1[[#This Row],[alcohol]]&gt;=10),"White wine","Red wine")</f>
        <v>Red wine</v>
      </c>
    </row>
    <row r="17" spans="1:19" x14ac:dyDescent="0.3">
      <c r="A17" s="13">
        <v>16</v>
      </c>
      <c r="B17" s="1">
        <v>8.9</v>
      </c>
      <c r="C17" s="1">
        <v>0.62</v>
      </c>
      <c r="D17" s="1">
        <v>0.19</v>
      </c>
      <c r="E17" s="1">
        <v>3.9</v>
      </c>
      <c r="F17" s="1">
        <v>0.17</v>
      </c>
      <c r="G17" s="1">
        <v>51</v>
      </c>
      <c r="H17" s="1">
        <v>148</v>
      </c>
      <c r="I17" s="1">
        <v>0.99860000000000004</v>
      </c>
      <c r="J17" s="1">
        <v>3.17</v>
      </c>
      <c r="K17" s="1">
        <v>0.93</v>
      </c>
      <c r="L17" s="1">
        <v>9.1999999999999993</v>
      </c>
      <c r="M17" s="2">
        <v>5</v>
      </c>
      <c r="N17" s="2" t="str" cm="1">
        <f t="array" ref="N17">_xlfn.IFS(Table1[[#This Row],[quality]]&lt;=4,"Low",Table1[[#This Row],[quality]]&lt;=6,"Medium",Table1[[#This Row],[quality]]&gt;=7,"High")</f>
        <v>Medium</v>
      </c>
      <c r="O17" s="2" t="str">
        <f>IF(AND(Table1[[#This Row],[fixed acidity]]&gt;Sheet1!$C$4,Table1[[#This Row],[pH]]&lt;Sheet1!$K$4),"High","Normal")</f>
        <v>High</v>
      </c>
      <c r="P17" s="1">
        <f>(Table1[[#This Row],[alcohol]]*2)+(Table1[[#This Row],[sulphates]]*1.5)-(Table1[[#This Row],[volatile acidity]]*2)</f>
        <v>18.555</v>
      </c>
      <c r="Q17" s="1">
        <f>RANK(Table1[[#This Row],[Quality_score_index]],Table1[Quality_score_index],0)</f>
        <v>1358</v>
      </c>
      <c r="R17" s="1">
        <f>Table1[[#This Row],[total sulfur dioxide]]-Table1[[#This Row],[free sulfur dioxide]]</f>
        <v>97</v>
      </c>
      <c r="S17" s="1" t="str">
        <f>IF(AND(Table1[[#This Row],[pH]]&gt;=3.2,Table1[[#This Row],[alcohol]]&gt;=10),"White wine","Red wine")</f>
        <v>Red wine</v>
      </c>
    </row>
    <row r="18" spans="1:19" x14ac:dyDescent="0.3">
      <c r="A18" s="13">
        <v>17</v>
      </c>
      <c r="B18" s="1">
        <v>8.5</v>
      </c>
      <c r="C18" s="1">
        <v>0.28000000000000003</v>
      </c>
      <c r="D18" s="1">
        <v>0.56000000000000005</v>
      </c>
      <c r="E18" s="1">
        <v>1.8</v>
      </c>
      <c r="F18" s="1">
        <v>9.1999999999999998E-2</v>
      </c>
      <c r="G18" s="1">
        <v>35</v>
      </c>
      <c r="H18" s="1">
        <v>103</v>
      </c>
      <c r="I18" s="1">
        <v>0.99690000000000001</v>
      </c>
      <c r="J18" s="1">
        <v>3.3</v>
      </c>
      <c r="K18" s="1">
        <v>0.75</v>
      </c>
      <c r="L18" s="1">
        <v>10.5</v>
      </c>
      <c r="M18" s="2">
        <v>7</v>
      </c>
      <c r="N18" s="2" t="str" cm="1">
        <f t="array" ref="N18">_xlfn.IFS(Table1[[#This Row],[quality]]&lt;=4,"Low",Table1[[#This Row],[quality]]&lt;=6,"Medium",Table1[[#This Row],[quality]]&gt;=7,"High")</f>
        <v>High</v>
      </c>
      <c r="O18" s="2" t="str">
        <f>IF(AND(Table1[[#This Row],[fixed acidity]]&gt;Sheet1!$C$4,Table1[[#This Row],[pH]]&lt;Sheet1!$K$4),"High","Normal")</f>
        <v>High</v>
      </c>
      <c r="P18" s="1">
        <f>(Table1[[#This Row],[alcohol]]*2)+(Table1[[#This Row],[sulphates]]*1.5)-(Table1[[#This Row],[volatile acidity]]*2)</f>
        <v>21.565000000000001</v>
      </c>
      <c r="Q18" s="1">
        <f>RANK(Table1[[#This Row],[Quality_score_index]],Table1[Quality_score_index],0)</f>
        <v>535</v>
      </c>
      <c r="R18" s="1">
        <f>Table1[[#This Row],[total sulfur dioxide]]-Table1[[#This Row],[free sulfur dioxide]]</f>
        <v>68</v>
      </c>
      <c r="S18" s="1" t="str">
        <f>IF(AND(Table1[[#This Row],[pH]]&gt;=3.2,Table1[[#This Row],[alcohol]]&gt;=10),"White wine","Red wine")</f>
        <v>White wine</v>
      </c>
    </row>
    <row r="19" spans="1:19" x14ac:dyDescent="0.3">
      <c r="A19" s="13">
        <v>18</v>
      </c>
      <c r="B19" s="1">
        <v>8.1</v>
      </c>
      <c r="C19" s="1">
        <v>0.56000000000000005</v>
      </c>
      <c r="D19" s="1">
        <v>0.28000000000000003</v>
      </c>
      <c r="E19" s="1">
        <v>1.7</v>
      </c>
      <c r="F19" s="1">
        <v>0.36799999999999999</v>
      </c>
      <c r="G19" s="1">
        <v>16</v>
      </c>
      <c r="H19" s="1">
        <v>56</v>
      </c>
      <c r="I19" s="1">
        <v>0.99680000000000002</v>
      </c>
      <c r="J19" s="1">
        <v>3.11</v>
      </c>
      <c r="K19" s="1">
        <v>1.28</v>
      </c>
      <c r="L19" s="1">
        <v>9.3000000000000007</v>
      </c>
      <c r="M19" s="2">
        <v>5</v>
      </c>
      <c r="N19" s="2" t="str" cm="1">
        <f t="array" ref="N19">_xlfn.IFS(Table1[[#This Row],[quality]]&lt;=4,"Low",Table1[[#This Row],[quality]]&lt;=6,"Medium",Table1[[#This Row],[quality]]&gt;=7,"High")</f>
        <v>Medium</v>
      </c>
      <c r="O19" s="2" t="str">
        <f>IF(AND(Table1[[#This Row],[fixed acidity]]&gt;Sheet1!$C$4,Table1[[#This Row],[pH]]&lt;Sheet1!$K$4),"High","Normal")</f>
        <v>Normal</v>
      </c>
      <c r="P19" s="1">
        <f>(Table1[[#This Row],[alcohol]]*2)+(Table1[[#This Row],[sulphates]]*1.5)-(Table1[[#This Row],[volatile acidity]]*2)</f>
        <v>19.400000000000002</v>
      </c>
      <c r="Q19" s="1">
        <f>RANK(Table1[[#This Row],[Quality_score_index]],Table1[Quality_score_index],0)</f>
        <v>1004</v>
      </c>
      <c r="R19" s="1">
        <f>Table1[[#This Row],[total sulfur dioxide]]-Table1[[#This Row],[free sulfur dioxide]]</f>
        <v>40</v>
      </c>
      <c r="S19" s="1" t="str">
        <f>IF(AND(Table1[[#This Row],[pH]]&gt;=3.2,Table1[[#This Row],[alcohol]]&gt;=10),"White wine","Red wine")</f>
        <v>Red wine</v>
      </c>
    </row>
    <row r="20" spans="1:19" x14ac:dyDescent="0.3">
      <c r="A20" s="13">
        <v>19</v>
      </c>
      <c r="B20" s="1">
        <v>7.4</v>
      </c>
      <c r="C20" s="1">
        <v>0.59</v>
      </c>
      <c r="D20" s="1">
        <v>0.08</v>
      </c>
      <c r="E20" s="1">
        <v>4.4000000000000004</v>
      </c>
      <c r="F20" s="1">
        <v>8.5999999999999993E-2</v>
      </c>
      <c r="G20" s="1">
        <v>6</v>
      </c>
      <c r="H20" s="1">
        <v>29</v>
      </c>
      <c r="I20" s="1">
        <v>0.99739999999999995</v>
      </c>
      <c r="J20" s="1">
        <v>3.38</v>
      </c>
      <c r="K20" s="1">
        <v>0.5</v>
      </c>
      <c r="L20" s="1">
        <v>9</v>
      </c>
      <c r="M20" s="2">
        <v>4</v>
      </c>
      <c r="N20" s="2" t="str" cm="1">
        <f t="array" ref="N20">_xlfn.IFS(Table1[[#This Row],[quality]]&lt;=4,"Low",Table1[[#This Row],[quality]]&lt;=6,"Medium",Table1[[#This Row],[quality]]&gt;=7,"High")</f>
        <v>Low</v>
      </c>
      <c r="O20" s="2" t="str">
        <f>IF(AND(Table1[[#This Row],[fixed acidity]]&gt;Sheet1!$C$4,Table1[[#This Row],[pH]]&lt;Sheet1!$K$4),"High","Normal")</f>
        <v>Normal</v>
      </c>
      <c r="P20" s="1">
        <f>(Table1[[#This Row],[alcohol]]*2)+(Table1[[#This Row],[sulphates]]*1.5)-(Table1[[#This Row],[volatile acidity]]*2)</f>
        <v>17.57</v>
      </c>
      <c r="Q20" s="1">
        <f>RANK(Table1[[#This Row],[Quality_score_index]],Table1[Quality_score_index],0)</f>
        <v>1581</v>
      </c>
      <c r="R20" s="1">
        <f>Table1[[#This Row],[total sulfur dioxide]]-Table1[[#This Row],[free sulfur dioxide]]</f>
        <v>23</v>
      </c>
      <c r="S20" s="1" t="str">
        <f>IF(AND(Table1[[#This Row],[pH]]&gt;=3.2,Table1[[#This Row],[alcohol]]&gt;=10),"White wine","Red wine")</f>
        <v>Red wine</v>
      </c>
    </row>
    <row r="21" spans="1:19" x14ac:dyDescent="0.3">
      <c r="A21" s="13">
        <v>20</v>
      </c>
      <c r="B21" s="1">
        <v>7.9</v>
      </c>
      <c r="C21" s="1">
        <v>0.32</v>
      </c>
      <c r="D21" s="1">
        <v>0.51</v>
      </c>
      <c r="E21" s="1">
        <v>1.8</v>
      </c>
      <c r="F21" s="1">
        <v>0.34100000000000003</v>
      </c>
      <c r="G21" s="1">
        <v>17</v>
      </c>
      <c r="H21" s="1">
        <v>56</v>
      </c>
      <c r="I21" s="1">
        <v>0.99690000000000001</v>
      </c>
      <c r="J21" s="1">
        <v>3.04</v>
      </c>
      <c r="K21" s="1">
        <v>1.08</v>
      </c>
      <c r="L21" s="1">
        <v>9.1999999999999993</v>
      </c>
      <c r="M21" s="2">
        <v>6</v>
      </c>
      <c r="N21" s="2" t="str" cm="1">
        <f t="array" ref="N21">_xlfn.IFS(Table1[[#This Row],[quality]]&lt;=4,"Low",Table1[[#This Row],[quality]]&lt;=6,"Medium",Table1[[#This Row],[quality]]&gt;=7,"High")</f>
        <v>Medium</v>
      </c>
      <c r="O21" s="2" t="str">
        <f>IF(AND(Table1[[#This Row],[fixed acidity]]&gt;Sheet1!$C$4,Table1[[#This Row],[pH]]&lt;Sheet1!$K$4),"High","Normal")</f>
        <v>Normal</v>
      </c>
      <c r="P21" s="1">
        <f>(Table1[[#This Row],[alcohol]]*2)+(Table1[[#This Row],[sulphates]]*1.5)-(Table1[[#This Row],[volatile acidity]]*2)</f>
        <v>19.38</v>
      </c>
      <c r="Q21" s="1">
        <f>RANK(Table1[[#This Row],[Quality_score_index]],Table1[Quality_score_index],0)</f>
        <v>1015</v>
      </c>
      <c r="R21" s="1">
        <f>Table1[[#This Row],[total sulfur dioxide]]-Table1[[#This Row],[free sulfur dioxide]]</f>
        <v>39</v>
      </c>
      <c r="S21" s="1" t="str">
        <f>IF(AND(Table1[[#This Row],[pH]]&gt;=3.2,Table1[[#This Row],[alcohol]]&gt;=10),"White wine","Red wine")</f>
        <v>Red wine</v>
      </c>
    </row>
    <row r="22" spans="1:19" x14ac:dyDescent="0.3">
      <c r="A22" s="13">
        <v>21</v>
      </c>
      <c r="B22" s="1">
        <v>8.9</v>
      </c>
      <c r="C22" s="1">
        <v>0.22</v>
      </c>
      <c r="D22" s="1">
        <v>0.48</v>
      </c>
      <c r="E22" s="1">
        <v>1.8</v>
      </c>
      <c r="F22" s="1">
        <v>7.6999999999999999E-2</v>
      </c>
      <c r="G22" s="1">
        <v>29</v>
      </c>
      <c r="H22" s="1">
        <v>60</v>
      </c>
      <c r="I22" s="1">
        <v>0.99680000000000002</v>
      </c>
      <c r="J22" s="1">
        <v>3.39</v>
      </c>
      <c r="K22" s="1">
        <v>0.53</v>
      </c>
      <c r="L22" s="1">
        <v>9.4</v>
      </c>
      <c r="M22" s="2">
        <v>6</v>
      </c>
      <c r="N22" s="2" t="str" cm="1">
        <f t="array" ref="N22">_xlfn.IFS(Table1[[#This Row],[quality]]&lt;=4,"Low",Table1[[#This Row],[quality]]&lt;=6,"Medium",Table1[[#This Row],[quality]]&gt;=7,"High")</f>
        <v>Medium</v>
      </c>
      <c r="O22" s="2" t="str">
        <f>IF(AND(Table1[[#This Row],[fixed acidity]]&gt;Sheet1!$C$4,Table1[[#This Row],[pH]]&lt;Sheet1!$K$4),"High","Normal")</f>
        <v>Normal</v>
      </c>
      <c r="P22" s="1">
        <f>(Table1[[#This Row],[alcohol]]*2)+(Table1[[#This Row],[sulphates]]*1.5)-(Table1[[#This Row],[volatile acidity]]*2)</f>
        <v>19.155000000000001</v>
      </c>
      <c r="Q22" s="1">
        <f>RANK(Table1[[#This Row],[Quality_score_index]],Table1[Quality_score_index],0)</f>
        <v>1104</v>
      </c>
      <c r="R22" s="1">
        <f>Table1[[#This Row],[total sulfur dioxide]]-Table1[[#This Row],[free sulfur dioxide]]</f>
        <v>31</v>
      </c>
      <c r="S22" s="1" t="str">
        <f>IF(AND(Table1[[#This Row],[pH]]&gt;=3.2,Table1[[#This Row],[alcohol]]&gt;=10),"White wine","Red wine")</f>
        <v>Red wine</v>
      </c>
    </row>
    <row r="23" spans="1:19" x14ac:dyDescent="0.3">
      <c r="A23" s="13">
        <v>22</v>
      </c>
      <c r="B23" s="1">
        <v>7.6</v>
      </c>
      <c r="C23" s="1">
        <v>0.39</v>
      </c>
      <c r="D23" s="1">
        <v>0.31</v>
      </c>
      <c r="E23" s="1">
        <v>2.2999999999999998</v>
      </c>
      <c r="F23" s="1">
        <v>8.2000000000000003E-2</v>
      </c>
      <c r="G23" s="1">
        <v>23</v>
      </c>
      <c r="H23" s="1">
        <v>71</v>
      </c>
      <c r="I23" s="1">
        <v>0.99819999999999998</v>
      </c>
      <c r="J23" s="1">
        <v>3.52</v>
      </c>
      <c r="K23" s="1">
        <v>0.65</v>
      </c>
      <c r="L23" s="1">
        <v>9.6999999999999993</v>
      </c>
      <c r="M23" s="2">
        <v>5</v>
      </c>
      <c r="N23" s="2" t="str" cm="1">
        <f t="array" ref="N23">_xlfn.IFS(Table1[[#This Row],[quality]]&lt;=4,"Low",Table1[[#This Row],[quality]]&lt;=6,"Medium",Table1[[#This Row],[quality]]&gt;=7,"High")</f>
        <v>Medium</v>
      </c>
      <c r="O23" s="2" t="str">
        <f>IF(AND(Table1[[#This Row],[fixed acidity]]&gt;Sheet1!$C$4,Table1[[#This Row],[pH]]&lt;Sheet1!$K$4),"High","Normal")</f>
        <v>Normal</v>
      </c>
      <c r="P23" s="1">
        <f>(Table1[[#This Row],[alcohol]]*2)+(Table1[[#This Row],[sulphates]]*1.5)-(Table1[[#This Row],[volatile acidity]]*2)</f>
        <v>19.594999999999999</v>
      </c>
      <c r="Q23" s="1">
        <f>RANK(Table1[[#This Row],[Quality_score_index]],Table1[Quality_score_index],0)</f>
        <v>953</v>
      </c>
      <c r="R23" s="1">
        <f>Table1[[#This Row],[total sulfur dioxide]]-Table1[[#This Row],[free sulfur dioxide]]</f>
        <v>48</v>
      </c>
      <c r="S23" s="1" t="str">
        <f>IF(AND(Table1[[#This Row],[pH]]&gt;=3.2,Table1[[#This Row],[alcohol]]&gt;=10),"White wine","Red wine")</f>
        <v>Red wine</v>
      </c>
    </row>
    <row r="24" spans="1:19" x14ac:dyDescent="0.3">
      <c r="A24" s="13">
        <v>23</v>
      </c>
      <c r="B24" s="1">
        <v>7.9</v>
      </c>
      <c r="C24" s="1">
        <v>0.43</v>
      </c>
      <c r="D24" s="1">
        <v>0.21</v>
      </c>
      <c r="E24" s="1">
        <v>1.6</v>
      </c>
      <c r="F24" s="1">
        <v>0.106</v>
      </c>
      <c r="G24" s="1">
        <v>10</v>
      </c>
      <c r="H24" s="1">
        <v>37</v>
      </c>
      <c r="I24" s="1">
        <v>0.99660000000000004</v>
      </c>
      <c r="J24" s="1">
        <v>3.17</v>
      </c>
      <c r="K24" s="1">
        <v>0.91</v>
      </c>
      <c r="L24" s="1">
        <v>9.5</v>
      </c>
      <c r="M24" s="2">
        <v>5</v>
      </c>
      <c r="N24" s="2" t="str" cm="1">
        <f t="array" ref="N24">_xlfn.IFS(Table1[[#This Row],[quality]]&lt;=4,"Low",Table1[[#This Row],[quality]]&lt;=6,"Medium",Table1[[#This Row],[quality]]&gt;=7,"High")</f>
        <v>Medium</v>
      </c>
      <c r="O24" s="2" t="str">
        <f>IF(AND(Table1[[#This Row],[fixed acidity]]&gt;Sheet1!$C$4,Table1[[#This Row],[pH]]&lt;Sheet1!$K$4),"High","Normal")</f>
        <v>Normal</v>
      </c>
      <c r="P24" s="1">
        <f>(Table1[[#This Row],[alcohol]]*2)+(Table1[[#This Row],[sulphates]]*1.5)-(Table1[[#This Row],[volatile acidity]]*2)</f>
        <v>19.504999999999999</v>
      </c>
      <c r="Q24" s="1">
        <f>RANK(Table1[[#This Row],[Quality_score_index]],Table1[Quality_score_index],0)</f>
        <v>971</v>
      </c>
      <c r="R24" s="1">
        <f>Table1[[#This Row],[total sulfur dioxide]]-Table1[[#This Row],[free sulfur dioxide]]</f>
        <v>27</v>
      </c>
      <c r="S24" s="1" t="str">
        <f>IF(AND(Table1[[#This Row],[pH]]&gt;=3.2,Table1[[#This Row],[alcohol]]&gt;=10),"White wine","Red wine")</f>
        <v>Red wine</v>
      </c>
    </row>
    <row r="25" spans="1:19" x14ac:dyDescent="0.3">
      <c r="A25" s="13">
        <v>24</v>
      </c>
      <c r="B25" s="1">
        <v>8.5</v>
      </c>
      <c r="C25" s="1">
        <v>0.49</v>
      </c>
      <c r="D25" s="1">
        <v>0.11</v>
      </c>
      <c r="E25" s="1">
        <v>2.2999999999999998</v>
      </c>
      <c r="F25" s="1">
        <v>8.4000000000000005E-2</v>
      </c>
      <c r="G25" s="1">
        <v>9</v>
      </c>
      <c r="H25" s="1">
        <v>67</v>
      </c>
      <c r="I25" s="1">
        <v>0.99680000000000002</v>
      </c>
      <c r="J25" s="1">
        <v>3.17</v>
      </c>
      <c r="K25" s="1">
        <v>0.53</v>
      </c>
      <c r="L25" s="1">
        <v>9.4</v>
      </c>
      <c r="M25" s="2">
        <v>5</v>
      </c>
      <c r="N25" s="2" t="str" cm="1">
        <f t="array" ref="N25">_xlfn.IFS(Table1[[#This Row],[quality]]&lt;=4,"Low",Table1[[#This Row],[quality]]&lt;=6,"Medium",Table1[[#This Row],[quality]]&gt;=7,"High")</f>
        <v>Medium</v>
      </c>
      <c r="O25" s="2" t="str">
        <f>IF(AND(Table1[[#This Row],[fixed acidity]]&gt;Sheet1!$C$4,Table1[[#This Row],[pH]]&lt;Sheet1!$K$4),"High","Normal")</f>
        <v>High</v>
      </c>
      <c r="P25" s="1">
        <f>(Table1[[#This Row],[alcohol]]*2)+(Table1[[#This Row],[sulphates]]*1.5)-(Table1[[#This Row],[volatile acidity]]*2)</f>
        <v>18.615000000000002</v>
      </c>
      <c r="Q25" s="1">
        <f>RANK(Table1[[#This Row],[Quality_score_index]],Table1[Quality_score_index],0)</f>
        <v>1337</v>
      </c>
      <c r="R25" s="1">
        <f>Table1[[#This Row],[total sulfur dioxide]]-Table1[[#This Row],[free sulfur dioxide]]</f>
        <v>58</v>
      </c>
      <c r="S25" s="1" t="str">
        <f>IF(AND(Table1[[#This Row],[pH]]&gt;=3.2,Table1[[#This Row],[alcohol]]&gt;=10),"White wine","Red wine")</f>
        <v>Red wine</v>
      </c>
    </row>
    <row r="26" spans="1:19" x14ac:dyDescent="0.3">
      <c r="A26" s="13">
        <v>25</v>
      </c>
      <c r="B26" s="1">
        <v>6.9</v>
      </c>
      <c r="C26" s="1">
        <v>0.4</v>
      </c>
      <c r="D26" s="1">
        <v>0.14000000000000001</v>
      </c>
      <c r="E26" s="1">
        <v>2.4</v>
      </c>
      <c r="F26" s="1">
        <v>8.5000000000000006E-2</v>
      </c>
      <c r="G26" s="1">
        <v>21</v>
      </c>
      <c r="H26" s="1">
        <v>40</v>
      </c>
      <c r="I26" s="1">
        <v>0.99680000000000002</v>
      </c>
      <c r="J26" s="1">
        <v>3.43</v>
      </c>
      <c r="K26" s="1">
        <v>0.63</v>
      </c>
      <c r="L26" s="1">
        <v>9.6999999999999993</v>
      </c>
      <c r="M26" s="2">
        <v>6</v>
      </c>
      <c r="N26" s="2" t="str" cm="1">
        <f t="array" ref="N26">_xlfn.IFS(Table1[[#This Row],[quality]]&lt;=4,"Low",Table1[[#This Row],[quality]]&lt;=6,"Medium",Table1[[#This Row],[quality]]&gt;=7,"High")</f>
        <v>Medium</v>
      </c>
      <c r="O26" s="2" t="str">
        <f>IF(AND(Table1[[#This Row],[fixed acidity]]&gt;Sheet1!$C$4,Table1[[#This Row],[pH]]&lt;Sheet1!$K$4),"High","Normal")</f>
        <v>Normal</v>
      </c>
      <c r="P26" s="1">
        <f>(Table1[[#This Row],[alcohol]]*2)+(Table1[[#This Row],[sulphates]]*1.5)-(Table1[[#This Row],[volatile acidity]]*2)</f>
        <v>19.544999999999998</v>
      </c>
      <c r="Q26" s="1">
        <f>RANK(Table1[[#This Row],[Quality_score_index]],Table1[Quality_score_index],0)</f>
        <v>965</v>
      </c>
      <c r="R26" s="1">
        <f>Table1[[#This Row],[total sulfur dioxide]]-Table1[[#This Row],[free sulfur dioxide]]</f>
        <v>19</v>
      </c>
      <c r="S26" s="1" t="str">
        <f>IF(AND(Table1[[#This Row],[pH]]&gt;=3.2,Table1[[#This Row],[alcohol]]&gt;=10),"White wine","Red wine")</f>
        <v>Red wine</v>
      </c>
    </row>
    <row r="27" spans="1:19" x14ac:dyDescent="0.3">
      <c r="A27" s="13">
        <v>26</v>
      </c>
      <c r="B27" s="1">
        <v>6.3</v>
      </c>
      <c r="C27" s="1">
        <v>0.39</v>
      </c>
      <c r="D27" s="1">
        <v>0.16</v>
      </c>
      <c r="E27" s="1">
        <v>1.4</v>
      </c>
      <c r="F27" s="1">
        <v>0.08</v>
      </c>
      <c r="G27" s="1">
        <v>11</v>
      </c>
      <c r="H27" s="1">
        <v>23</v>
      </c>
      <c r="I27" s="1">
        <v>0.99550000000000005</v>
      </c>
      <c r="J27" s="1">
        <v>3.34</v>
      </c>
      <c r="K27" s="1">
        <v>0.56000000000000005</v>
      </c>
      <c r="L27" s="1">
        <v>9.3000000000000007</v>
      </c>
      <c r="M27" s="2">
        <v>5</v>
      </c>
      <c r="N27" s="2" t="str" cm="1">
        <f t="array" ref="N27">_xlfn.IFS(Table1[[#This Row],[quality]]&lt;=4,"Low",Table1[[#This Row],[quality]]&lt;=6,"Medium",Table1[[#This Row],[quality]]&gt;=7,"High")</f>
        <v>Medium</v>
      </c>
      <c r="O27" s="2" t="str">
        <f>IF(AND(Table1[[#This Row],[fixed acidity]]&gt;Sheet1!$C$4,Table1[[#This Row],[pH]]&lt;Sheet1!$K$4),"High","Normal")</f>
        <v>Normal</v>
      </c>
      <c r="P27" s="1">
        <f>(Table1[[#This Row],[alcohol]]*2)+(Table1[[#This Row],[sulphates]]*1.5)-(Table1[[#This Row],[volatile acidity]]*2)</f>
        <v>18.66</v>
      </c>
      <c r="Q27" s="1">
        <f>RANK(Table1[[#This Row],[Quality_score_index]],Table1[Quality_score_index],0)</f>
        <v>1312</v>
      </c>
      <c r="R27" s="1">
        <f>Table1[[#This Row],[total sulfur dioxide]]-Table1[[#This Row],[free sulfur dioxide]]</f>
        <v>12</v>
      </c>
      <c r="S27" s="1" t="str">
        <f>IF(AND(Table1[[#This Row],[pH]]&gt;=3.2,Table1[[#This Row],[alcohol]]&gt;=10),"White wine","Red wine")</f>
        <v>Red wine</v>
      </c>
    </row>
    <row r="28" spans="1:19" x14ac:dyDescent="0.3">
      <c r="A28" s="13">
        <v>27</v>
      </c>
      <c r="B28" s="1">
        <v>7.6</v>
      </c>
      <c r="C28" s="1">
        <v>0.41</v>
      </c>
      <c r="D28" s="1">
        <v>0.24</v>
      </c>
      <c r="E28" s="1">
        <v>1.8</v>
      </c>
      <c r="F28" s="1">
        <v>0.08</v>
      </c>
      <c r="G28" s="1">
        <v>4</v>
      </c>
      <c r="H28" s="1">
        <v>11</v>
      </c>
      <c r="I28" s="1">
        <v>0.99619999999999997</v>
      </c>
      <c r="J28" s="1">
        <v>3.28</v>
      </c>
      <c r="K28" s="1">
        <v>0.59</v>
      </c>
      <c r="L28" s="1">
        <v>9.5</v>
      </c>
      <c r="M28" s="2">
        <v>5</v>
      </c>
      <c r="N28" s="2" t="str" cm="1">
        <f t="array" ref="N28">_xlfn.IFS(Table1[[#This Row],[quality]]&lt;=4,"Low",Table1[[#This Row],[quality]]&lt;=6,"Medium",Table1[[#This Row],[quality]]&gt;=7,"High")</f>
        <v>Medium</v>
      </c>
      <c r="O28" s="2" t="str">
        <f>IF(AND(Table1[[#This Row],[fixed acidity]]&gt;Sheet1!$C$4,Table1[[#This Row],[pH]]&lt;Sheet1!$K$4),"High","Normal")</f>
        <v>Normal</v>
      </c>
      <c r="P28" s="1">
        <f>(Table1[[#This Row],[alcohol]]*2)+(Table1[[#This Row],[sulphates]]*1.5)-(Table1[[#This Row],[volatile acidity]]*2)</f>
        <v>19.065000000000001</v>
      </c>
      <c r="Q28" s="1">
        <f>RANK(Table1[[#This Row],[Quality_score_index]],Table1[Quality_score_index],0)</f>
        <v>1140</v>
      </c>
      <c r="R28" s="1">
        <f>Table1[[#This Row],[total sulfur dioxide]]-Table1[[#This Row],[free sulfur dioxide]]</f>
        <v>7</v>
      </c>
      <c r="S28" s="1" t="str">
        <f>IF(AND(Table1[[#This Row],[pH]]&gt;=3.2,Table1[[#This Row],[alcohol]]&gt;=10),"White wine","Red wine")</f>
        <v>Red wine</v>
      </c>
    </row>
    <row r="29" spans="1:19" x14ac:dyDescent="0.3">
      <c r="A29" s="13">
        <v>28</v>
      </c>
      <c r="B29" s="1">
        <v>7.9</v>
      </c>
      <c r="C29" s="1">
        <v>0.43</v>
      </c>
      <c r="D29" s="1">
        <v>0.21</v>
      </c>
      <c r="E29" s="1">
        <v>1.6</v>
      </c>
      <c r="F29" s="1">
        <v>0.106</v>
      </c>
      <c r="G29" s="1">
        <v>10</v>
      </c>
      <c r="H29" s="1">
        <v>37</v>
      </c>
      <c r="I29" s="1">
        <v>0.99660000000000004</v>
      </c>
      <c r="J29" s="1">
        <v>3.17</v>
      </c>
      <c r="K29" s="1">
        <v>0.91</v>
      </c>
      <c r="L29" s="1">
        <v>9.5</v>
      </c>
      <c r="M29" s="2">
        <v>5</v>
      </c>
      <c r="N29" s="2" t="str" cm="1">
        <f t="array" ref="N29">_xlfn.IFS(Table1[[#This Row],[quality]]&lt;=4,"Low",Table1[[#This Row],[quality]]&lt;=6,"Medium",Table1[[#This Row],[quality]]&gt;=7,"High")</f>
        <v>Medium</v>
      </c>
      <c r="O29" s="2" t="str">
        <f>IF(AND(Table1[[#This Row],[fixed acidity]]&gt;Sheet1!$C$4,Table1[[#This Row],[pH]]&lt;Sheet1!$K$4),"High","Normal")</f>
        <v>Normal</v>
      </c>
      <c r="P29" s="1">
        <f>(Table1[[#This Row],[alcohol]]*2)+(Table1[[#This Row],[sulphates]]*1.5)-(Table1[[#This Row],[volatile acidity]]*2)</f>
        <v>19.504999999999999</v>
      </c>
      <c r="Q29" s="1">
        <f>RANK(Table1[[#This Row],[Quality_score_index]],Table1[Quality_score_index],0)</f>
        <v>971</v>
      </c>
      <c r="R29" s="1">
        <f>Table1[[#This Row],[total sulfur dioxide]]-Table1[[#This Row],[free sulfur dioxide]]</f>
        <v>27</v>
      </c>
      <c r="S29" s="1" t="str">
        <f>IF(AND(Table1[[#This Row],[pH]]&gt;=3.2,Table1[[#This Row],[alcohol]]&gt;=10),"White wine","Red wine")</f>
        <v>Red wine</v>
      </c>
    </row>
    <row r="30" spans="1:19" x14ac:dyDescent="0.3">
      <c r="A30" s="13">
        <v>29</v>
      </c>
      <c r="B30" s="1">
        <v>7.1</v>
      </c>
      <c r="C30" s="1">
        <v>0.71</v>
      </c>
      <c r="D30" s="1">
        <v>0</v>
      </c>
      <c r="E30" s="1">
        <v>1.9</v>
      </c>
      <c r="F30" s="1">
        <v>0.08</v>
      </c>
      <c r="G30" s="1">
        <v>14</v>
      </c>
      <c r="H30" s="1">
        <v>35</v>
      </c>
      <c r="I30" s="1">
        <v>0.99719999999999998</v>
      </c>
      <c r="J30" s="1">
        <v>3.47</v>
      </c>
      <c r="K30" s="1">
        <v>0.55000000000000004</v>
      </c>
      <c r="L30" s="1">
        <v>9.4</v>
      </c>
      <c r="M30" s="2">
        <v>5</v>
      </c>
      <c r="N30" s="2" t="str" cm="1">
        <f t="array" ref="N30">_xlfn.IFS(Table1[[#This Row],[quality]]&lt;=4,"Low",Table1[[#This Row],[quality]]&lt;=6,"Medium",Table1[[#This Row],[quality]]&gt;=7,"High")</f>
        <v>Medium</v>
      </c>
      <c r="O30" s="2" t="str">
        <f>IF(AND(Table1[[#This Row],[fixed acidity]]&gt;Sheet1!$C$4,Table1[[#This Row],[pH]]&lt;Sheet1!$K$4),"High","Normal")</f>
        <v>Normal</v>
      </c>
      <c r="P30" s="1">
        <f>(Table1[[#This Row],[alcohol]]*2)+(Table1[[#This Row],[sulphates]]*1.5)-(Table1[[#This Row],[volatile acidity]]*2)</f>
        <v>18.204999999999998</v>
      </c>
      <c r="Q30" s="1">
        <f>RANK(Table1[[#This Row],[Quality_score_index]],Table1[Quality_score_index],0)</f>
        <v>1481</v>
      </c>
      <c r="R30" s="1">
        <f>Table1[[#This Row],[total sulfur dioxide]]-Table1[[#This Row],[free sulfur dioxide]]</f>
        <v>21</v>
      </c>
      <c r="S30" s="1" t="str">
        <f>IF(AND(Table1[[#This Row],[pH]]&gt;=3.2,Table1[[#This Row],[alcohol]]&gt;=10),"White wine","Red wine")</f>
        <v>Red wine</v>
      </c>
    </row>
    <row r="31" spans="1:19" x14ac:dyDescent="0.3">
      <c r="A31" s="13">
        <v>30</v>
      </c>
      <c r="B31" s="1">
        <v>7.8</v>
      </c>
      <c r="C31" s="1">
        <v>0.64500000000000002</v>
      </c>
      <c r="D31" s="1">
        <v>0</v>
      </c>
      <c r="E31" s="1">
        <v>2</v>
      </c>
      <c r="F31" s="1">
        <v>8.2000000000000003E-2</v>
      </c>
      <c r="G31" s="1">
        <v>8</v>
      </c>
      <c r="H31" s="1">
        <v>16</v>
      </c>
      <c r="I31" s="1">
        <v>0.99639999999999995</v>
      </c>
      <c r="J31" s="1">
        <v>3.38</v>
      </c>
      <c r="K31" s="1">
        <v>0.59</v>
      </c>
      <c r="L31" s="1">
        <v>9.8000000000000007</v>
      </c>
      <c r="M31" s="2">
        <v>6</v>
      </c>
      <c r="N31" s="2" t="str" cm="1">
        <f t="array" ref="N31">_xlfn.IFS(Table1[[#This Row],[quality]]&lt;=4,"Low",Table1[[#This Row],[quality]]&lt;=6,"Medium",Table1[[#This Row],[quality]]&gt;=7,"High")</f>
        <v>Medium</v>
      </c>
      <c r="O31" s="2" t="str">
        <f>IF(AND(Table1[[#This Row],[fixed acidity]]&gt;Sheet1!$C$4,Table1[[#This Row],[pH]]&lt;Sheet1!$K$4),"High","Normal")</f>
        <v>Normal</v>
      </c>
      <c r="P31" s="1">
        <f>(Table1[[#This Row],[alcohol]]*2)+(Table1[[#This Row],[sulphates]]*1.5)-(Table1[[#This Row],[volatile acidity]]*2)</f>
        <v>19.195000000000004</v>
      </c>
      <c r="Q31" s="1">
        <f>RANK(Table1[[#This Row],[Quality_score_index]],Table1[Quality_score_index],0)</f>
        <v>1083</v>
      </c>
      <c r="R31" s="1">
        <f>Table1[[#This Row],[total sulfur dioxide]]-Table1[[#This Row],[free sulfur dioxide]]</f>
        <v>8</v>
      </c>
      <c r="S31" s="1" t="str">
        <f>IF(AND(Table1[[#This Row],[pH]]&gt;=3.2,Table1[[#This Row],[alcohol]]&gt;=10),"White wine","Red wine")</f>
        <v>Red wine</v>
      </c>
    </row>
    <row r="32" spans="1:19" x14ac:dyDescent="0.3">
      <c r="A32" s="13">
        <v>31</v>
      </c>
      <c r="B32" s="1">
        <v>6.7</v>
      </c>
      <c r="C32" s="1">
        <v>0.67500000000000004</v>
      </c>
      <c r="D32" s="1">
        <v>7.0000000000000007E-2</v>
      </c>
      <c r="E32" s="1">
        <v>2.4</v>
      </c>
      <c r="F32" s="1">
        <v>8.8999999999999996E-2</v>
      </c>
      <c r="G32" s="1">
        <v>17</v>
      </c>
      <c r="H32" s="1">
        <v>82</v>
      </c>
      <c r="I32" s="1">
        <v>0.99580000000000002</v>
      </c>
      <c r="J32" s="1">
        <v>3.35</v>
      </c>
      <c r="K32" s="1">
        <v>0.54</v>
      </c>
      <c r="L32" s="1">
        <v>10.1</v>
      </c>
      <c r="M32" s="2">
        <v>5</v>
      </c>
      <c r="N32" s="2" t="str" cm="1">
        <f t="array" ref="N32">_xlfn.IFS(Table1[[#This Row],[quality]]&lt;=4,"Low",Table1[[#This Row],[quality]]&lt;=6,"Medium",Table1[[#This Row],[quality]]&gt;=7,"High")</f>
        <v>Medium</v>
      </c>
      <c r="O32" s="2" t="str">
        <f>IF(AND(Table1[[#This Row],[fixed acidity]]&gt;Sheet1!$C$4,Table1[[#This Row],[pH]]&lt;Sheet1!$K$4),"High","Normal")</f>
        <v>Normal</v>
      </c>
      <c r="P32" s="1">
        <f>(Table1[[#This Row],[alcohol]]*2)+(Table1[[#This Row],[sulphates]]*1.5)-(Table1[[#This Row],[volatile acidity]]*2)</f>
        <v>19.659999999999997</v>
      </c>
      <c r="Q32" s="1">
        <f>RANK(Table1[[#This Row],[Quality_score_index]],Table1[Quality_score_index],0)</f>
        <v>935</v>
      </c>
      <c r="R32" s="1">
        <f>Table1[[#This Row],[total sulfur dioxide]]-Table1[[#This Row],[free sulfur dioxide]]</f>
        <v>65</v>
      </c>
      <c r="S32" s="1" t="str">
        <f>IF(AND(Table1[[#This Row],[pH]]&gt;=3.2,Table1[[#This Row],[alcohol]]&gt;=10),"White wine","Red wine")</f>
        <v>White wine</v>
      </c>
    </row>
    <row r="33" spans="1:19" x14ac:dyDescent="0.3">
      <c r="A33" s="13">
        <v>32</v>
      </c>
      <c r="B33" s="1">
        <v>6.9</v>
      </c>
      <c r="C33" s="1">
        <v>0.68500000000000005</v>
      </c>
      <c r="D33" s="1">
        <v>0</v>
      </c>
      <c r="E33" s="1">
        <v>2.5</v>
      </c>
      <c r="F33" s="1">
        <v>0.105</v>
      </c>
      <c r="G33" s="1">
        <v>22</v>
      </c>
      <c r="H33" s="1">
        <v>37</v>
      </c>
      <c r="I33" s="1">
        <v>0.99660000000000004</v>
      </c>
      <c r="J33" s="1">
        <v>3.46</v>
      </c>
      <c r="K33" s="1">
        <v>0.56999999999999995</v>
      </c>
      <c r="L33" s="1">
        <v>10.6</v>
      </c>
      <c r="M33" s="2">
        <v>6</v>
      </c>
      <c r="N33" s="2" t="str" cm="1">
        <f t="array" ref="N33">_xlfn.IFS(Table1[[#This Row],[quality]]&lt;=4,"Low",Table1[[#This Row],[quality]]&lt;=6,"Medium",Table1[[#This Row],[quality]]&gt;=7,"High")</f>
        <v>Medium</v>
      </c>
      <c r="O33" s="2" t="str">
        <f>IF(AND(Table1[[#This Row],[fixed acidity]]&gt;Sheet1!$C$4,Table1[[#This Row],[pH]]&lt;Sheet1!$K$4),"High","Normal")</f>
        <v>Normal</v>
      </c>
      <c r="P33" s="1">
        <f>(Table1[[#This Row],[alcohol]]*2)+(Table1[[#This Row],[sulphates]]*1.5)-(Table1[[#This Row],[volatile acidity]]*2)</f>
        <v>20.684999999999999</v>
      </c>
      <c r="Q33" s="1">
        <f>RANK(Table1[[#This Row],[Quality_score_index]],Table1[Quality_score_index],0)</f>
        <v>726</v>
      </c>
      <c r="R33" s="1">
        <f>Table1[[#This Row],[total sulfur dioxide]]-Table1[[#This Row],[free sulfur dioxide]]</f>
        <v>15</v>
      </c>
      <c r="S33" s="1" t="str">
        <f>IF(AND(Table1[[#This Row],[pH]]&gt;=3.2,Table1[[#This Row],[alcohol]]&gt;=10),"White wine","Red wine")</f>
        <v>White wine</v>
      </c>
    </row>
    <row r="34" spans="1:19" x14ac:dyDescent="0.3">
      <c r="A34" s="13">
        <v>33</v>
      </c>
      <c r="B34" s="1">
        <v>8.3000000000000007</v>
      </c>
      <c r="C34" s="1">
        <v>0.65500000000000003</v>
      </c>
      <c r="D34" s="1">
        <v>0.12</v>
      </c>
      <c r="E34" s="1">
        <v>2.2999999999999998</v>
      </c>
      <c r="F34" s="1">
        <v>8.3000000000000004E-2</v>
      </c>
      <c r="G34" s="1">
        <v>15</v>
      </c>
      <c r="H34" s="1">
        <v>113</v>
      </c>
      <c r="I34" s="1">
        <v>0.99660000000000004</v>
      </c>
      <c r="J34" s="1">
        <v>3.17</v>
      </c>
      <c r="K34" s="1">
        <v>0.66</v>
      </c>
      <c r="L34" s="1">
        <v>9.8000000000000007</v>
      </c>
      <c r="M34" s="2">
        <v>5</v>
      </c>
      <c r="N34" s="2" t="str" cm="1">
        <f t="array" ref="N34">_xlfn.IFS(Table1[[#This Row],[quality]]&lt;=4,"Low",Table1[[#This Row],[quality]]&lt;=6,"Medium",Table1[[#This Row],[quality]]&gt;=7,"High")</f>
        <v>Medium</v>
      </c>
      <c r="O34" s="2" t="str">
        <f>IF(AND(Table1[[#This Row],[fixed acidity]]&gt;Sheet1!$C$4,Table1[[#This Row],[pH]]&lt;Sheet1!$K$4),"High","Normal")</f>
        <v>Normal</v>
      </c>
      <c r="P34" s="1">
        <f>(Table1[[#This Row],[alcohol]]*2)+(Table1[[#This Row],[sulphates]]*1.5)-(Table1[[#This Row],[volatile acidity]]*2)</f>
        <v>19.28</v>
      </c>
      <c r="Q34" s="1">
        <f>RANK(Table1[[#This Row],[Quality_score_index]],Table1[Quality_score_index],0)</f>
        <v>1046</v>
      </c>
      <c r="R34" s="1">
        <f>Table1[[#This Row],[total sulfur dioxide]]-Table1[[#This Row],[free sulfur dioxide]]</f>
        <v>98</v>
      </c>
      <c r="S34" s="1" t="str">
        <f>IF(AND(Table1[[#This Row],[pH]]&gt;=3.2,Table1[[#This Row],[alcohol]]&gt;=10),"White wine","Red wine")</f>
        <v>Red wine</v>
      </c>
    </row>
    <row r="35" spans="1:19" x14ac:dyDescent="0.3">
      <c r="A35" s="13">
        <v>34</v>
      </c>
      <c r="B35" s="1">
        <v>6.9</v>
      </c>
      <c r="C35" s="1">
        <v>0.60499999999999998</v>
      </c>
      <c r="D35" s="1">
        <v>0.12</v>
      </c>
      <c r="E35" s="1">
        <v>10.7</v>
      </c>
      <c r="F35" s="1">
        <v>7.2999999999999995E-2</v>
      </c>
      <c r="G35" s="1">
        <v>40</v>
      </c>
      <c r="H35" s="1">
        <v>83</v>
      </c>
      <c r="I35" s="1">
        <v>0.99929999999999997</v>
      </c>
      <c r="J35" s="1">
        <v>3.45</v>
      </c>
      <c r="K35" s="1">
        <v>0.52</v>
      </c>
      <c r="L35" s="1">
        <v>9.4</v>
      </c>
      <c r="M35" s="2">
        <v>6</v>
      </c>
      <c r="N35" s="2" t="str" cm="1">
        <f t="array" ref="N35">_xlfn.IFS(Table1[[#This Row],[quality]]&lt;=4,"Low",Table1[[#This Row],[quality]]&lt;=6,"Medium",Table1[[#This Row],[quality]]&gt;=7,"High")</f>
        <v>Medium</v>
      </c>
      <c r="O35" s="2" t="str">
        <f>IF(AND(Table1[[#This Row],[fixed acidity]]&gt;Sheet1!$C$4,Table1[[#This Row],[pH]]&lt;Sheet1!$K$4),"High","Normal")</f>
        <v>Normal</v>
      </c>
      <c r="P35" s="1">
        <f>(Table1[[#This Row],[alcohol]]*2)+(Table1[[#This Row],[sulphates]]*1.5)-(Table1[[#This Row],[volatile acidity]]*2)</f>
        <v>18.37</v>
      </c>
      <c r="Q35" s="1">
        <f>RANK(Table1[[#This Row],[Quality_score_index]],Table1[Quality_score_index],0)</f>
        <v>1429</v>
      </c>
      <c r="R35" s="1">
        <f>Table1[[#This Row],[total sulfur dioxide]]-Table1[[#This Row],[free sulfur dioxide]]</f>
        <v>43</v>
      </c>
      <c r="S35" s="1" t="str">
        <f>IF(AND(Table1[[#This Row],[pH]]&gt;=3.2,Table1[[#This Row],[alcohol]]&gt;=10),"White wine","Red wine")</f>
        <v>Red wine</v>
      </c>
    </row>
    <row r="36" spans="1:19" x14ac:dyDescent="0.3">
      <c r="A36" s="13">
        <v>35</v>
      </c>
      <c r="B36" s="1">
        <v>5.2</v>
      </c>
      <c r="C36" s="1">
        <v>0.32</v>
      </c>
      <c r="D36" s="1">
        <v>0.25</v>
      </c>
      <c r="E36" s="1">
        <v>1.8</v>
      </c>
      <c r="F36" s="1">
        <v>0.10299999999999999</v>
      </c>
      <c r="G36" s="1">
        <v>13</v>
      </c>
      <c r="H36" s="1">
        <v>50</v>
      </c>
      <c r="I36" s="1">
        <v>0.99570000000000003</v>
      </c>
      <c r="J36" s="1">
        <v>3.38</v>
      </c>
      <c r="K36" s="1">
        <v>0.55000000000000004</v>
      </c>
      <c r="L36" s="1">
        <v>9.1999999999999993</v>
      </c>
      <c r="M36" s="2">
        <v>5</v>
      </c>
      <c r="N36" s="2" t="str" cm="1">
        <f t="array" ref="N36">_xlfn.IFS(Table1[[#This Row],[quality]]&lt;=4,"Low",Table1[[#This Row],[quality]]&lt;=6,"Medium",Table1[[#This Row],[quality]]&gt;=7,"High")</f>
        <v>Medium</v>
      </c>
      <c r="O36" s="2" t="str">
        <f>IF(AND(Table1[[#This Row],[fixed acidity]]&gt;Sheet1!$C$4,Table1[[#This Row],[pH]]&lt;Sheet1!$K$4),"High","Normal")</f>
        <v>Normal</v>
      </c>
      <c r="P36" s="1">
        <f>(Table1[[#This Row],[alcohol]]*2)+(Table1[[#This Row],[sulphates]]*1.5)-(Table1[[#This Row],[volatile acidity]]*2)</f>
        <v>18.584999999999997</v>
      </c>
      <c r="Q36" s="1">
        <f>RANK(Table1[[#This Row],[Quality_score_index]],Table1[Quality_score_index],0)</f>
        <v>1349</v>
      </c>
      <c r="R36" s="1">
        <f>Table1[[#This Row],[total sulfur dioxide]]-Table1[[#This Row],[free sulfur dioxide]]</f>
        <v>37</v>
      </c>
      <c r="S36" s="1" t="str">
        <f>IF(AND(Table1[[#This Row],[pH]]&gt;=3.2,Table1[[#This Row],[alcohol]]&gt;=10),"White wine","Red wine")</f>
        <v>Red wine</v>
      </c>
    </row>
    <row r="37" spans="1:19" x14ac:dyDescent="0.3">
      <c r="A37" s="13">
        <v>36</v>
      </c>
      <c r="B37" s="1">
        <v>7.8</v>
      </c>
      <c r="C37" s="1">
        <v>0.64500000000000002</v>
      </c>
      <c r="D37" s="1">
        <v>0</v>
      </c>
      <c r="E37" s="1">
        <v>5.5</v>
      </c>
      <c r="F37" s="1">
        <v>8.5999999999999993E-2</v>
      </c>
      <c r="G37" s="1">
        <v>5</v>
      </c>
      <c r="H37" s="1">
        <v>18</v>
      </c>
      <c r="I37" s="1">
        <v>0.99860000000000004</v>
      </c>
      <c r="J37" s="1">
        <v>3.4</v>
      </c>
      <c r="K37" s="1">
        <v>0.55000000000000004</v>
      </c>
      <c r="L37" s="1">
        <v>9.6</v>
      </c>
      <c r="M37" s="2">
        <v>6</v>
      </c>
      <c r="N37" s="2" t="str" cm="1">
        <f t="array" ref="N37">_xlfn.IFS(Table1[[#This Row],[quality]]&lt;=4,"Low",Table1[[#This Row],[quality]]&lt;=6,"Medium",Table1[[#This Row],[quality]]&gt;=7,"High")</f>
        <v>Medium</v>
      </c>
      <c r="O37" s="2" t="str">
        <f>IF(AND(Table1[[#This Row],[fixed acidity]]&gt;Sheet1!$C$4,Table1[[#This Row],[pH]]&lt;Sheet1!$K$4),"High","Normal")</f>
        <v>Normal</v>
      </c>
      <c r="P37" s="1">
        <f>(Table1[[#This Row],[alcohol]]*2)+(Table1[[#This Row],[sulphates]]*1.5)-(Table1[[#This Row],[volatile acidity]]*2)</f>
        <v>18.734999999999999</v>
      </c>
      <c r="Q37" s="1">
        <f>RANK(Table1[[#This Row],[Quality_score_index]],Table1[Quality_score_index],0)</f>
        <v>1269</v>
      </c>
      <c r="R37" s="1">
        <f>Table1[[#This Row],[total sulfur dioxide]]-Table1[[#This Row],[free sulfur dioxide]]</f>
        <v>13</v>
      </c>
      <c r="S37" s="1" t="str">
        <f>IF(AND(Table1[[#This Row],[pH]]&gt;=3.2,Table1[[#This Row],[alcohol]]&gt;=10),"White wine","Red wine")</f>
        <v>Red wine</v>
      </c>
    </row>
    <row r="38" spans="1:19" x14ac:dyDescent="0.3">
      <c r="A38" s="13">
        <v>37</v>
      </c>
      <c r="B38" s="1">
        <v>7.8</v>
      </c>
      <c r="C38" s="1">
        <v>0.6</v>
      </c>
      <c r="D38" s="1">
        <v>0.14000000000000001</v>
      </c>
      <c r="E38" s="1">
        <v>2.4</v>
      </c>
      <c r="F38" s="1">
        <v>8.5999999999999993E-2</v>
      </c>
      <c r="G38" s="1">
        <v>3</v>
      </c>
      <c r="H38" s="1">
        <v>15</v>
      </c>
      <c r="I38" s="1">
        <v>0.99750000000000005</v>
      </c>
      <c r="J38" s="1">
        <v>3.42</v>
      </c>
      <c r="K38" s="1">
        <v>0.6</v>
      </c>
      <c r="L38" s="1">
        <v>10.8</v>
      </c>
      <c r="M38" s="2">
        <v>6</v>
      </c>
      <c r="N38" s="2" t="str" cm="1">
        <f t="array" ref="N38">_xlfn.IFS(Table1[[#This Row],[quality]]&lt;=4,"Low",Table1[[#This Row],[quality]]&lt;=6,"Medium",Table1[[#This Row],[quality]]&gt;=7,"High")</f>
        <v>Medium</v>
      </c>
      <c r="O38" s="2" t="str">
        <f>IF(AND(Table1[[#This Row],[fixed acidity]]&gt;Sheet1!$C$4,Table1[[#This Row],[pH]]&lt;Sheet1!$K$4),"High","Normal")</f>
        <v>Normal</v>
      </c>
      <c r="P38" s="1">
        <f>(Table1[[#This Row],[alcohol]]*2)+(Table1[[#This Row],[sulphates]]*1.5)-(Table1[[#This Row],[volatile acidity]]*2)</f>
        <v>21.3</v>
      </c>
      <c r="Q38" s="1">
        <f>RANK(Table1[[#This Row],[Quality_score_index]],Table1[Quality_score_index],0)</f>
        <v>579</v>
      </c>
      <c r="R38" s="1">
        <f>Table1[[#This Row],[total sulfur dioxide]]-Table1[[#This Row],[free sulfur dioxide]]</f>
        <v>12</v>
      </c>
      <c r="S38" s="1" t="str">
        <f>IF(AND(Table1[[#This Row],[pH]]&gt;=3.2,Table1[[#This Row],[alcohol]]&gt;=10),"White wine","Red wine")</f>
        <v>White wine</v>
      </c>
    </row>
    <row r="39" spans="1:19" x14ac:dyDescent="0.3">
      <c r="A39" s="13">
        <v>38</v>
      </c>
      <c r="B39" s="1">
        <v>8.1</v>
      </c>
      <c r="C39" s="1">
        <v>0.38</v>
      </c>
      <c r="D39" s="1">
        <v>0.28000000000000003</v>
      </c>
      <c r="E39" s="1">
        <v>2.1</v>
      </c>
      <c r="F39" s="1">
        <v>6.6000000000000003E-2</v>
      </c>
      <c r="G39" s="1">
        <v>13</v>
      </c>
      <c r="H39" s="1">
        <v>30</v>
      </c>
      <c r="I39" s="1">
        <v>0.99680000000000002</v>
      </c>
      <c r="J39" s="1">
        <v>3.23</v>
      </c>
      <c r="K39" s="1">
        <v>0.73</v>
      </c>
      <c r="L39" s="1">
        <v>9.6999999999999993</v>
      </c>
      <c r="M39" s="2">
        <v>7</v>
      </c>
      <c r="N39" s="2" t="str" cm="1">
        <f t="array" ref="N39">_xlfn.IFS(Table1[[#This Row],[quality]]&lt;=4,"Low",Table1[[#This Row],[quality]]&lt;=6,"Medium",Table1[[#This Row],[quality]]&gt;=7,"High")</f>
        <v>High</v>
      </c>
      <c r="O39" s="2" t="str">
        <f>IF(AND(Table1[[#This Row],[fixed acidity]]&gt;Sheet1!$C$4,Table1[[#This Row],[pH]]&lt;Sheet1!$K$4),"High","Normal")</f>
        <v>Normal</v>
      </c>
      <c r="P39" s="1">
        <f>(Table1[[#This Row],[alcohol]]*2)+(Table1[[#This Row],[sulphates]]*1.5)-(Table1[[#This Row],[volatile acidity]]*2)</f>
        <v>19.734999999999996</v>
      </c>
      <c r="Q39" s="1">
        <f>RANK(Table1[[#This Row],[Quality_score_index]],Table1[Quality_score_index],0)</f>
        <v>921</v>
      </c>
      <c r="R39" s="1">
        <f>Table1[[#This Row],[total sulfur dioxide]]-Table1[[#This Row],[free sulfur dioxide]]</f>
        <v>17</v>
      </c>
      <c r="S39" s="1" t="str">
        <f>IF(AND(Table1[[#This Row],[pH]]&gt;=3.2,Table1[[#This Row],[alcohol]]&gt;=10),"White wine","Red wine")</f>
        <v>Red wine</v>
      </c>
    </row>
    <row r="40" spans="1:19" x14ac:dyDescent="0.3">
      <c r="A40" s="13">
        <v>39</v>
      </c>
      <c r="B40" s="1">
        <v>5.7</v>
      </c>
      <c r="C40" s="1">
        <v>1.1299999999999999</v>
      </c>
      <c r="D40" s="1">
        <v>0.09</v>
      </c>
      <c r="E40" s="1">
        <v>1.5</v>
      </c>
      <c r="F40" s="1">
        <v>0.17199999999999999</v>
      </c>
      <c r="G40" s="1">
        <v>7</v>
      </c>
      <c r="H40" s="1">
        <v>19</v>
      </c>
      <c r="I40" s="1">
        <v>0.99399999999999999</v>
      </c>
      <c r="J40" s="1">
        <v>3.5</v>
      </c>
      <c r="K40" s="1">
        <v>0.48</v>
      </c>
      <c r="L40" s="1">
        <v>9.8000000000000007</v>
      </c>
      <c r="M40" s="2">
        <v>4</v>
      </c>
      <c r="N40" s="2" t="str" cm="1">
        <f t="array" ref="N40">_xlfn.IFS(Table1[[#This Row],[quality]]&lt;=4,"Low",Table1[[#This Row],[quality]]&lt;=6,"Medium",Table1[[#This Row],[quality]]&gt;=7,"High")</f>
        <v>Low</v>
      </c>
      <c r="O40" s="2" t="str">
        <f>IF(AND(Table1[[#This Row],[fixed acidity]]&gt;Sheet1!$C$4,Table1[[#This Row],[pH]]&lt;Sheet1!$K$4),"High","Normal")</f>
        <v>Normal</v>
      </c>
      <c r="P40" s="1">
        <f>(Table1[[#This Row],[alcohol]]*2)+(Table1[[#This Row],[sulphates]]*1.5)-(Table1[[#This Row],[volatile acidity]]*2)</f>
        <v>18.060000000000002</v>
      </c>
      <c r="Q40" s="1">
        <f>RANK(Table1[[#This Row],[Quality_score_index]],Table1[Quality_score_index],0)</f>
        <v>1511</v>
      </c>
      <c r="R40" s="1">
        <f>Table1[[#This Row],[total sulfur dioxide]]-Table1[[#This Row],[free sulfur dioxide]]</f>
        <v>12</v>
      </c>
      <c r="S40" s="1" t="str">
        <f>IF(AND(Table1[[#This Row],[pH]]&gt;=3.2,Table1[[#This Row],[alcohol]]&gt;=10),"White wine","Red wine")</f>
        <v>Red wine</v>
      </c>
    </row>
    <row r="41" spans="1:19" x14ac:dyDescent="0.3">
      <c r="A41" s="13">
        <v>40</v>
      </c>
      <c r="B41" s="1">
        <v>7.3</v>
      </c>
      <c r="C41" s="1">
        <v>0.45</v>
      </c>
      <c r="D41" s="1">
        <v>0.36</v>
      </c>
      <c r="E41" s="1">
        <v>5.9</v>
      </c>
      <c r="F41" s="1">
        <v>7.3999999999999996E-2</v>
      </c>
      <c r="G41" s="1">
        <v>12</v>
      </c>
      <c r="H41" s="1">
        <v>87</v>
      </c>
      <c r="I41" s="1">
        <v>0.99780000000000002</v>
      </c>
      <c r="J41" s="1">
        <v>3.33</v>
      </c>
      <c r="K41" s="1">
        <v>0.83</v>
      </c>
      <c r="L41" s="1">
        <v>10.5</v>
      </c>
      <c r="M41" s="2">
        <v>5</v>
      </c>
      <c r="N41" s="2" t="str" cm="1">
        <f t="array" ref="N41">_xlfn.IFS(Table1[[#This Row],[quality]]&lt;=4,"Low",Table1[[#This Row],[quality]]&lt;=6,"Medium",Table1[[#This Row],[quality]]&gt;=7,"High")</f>
        <v>Medium</v>
      </c>
      <c r="O41" s="2" t="str">
        <f>IF(AND(Table1[[#This Row],[fixed acidity]]&gt;Sheet1!$C$4,Table1[[#This Row],[pH]]&lt;Sheet1!$K$4),"High","Normal")</f>
        <v>Normal</v>
      </c>
      <c r="P41" s="1">
        <f>(Table1[[#This Row],[alcohol]]*2)+(Table1[[#This Row],[sulphates]]*1.5)-(Table1[[#This Row],[volatile acidity]]*2)</f>
        <v>21.345000000000002</v>
      </c>
      <c r="Q41" s="1">
        <f>RANK(Table1[[#This Row],[Quality_score_index]],Table1[Quality_score_index],0)</f>
        <v>570</v>
      </c>
      <c r="R41" s="1">
        <f>Table1[[#This Row],[total sulfur dioxide]]-Table1[[#This Row],[free sulfur dioxide]]</f>
        <v>75</v>
      </c>
      <c r="S41" s="1" t="str">
        <f>IF(AND(Table1[[#This Row],[pH]]&gt;=3.2,Table1[[#This Row],[alcohol]]&gt;=10),"White wine","Red wine")</f>
        <v>White wine</v>
      </c>
    </row>
    <row r="42" spans="1:19" x14ac:dyDescent="0.3">
      <c r="A42" s="13">
        <v>41</v>
      </c>
      <c r="B42" s="1">
        <v>7.3</v>
      </c>
      <c r="C42" s="1">
        <v>0.45</v>
      </c>
      <c r="D42" s="1">
        <v>0.36</v>
      </c>
      <c r="E42" s="1">
        <v>5.9</v>
      </c>
      <c r="F42" s="1">
        <v>7.3999999999999996E-2</v>
      </c>
      <c r="G42" s="1">
        <v>12</v>
      </c>
      <c r="H42" s="1">
        <v>87</v>
      </c>
      <c r="I42" s="1">
        <v>0.99780000000000002</v>
      </c>
      <c r="J42" s="1">
        <v>3.33</v>
      </c>
      <c r="K42" s="1">
        <v>0.83</v>
      </c>
      <c r="L42" s="1">
        <v>10.5</v>
      </c>
      <c r="M42" s="2">
        <v>5</v>
      </c>
      <c r="N42" s="2" t="str" cm="1">
        <f t="array" ref="N42">_xlfn.IFS(Table1[[#This Row],[quality]]&lt;=4,"Low",Table1[[#This Row],[quality]]&lt;=6,"Medium",Table1[[#This Row],[quality]]&gt;=7,"High")</f>
        <v>Medium</v>
      </c>
      <c r="O42" s="2" t="str">
        <f>IF(AND(Table1[[#This Row],[fixed acidity]]&gt;Sheet1!$C$4,Table1[[#This Row],[pH]]&lt;Sheet1!$K$4),"High","Normal")</f>
        <v>Normal</v>
      </c>
      <c r="P42" s="1">
        <f>(Table1[[#This Row],[alcohol]]*2)+(Table1[[#This Row],[sulphates]]*1.5)-(Table1[[#This Row],[volatile acidity]]*2)</f>
        <v>21.345000000000002</v>
      </c>
      <c r="Q42" s="1">
        <f>RANK(Table1[[#This Row],[Quality_score_index]],Table1[Quality_score_index],0)</f>
        <v>570</v>
      </c>
      <c r="R42" s="1">
        <f>Table1[[#This Row],[total sulfur dioxide]]-Table1[[#This Row],[free sulfur dioxide]]</f>
        <v>75</v>
      </c>
      <c r="S42" s="1" t="str">
        <f>IF(AND(Table1[[#This Row],[pH]]&gt;=3.2,Table1[[#This Row],[alcohol]]&gt;=10),"White wine","Red wine")</f>
        <v>White wine</v>
      </c>
    </row>
    <row r="43" spans="1:19" x14ac:dyDescent="0.3">
      <c r="A43" s="13">
        <v>42</v>
      </c>
      <c r="B43" s="1">
        <v>8.8000000000000007</v>
      </c>
      <c r="C43" s="1">
        <v>0.61</v>
      </c>
      <c r="D43" s="1">
        <v>0.3</v>
      </c>
      <c r="E43" s="1">
        <v>2.8</v>
      </c>
      <c r="F43" s="1">
        <v>8.7999999999999995E-2</v>
      </c>
      <c r="G43" s="1">
        <v>17</v>
      </c>
      <c r="H43" s="1">
        <v>46</v>
      </c>
      <c r="I43" s="1">
        <v>0.99760000000000004</v>
      </c>
      <c r="J43" s="1">
        <v>3.26</v>
      </c>
      <c r="K43" s="1">
        <v>0.51</v>
      </c>
      <c r="L43" s="1">
        <v>9.3000000000000007</v>
      </c>
      <c r="M43" s="2">
        <v>4</v>
      </c>
      <c r="N43" s="2" t="str" cm="1">
        <f t="array" ref="N43">_xlfn.IFS(Table1[[#This Row],[quality]]&lt;=4,"Low",Table1[[#This Row],[quality]]&lt;=6,"Medium",Table1[[#This Row],[quality]]&gt;=7,"High")</f>
        <v>Low</v>
      </c>
      <c r="O43" s="2" t="str">
        <f>IF(AND(Table1[[#This Row],[fixed acidity]]&gt;Sheet1!$C$4,Table1[[#This Row],[pH]]&lt;Sheet1!$K$4),"High","Normal")</f>
        <v>High</v>
      </c>
      <c r="P43" s="1">
        <f>(Table1[[#This Row],[alcohol]]*2)+(Table1[[#This Row],[sulphates]]*1.5)-(Table1[[#This Row],[volatile acidity]]*2)</f>
        <v>18.145000000000003</v>
      </c>
      <c r="Q43" s="1">
        <f>RANK(Table1[[#This Row],[Quality_score_index]],Table1[Quality_score_index],0)</f>
        <v>1487</v>
      </c>
      <c r="R43" s="1">
        <f>Table1[[#This Row],[total sulfur dioxide]]-Table1[[#This Row],[free sulfur dioxide]]</f>
        <v>29</v>
      </c>
      <c r="S43" s="1" t="str">
        <f>IF(AND(Table1[[#This Row],[pH]]&gt;=3.2,Table1[[#This Row],[alcohol]]&gt;=10),"White wine","Red wine")</f>
        <v>Red wine</v>
      </c>
    </row>
    <row r="44" spans="1:19" x14ac:dyDescent="0.3">
      <c r="A44" s="13">
        <v>43</v>
      </c>
      <c r="B44" s="1">
        <v>7.5</v>
      </c>
      <c r="C44" s="1">
        <v>0.49</v>
      </c>
      <c r="D44" s="1">
        <v>0.2</v>
      </c>
      <c r="E44" s="1">
        <v>2.6</v>
      </c>
      <c r="F44" s="1">
        <v>0.33200000000000002</v>
      </c>
      <c r="G44" s="1">
        <v>8</v>
      </c>
      <c r="H44" s="1">
        <v>14</v>
      </c>
      <c r="I44" s="1">
        <v>0.99680000000000002</v>
      </c>
      <c r="J44" s="1">
        <v>3.21</v>
      </c>
      <c r="K44" s="1">
        <v>0.9</v>
      </c>
      <c r="L44" s="1">
        <v>10.5</v>
      </c>
      <c r="M44" s="2">
        <v>6</v>
      </c>
      <c r="N44" s="2" t="str" cm="1">
        <f t="array" ref="N44">_xlfn.IFS(Table1[[#This Row],[quality]]&lt;=4,"Low",Table1[[#This Row],[quality]]&lt;=6,"Medium",Table1[[#This Row],[quality]]&gt;=7,"High")</f>
        <v>Medium</v>
      </c>
      <c r="O44" s="2" t="str">
        <f>IF(AND(Table1[[#This Row],[fixed acidity]]&gt;Sheet1!$C$4,Table1[[#This Row],[pH]]&lt;Sheet1!$K$4),"High","Normal")</f>
        <v>Normal</v>
      </c>
      <c r="P44" s="1">
        <f>(Table1[[#This Row],[alcohol]]*2)+(Table1[[#This Row],[sulphates]]*1.5)-(Table1[[#This Row],[volatile acidity]]*2)</f>
        <v>21.37</v>
      </c>
      <c r="Q44" s="1">
        <f>RANK(Table1[[#This Row],[Quality_score_index]],Table1[Quality_score_index],0)</f>
        <v>563</v>
      </c>
      <c r="R44" s="1">
        <f>Table1[[#This Row],[total sulfur dioxide]]-Table1[[#This Row],[free sulfur dioxide]]</f>
        <v>6</v>
      </c>
      <c r="S44" s="1" t="str">
        <f>IF(AND(Table1[[#This Row],[pH]]&gt;=3.2,Table1[[#This Row],[alcohol]]&gt;=10),"White wine","Red wine")</f>
        <v>White wine</v>
      </c>
    </row>
    <row r="45" spans="1:19" x14ac:dyDescent="0.3">
      <c r="A45" s="13">
        <v>44</v>
      </c>
      <c r="B45" s="1">
        <v>8.1</v>
      </c>
      <c r="C45" s="1">
        <v>0.66</v>
      </c>
      <c r="D45" s="1">
        <v>0.22</v>
      </c>
      <c r="E45" s="1">
        <v>2.2000000000000002</v>
      </c>
      <c r="F45" s="1">
        <v>6.9000000000000006E-2</v>
      </c>
      <c r="G45" s="1">
        <v>9</v>
      </c>
      <c r="H45" s="1">
        <v>23</v>
      </c>
      <c r="I45" s="1">
        <v>0.99680000000000002</v>
      </c>
      <c r="J45" s="1">
        <v>3.3</v>
      </c>
      <c r="K45" s="1">
        <v>1.2</v>
      </c>
      <c r="L45" s="1">
        <v>10.3</v>
      </c>
      <c r="M45" s="2">
        <v>5</v>
      </c>
      <c r="N45" s="2" t="str" cm="1">
        <f t="array" ref="N45">_xlfn.IFS(Table1[[#This Row],[quality]]&lt;=4,"Low",Table1[[#This Row],[quality]]&lt;=6,"Medium",Table1[[#This Row],[quality]]&gt;=7,"High")</f>
        <v>Medium</v>
      </c>
      <c r="O45" s="2" t="str">
        <f>IF(AND(Table1[[#This Row],[fixed acidity]]&gt;Sheet1!$C$4,Table1[[#This Row],[pH]]&lt;Sheet1!$K$4),"High","Normal")</f>
        <v>Normal</v>
      </c>
      <c r="P45" s="1">
        <f>(Table1[[#This Row],[alcohol]]*2)+(Table1[[#This Row],[sulphates]]*1.5)-(Table1[[#This Row],[volatile acidity]]*2)</f>
        <v>21.080000000000002</v>
      </c>
      <c r="Q45" s="1">
        <f>RANK(Table1[[#This Row],[Quality_score_index]],Table1[Quality_score_index],0)</f>
        <v>635</v>
      </c>
      <c r="R45" s="1">
        <f>Table1[[#This Row],[total sulfur dioxide]]-Table1[[#This Row],[free sulfur dioxide]]</f>
        <v>14</v>
      </c>
      <c r="S45" s="1" t="str">
        <f>IF(AND(Table1[[#This Row],[pH]]&gt;=3.2,Table1[[#This Row],[alcohol]]&gt;=10),"White wine","Red wine")</f>
        <v>White wine</v>
      </c>
    </row>
    <row r="46" spans="1:19" x14ac:dyDescent="0.3">
      <c r="A46" s="13">
        <v>45</v>
      </c>
      <c r="B46" s="1">
        <v>6.8</v>
      </c>
      <c r="C46" s="1">
        <v>0.67</v>
      </c>
      <c r="D46" s="1">
        <v>0.02</v>
      </c>
      <c r="E46" s="1">
        <v>1.8</v>
      </c>
      <c r="F46" s="1">
        <v>0.05</v>
      </c>
      <c r="G46" s="1">
        <v>5</v>
      </c>
      <c r="H46" s="1">
        <v>11</v>
      </c>
      <c r="I46" s="1">
        <v>0.99619999999999997</v>
      </c>
      <c r="J46" s="1">
        <v>3.48</v>
      </c>
      <c r="K46" s="1">
        <v>0.52</v>
      </c>
      <c r="L46" s="1">
        <v>9.5</v>
      </c>
      <c r="M46" s="2">
        <v>5</v>
      </c>
      <c r="N46" s="2" t="str" cm="1">
        <f t="array" ref="N46">_xlfn.IFS(Table1[[#This Row],[quality]]&lt;=4,"Low",Table1[[#This Row],[quality]]&lt;=6,"Medium",Table1[[#This Row],[quality]]&gt;=7,"High")</f>
        <v>Medium</v>
      </c>
      <c r="O46" s="2" t="str">
        <f>IF(AND(Table1[[#This Row],[fixed acidity]]&gt;Sheet1!$C$4,Table1[[#This Row],[pH]]&lt;Sheet1!$K$4),"High","Normal")</f>
        <v>Normal</v>
      </c>
      <c r="P46" s="1">
        <f>(Table1[[#This Row],[alcohol]]*2)+(Table1[[#This Row],[sulphates]]*1.5)-(Table1[[#This Row],[volatile acidity]]*2)</f>
        <v>18.440000000000001</v>
      </c>
      <c r="Q46" s="1">
        <f>RANK(Table1[[#This Row],[Quality_score_index]],Table1[Quality_score_index],0)</f>
        <v>1396</v>
      </c>
      <c r="R46" s="1">
        <f>Table1[[#This Row],[total sulfur dioxide]]-Table1[[#This Row],[free sulfur dioxide]]</f>
        <v>6</v>
      </c>
      <c r="S46" s="1" t="str">
        <f>IF(AND(Table1[[#This Row],[pH]]&gt;=3.2,Table1[[#This Row],[alcohol]]&gt;=10),"White wine","Red wine")</f>
        <v>Red wine</v>
      </c>
    </row>
    <row r="47" spans="1:19" x14ac:dyDescent="0.3">
      <c r="A47" s="13">
        <v>46</v>
      </c>
      <c r="B47" s="1">
        <v>4.5999999999999996</v>
      </c>
      <c r="C47" s="1">
        <v>0.52</v>
      </c>
      <c r="D47" s="1">
        <v>0.15</v>
      </c>
      <c r="E47" s="1">
        <v>2.1</v>
      </c>
      <c r="F47" s="1">
        <v>5.3999999999999999E-2</v>
      </c>
      <c r="G47" s="1">
        <v>8</v>
      </c>
      <c r="H47" s="1">
        <v>65</v>
      </c>
      <c r="I47" s="1">
        <v>0.99339999999999995</v>
      </c>
      <c r="J47" s="1">
        <v>3.9</v>
      </c>
      <c r="K47" s="1">
        <v>0.56000000000000005</v>
      </c>
      <c r="L47" s="1">
        <v>13.1</v>
      </c>
      <c r="M47" s="2">
        <v>4</v>
      </c>
      <c r="N47" s="2" t="str" cm="1">
        <f t="array" ref="N47">_xlfn.IFS(Table1[[#This Row],[quality]]&lt;=4,"Low",Table1[[#This Row],[quality]]&lt;=6,"Medium",Table1[[#This Row],[quality]]&gt;=7,"High")</f>
        <v>Low</v>
      </c>
      <c r="O47" s="2" t="str">
        <f>IF(AND(Table1[[#This Row],[fixed acidity]]&gt;Sheet1!$C$4,Table1[[#This Row],[pH]]&lt;Sheet1!$K$4),"High","Normal")</f>
        <v>Normal</v>
      </c>
      <c r="P47" s="1">
        <f>(Table1[[#This Row],[alcohol]]*2)+(Table1[[#This Row],[sulphates]]*1.5)-(Table1[[#This Row],[volatile acidity]]*2)</f>
        <v>26</v>
      </c>
      <c r="Q47" s="1">
        <f>RANK(Table1[[#This Row],[Quality_score_index]],Table1[Quality_score_index],0)</f>
        <v>33</v>
      </c>
      <c r="R47" s="1">
        <f>Table1[[#This Row],[total sulfur dioxide]]-Table1[[#This Row],[free sulfur dioxide]]</f>
        <v>57</v>
      </c>
      <c r="S47" s="1" t="str">
        <f>IF(AND(Table1[[#This Row],[pH]]&gt;=3.2,Table1[[#This Row],[alcohol]]&gt;=10),"White wine","Red wine")</f>
        <v>White wine</v>
      </c>
    </row>
    <row r="48" spans="1:19" x14ac:dyDescent="0.3">
      <c r="A48" s="13">
        <v>47</v>
      </c>
      <c r="B48" s="1">
        <v>7.7</v>
      </c>
      <c r="C48" s="1">
        <v>0.93500000000000005</v>
      </c>
      <c r="D48" s="1">
        <v>0.43</v>
      </c>
      <c r="E48" s="1">
        <v>2.2000000000000002</v>
      </c>
      <c r="F48" s="1">
        <v>0.114</v>
      </c>
      <c r="G48" s="1">
        <v>22</v>
      </c>
      <c r="H48" s="1">
        <v>114</v>
      </c>
      <c r="I48" s="1">
        <v>0.997</v>
      </c>
      <c r="J48" s="1">
        <v>3.25</v>
      </c>
      <c r="K48" s="1">
        <v>0.73</v>
      </c>
      <c r="L48" s="1">
        <v>9.1999999999999993</v>
      </c>
      <c r="M48" s="2">
        <v>5</v>
      </c>
      <c r="N48" s="2" t="str" cm="1">
        <f t="array" ref="N48">_xlfn.IFS(Table1[[#This Row],[quality]]&lt;=4,"Low",Table1[[#This Row],[quality]]&lt;=6,"Medium",Table1[[#This Row],[quality]]&gt;=7,"High")</f>
        <v>Medium</v>
      </c>
      <c r="O48" s="2" t="str">
        <f>IF(AND(Table1[[#This Row],[fixed acidity]]&gt;Sheet1!$C$4,Table1[[#This Row],[pH]]&lt;Sheet1!$K$4),"High","Normal")</f>
        <v>Normal</v>
      </c>
      <c r="P48" s="1">
        <f>(Table1[[#This Row],[alcohol]]*2)+(Table1[[#This Row],[sulphates]]*1.5)-(Table1[[#This Row],[volatile acidity]]*2)</f>
        <v>17.624999999999996</v>
      </c>
      <c r="Q48" s="1">
        <f>RANK(Table1[[#This Row],[Quality_score_index]],Table1[Quality_score_index],0)</f>
        <v>1575</v>
      </c>
      <c r="R48" s="1">
        <f>Table1[[#This Row],[total sulfur dioxide]]-Table1[[#This Row],[free sulfur dioxide]]</f>
        <v>92</v>
      </c>
      <c r="S48" s="1" t="str">
        <f>IF(AND(Table1[[#This Row],[pH]]&gt;=3.2,Table1[[#This Row],[alcohol]]&gt;=10),"White wine","Red wine")</f>
        <v>Red wine</v>
      </c>
    </row>
    <row r="49" spans="1:19" x14ac:dyDescent="0.3">
      <c r="A49" s="13">
        <v>48</v>
      </c>
      <c r="B49" s="1">
        <v>8.6999999999999993</v>
      </c>
      <c r="C49" s="1">
        <v>0.28999999999999998</v>
      </c>
      <c r="D49" s="1">
        <v>0.52</v>
      </c>
      <c r="E49" s="1">
        <v>1.6</v>
      </c>
      <c r="F49" s="1">
        <v>0.113</v>
      </c>
      <c r="G49" s="1">
        <v>12</v>
      </c>
      <c r="H49" s="1">
        <v>37</v>
      </c>
      <c r="I49" s="1">
        <v>0.99690000000000001</v>
      </c>
      <c r="J49" s="1">
        <v>3.25</v>
      </c>
      <c r="K49" s="1">
        <v>0.57999999999999996</v>
      </c>
      <c r="L49" s="1">
        <v>9.5</v>
      </c>
      <c r="M49" s="2">
        <v>5</v>
      </c>
      <c r="N49" s="2" t="str" cm="1">
        <f t="array" ref="N49">_xlfn.IFS(Table1[[#This Row],[quality]]&lt;=4,"Low",Table1[[#This Row],[quality]]&lt;=6,"Medium",Table1[[#This Row],[quality]]&gt;=7,"High")</f>
        <v>Medium</v>
      </c>
      <c r="O49" s="2" t="str">
        <f>IF(AND(Table1[[#This Row],[fixed acidity]]&gt;Sheet1!$C$4,Table1[[#This Row],[pH]]&lt;Sheet1!$K$4),"High","Normal")</f>
        <v>High</v>
      </c>
      <c r="P49" s="1">
        <f>(Table1[[#This Row],[alcohol]]*2)+(Table1[[#This Row],[sulphates]]*1.5)-(Table1[[#This Row],[volatile acidity]]*2)</f>
        <v>19.290000000000003</v>
      </c>
      <c r="Q49" s="1">
        <f>RANK(Table1[[#This Row],[Quality_score_index]],Table1[Quality_score_index],0)</f>
        <v>1045</v>
      </c>
      <c r="R49" s="1">
        <f>Table1[[#This Row],[total sulfur dioxide]]-Table1[[#This Row],[free sulfur dioxide]]</f>
        <v>25</v>
      </c>
      <c r="S49" s="1" t="str">
        <f>IF(AND(Table1[[#This Row],[pH]]&gt;=3.2,Table1[[#This Row],[alcohol]]&gt;=10),"White wine","Red wine")</f>
        <v>Red wine</v>
      </c>
    </row>
    <row r="50" spans="1:19" x14ac:dyDescent="0.3">
      <c r="A50" s="13">
        <v>49</v>
      </c>
      <c r="B50" s="1">
        <v>6.4</v>
      </c>
      <c r="C50" s="1">
        <v>0.4</v>
      </c>
      <c r="D50" s="1">
        <v>0.23</v>
      </c>
      <c r="E50" s="1">
        <v>1.6</v>
      </c>
      <c r="F50" s="1">
        <v>6.6000000000000003E-2</v>
      </c>
      <c r="G50" s="1">
        <v>5</v>
      </c>
      <c r="H50" s="1">
        <v>12</v>
      </c>
      <c r="I50" s="1">
        <v>0.99580000000000002</v>
      </c>
      <c r="J50" s="1">
        <v>3.34</v>
      </c>
      <c r="K50" s="1">
        <v>0.56000000000000005</v>
      </c>
      <c r="L50" s="1">
        <v>9.1999999999999993</v>
      </c>
      <c r="M50" s="2">
        <v>5</v>
      </c>
      <c r="N50" s="2" t="str" cm="1">
        <f t="array" ref="N50">_xlfn.IFS(Table1[[#This Row],[quality]]&lt;=4,"Low",Table1[[#This Row],[quality]]&lt;=6,"Medium",Table1[[#This Row],[quality]]&gt;=7,"High")</f>
        <v>Medium</v>
      </c>
      <c r="O50" s="2" t="str">
        <f>IF(AND(Table1[[#This Row],[fixed acidity]]&gt;Sheet1!$C$4,Table1[[#This Row],[pH]]&lt;Sheet1!$K$4),"High","Normal")</f>
        <v>Normal</v>
      </c>
      <c r="P50" s="1">
        <f>(Table1[[#This Row],[alcohol]]*2)+(Table1[[#This Row],[sulphates]]*1.5)-(Table1[[#This Row],[volatile acidity]]*2)</f>
        <v>18.439999999999998</v>
      </c>
      <c r="Q50" s="1">
        <f>RANK(Table1[[#This Row],[Quality_score_index]],Table1[Quality_score_index],0)</f>
        <v>1397</v>
      </c>
      <c r="R50" s="1">
        <f>Table1[[#This Row],[total sulfur dioxide]]-Table1[[#This Row],[free sulfur dioxide]]</f>
        <v>7</v>
      </c>
      <c r="S50" s="1" t="str">
        <f>IF(AND(Table1[[#This Row],[pH]]&gt;=3.2,Table1[[#This Row],[alcohol]]&gt;=10),"White wine","Red wine")</f>
        <v>Red wine</v>
      </c>
    </row>
    <row r="51" spans="1:19" x14ac:dyDescent="0.3">
      <c r="A51" s="13">
        <v>50</v>
      </c>
      <c r="B51" s="1">
        <v>5.6</v>
      </c>
      <c r="C51" s="1">
        <v>0.31</v>
      </c>
      <c r="D51" s="1">
        <v>0.37</v>
      </c>
      <c r="E51" s="1">
        <v>1.4</v>
      </c>
      <c r="F51" s="1">
        <v>7.3999999999999996E-2</v>
      </c>
      <c r="G51" s="1">
        <v>12</v>
      </c>
      <c r="H51" s="1">
        <v>96</v>
      </c>
      <c r="I51" s="1">
        <v>0.99539999999999995</v>
      </c>
      <c r="J51" s="1">
        <v>3.32</v>
      </c>
      <c r="K51" s="1">
        <v>0.57999999999999996</v>
      </c>
      <c r="L51" s="1">
        <v>9.1999999999999993</v>
      </c>
      <c r="M51" s="2">
        <v>5</v>
      </c>
      <c r="N51" s="2" t="str" cm="1">
        <f t="array" ref="N51">_xlfn.IFS(Table1[[#This Row],[quality]]&lt;=4,"Low",Table1[[#This Row],[quality]]&lt;=6,"Medium",Table1[[#This Row],[quality]]&gt;=7,"High")</f>
        <v>Medium</v>
      </c>
      <c r="O51" s="2" t="str">
        <f>IF(AND(Table1[[#This Row],[fixed acidity]]&gt;Sheet1!$C$4,Table1[[#This Row],[pH]]&lt;Sheet1!$K$4),"High","Normal")</f>
        <v>Normal</v>
      </c>
      <c r="P51" s="1">
        <f>(Table1[[#This Row],[alcohol]]*2)+(Table1[[#This Row],[sulphates]]*1.5)-(Table1[[#This Row],[volatile acidity]]*2)</f>
        <v>18.649999999999999</v>
      </c>
      <c r="Q51" s="1">
        <f>RANK(Table1[[#This Row],[Quality_score_index]],Table1[Quality_score_index],0)</f>
        <v>1321</v>
      </c>
      <c r="R51" s="1">
        <f>Table1[[#This Row],[total sulfur dioxide]]-Table1[[#This Row],[free sulfur dioxide]]</f>
        <v>84</v>
      </c>
      <c r="S51" s="1" t="str">
        <f>IF(AND(Table1[[#This Row],[pH]]&gt;=3.2,Table1[[#This Row],[alcohol]]&gt;=10),"White wine","Red wine")</f>
        <v>Red wine</v>
      </c>
    </row>
    <row r="52" spans="1:19" x14ac:dyDescent="0.3">
      <c r="A52" s="13">
        <v>51</v>
      </c>
      <c r="B52" s="1">
        <v>8.8000000000000007</v>
      </c>
      <c r="C52" s="1">
        <v>0.66</v>
      </c>
      <c r="D52" s="1">
        <v>0.26</v>
      </c>
      <c r="E52" s="1">
        <v>1.7</v>
      </c>
      <c r="F52" s="1">
        <v>7.3999999999999996E-2</v>
      </c>
      <c r="G52" s="1">
        <v>4</v>
      </c>
      <c r="H52" s="1">
        <v>23</v>
      </c>
      <c r="I52" s="1">
        <v>0.99709999999999999</v>
      </c>
      <c r="J52" s="1">
        <v>3.15</v>
      </c>
      <c r="K52" s="1">
        <v>0.74</v>
      </c>
      <c r="L52" s="1">
        <v>9.1999999999999993</v>
      </c>
      <c r="M52" s="2">
        <v>5</v>
      </c>
      <c r="N52" s="2" t="str" cm="1">
        <f t="array" ref="N52">_xlfn.IFS(Table1[[#This Row],[quality]]&lt;=4,"Low",Table1[[#This Row],[quality]]&lt;=6,"Medium",Table1[[#This Row],[quality]]&gt;=7,"High")</f>
        <v>Medium</v>
      </c>
      <c r="O52" s="2" t="str">
        <f>IF(AND(Table1[[#This Row],[fixed acidity]]&gt;Sheet1!$C$4,Table1[[#This Row],[pH]]&lt;Sheet1!$K$4),"High","Normal")</f>
        <v>High</v>
      </c>
      <c r="P52" s="1">
        <f>(Table1[[#This Row],[alcohol]]*2)+(Table1[[#This Row],[sulphates]]*1.5)-(Table1[[#This Row],[volatile acidity]]*2)</f>
        <v>18.189999999999998</v>
      </c>
      <c r="Q52" s="1">
        <f>RANK(Table1[[#This Row],[Quality_score_index]],Table1[Quality_score_index],0)</f>
        <v>1482</v>
      </c>
      <c r="R52" s="1">
        <f>Table1[[#This Row],[total sulfur dioxide]]-Table1[[#This Row],[free sulfur dioxide]]</f>
        <v>19</v>
      </c>
      <c r="S52" s="1" t="str">
        <f>IF(AND(Table1[[#This Row],[pH]]&gt;=3.2,Table1[[#This Row],[alcohol]]&gt;=10),"White wine","Red wine")</f>
        <v>Red wine</v>
      </c>
    </row>
    <row r="53" spans="1:19" x14ac:dyDescent="0.3">
      <c r="A53" s="13">
        <v>52</v>
      </c>
      <c r="B53" s="1">
        <v>6.6</v>
      </c>
      <c r="C53" s="1">
        <v>0.52</v>
      </c>
      <c r="D53" s="1">
        <v>0.04</v>
      </c>
      <c r="E53" s="1">
        <v>2.2000000000000002</v>
      </c>
      <c r="F53" s="1">
        <v>6.9000000000000006E-2</v>
      </c>
      <c r="G53" s="1">
        <v>8</v>
      </c>
      <c r="H53" s="1">
        <v>15</v>
      </c>
      <c r="I53" s="1">
        <v>0.99560000000000004</v>
      </c>
      <c r="J53" s="1">
        <v>3.4</v>
      </c>
      <c r="K53" s="1">
        <v>0.63</v>
      </c>
      <c r="L53" s="1">
        <v>9.4</v>
      </c>
      <c r="M53" s="2">
        <v>6</v>
      </c>
      <c r="N53" s="2" t="str" cm="1">
        <f t="array" ref="N53">_xlfn.IFS(Table1[[#This Row],[quality]]&lt;=4,"Low",Table1[[#This Row],[quality]]&lt;=6,"Medium",Table1[[#This Row],[quality]]&gt;=7,"High")</f>
        <v>Medium</v>
      </c>
      <c r="O53" s="2" t="str">
        <f>IF(AND(Table1[[#This Row],[fixed acidity]]&gt;Sheet1!$C$4,Table1[[#This Row],[pH]]&lt;Sheet1!$K$4),"High","Normal")</f>
        <v>Normal</v>
      </c>
      <c r="P53" s="1">
        <f>(Table1[[#This Row],[alcohol]]*2)+(Table1[[#This Row],[sulphates]]*1.5)-(Table1[[#This Row],[volatile acidity]]*2)</f>
        <v>18.705000000000002</v>
      </c>
      <c r="Q53" s="1">
        <f>RANK(Table1[[#This Row],[Quality_score_index]],Table1[Quality_score_index],0)</f>
        <v>1288</v>
      </c>
      <c r="R53" s="1">
        <f>Table1[[#This Row],[total sulfur dioxide]]-Table1[[#This Row],[free sulfur dioxide]]</f>
        <v>7</v>
      </c>
      <c r="S53" s="1" t="str">
        <f>IF(AND(Table1[[#This Row],[pH]]&gt;=3.2,Table1[[#This Row],[alcohol]]&gt;=10),"White wine","Red wine")</f>
        <v>Red wine</v>
      </c>
    </row>
    <row r="54" spans="1:19" x14ac:dyDescent="0.3">
      <c r="A54" s="13">
        <v>53</v>
      </c>
      <c r="B54" s="1">
        <v>6.6</v>
      </c>
      <c r="C54" s="1">
        <v>0.5</v>
      </c>
      <c r="D54" s="1">
        <v>0.04</v>
      </c>
      <c r="E54" s="1">
        <v>2.1</v>
      </c>
      <c r="F54" s="1">
        <v>6.8000000000000005E-2</v>
      </c>
      <c r="G54" s="1">
        <v>6</v>
      </c>
      <c r="H54" s="1">
        <v>14</v>
      </c>
      <c r="I54" s="1">
        <v>0.99550000000000005</v>
      </c>
      <c r="J54" s="1">
        <v>3.39</v>
      </c>
      <c r="K54" s="1">
        <v>0.64</v>
      </c>
      <c r="L54" s="1">
        <v>9.4</v>
      </c>
      <c r="M54" s="2">
        <v>6</v>
      </c>
      <c r="N54" s="2" t="str" cm="1">
        <f t="array" ref="N54">_xlfn.IFS(Table1[[#This Row],[quality]]&lt;=4,"Low",Table1[[#This Row],[quality]]&lt;=6,"Medium",Table1[[#This Row],[quality]]&gt;=7,"High")</f>
        <v>Medium</v>
      </c>
      <c r="O54" s="2" t="str">
        <f>IF(AND(Table1[[#This Row],[fixed acidity]]&gt;Sheet1!$C$4,Table1[[#This Row],[pH]]&lt;Sheet1!$K$4),"High","Normal")</f>
        <v>Normal</v>
      </c>
      <c r="P54" s="1">
        <f>(Table1[[#This Row],[alcohol]]*2)+(Table1[[#This Row],[sulphates]]*1.5)-(Table1[[#This Row],[volatile acidity]]*2)</f>
        <v>18.760000000000002</v>
      </c>
      <c r="Q54" s="1">
        <f>RANK(Table1[[#This Row],[Quality_score_index]],Table1[Quality_score_index],0)</f>
        <v>1258</v>
      </c>
      <c r="R54" s="1">
        <f>Table1[[#This Row],[total sulfur dioxide]]-Table1[[#This Row],[free sulfur dioxide]]</f>
        <v>8</v>
      </c>
      <c r="S54" s="1" t="str">
        <f>IF(AND(Table1[[#This Row],[pH]]&gt;=3.2,Table1[[#This Row],[alcohol]]&gt;=10),"White wine","Red wine")</f>
        <v>Red wine</v>
      </c>
    </row>
    <row r="55" spans="1:19" x14ac:dyDescent="0.3">
      <c r="A55" s="13">
        <v>54</v>
      </c>
      <c r="B55" s="1">
        <v>8.6</v>
      </c>
      <c r="C55" s="1">
        <v>0.38</v>
      </c>
      <c r="D55" s="1">
        <v>0.36</v>
      </c>
      <c r="E55" s="1">
        <v>3</v>
      </c>
      <c r="F55" s="1">
        <v>8.1000000000000003E-2</v>
      </c>
      <c r="G55" s="1">
        <v>30</v>
      </c>
      <c r="H55" s="1">
        <v>119</v>
      </c>
      <c r="I55" s="1">
        <v>0.997</v>
      </c>
      <c r="J55" s="1">
        <v>3.2</v>
      </c>
      <c r="K55" s="1">
        <v>0.56000000000000005</v>
      </c>
      <c r="L55" s="1">
        <v>9.4</v>
      </c>
      <c r="M55" s="2">
        <v>5</v>
      </c>
      <c r="N55" s="2" t="str" cm="1">
        <f t="array" ref="N55">_xlfn.IFS(Table1[[#This Row],[quality]]&lt;=4,"Low",Table1[[#This Row],[quality]]&lt;=6,"Medium",Table1[[#This Row],[quality]]&gt;=7,"High")</f>
        <v>Medium</v>
      </c>
      <c r="O55" s="2" t="str">
        <f>IF(AND(Table1[[#This Row],[fixed acidity]]&gt;Sheet1!$C$4,Table1[[#This Row],[pH]]&lt;Sheet1!$K$4),"High","Normal")</f>
        <v>High</v>
      </c>
      <c r="P55" s="1">
        <f>(Table1[[#This Row],[alcohol]]*2)+(Table1[[#This Row],[sulphates]]*1.5)-(Table1[[#This Row],[volatile acidity]]*2)</f>
        <v>18.88</v>
      </c>
      <c r="Q55" s="1">
        <f>RANK(Table1[[#This Row],[Quality_score_index]],Table1[Quality_score_index],0)</f>
        <v>1211</v>
      </c>
      <c r="R55" s="1">
        <f>Table1[[#This Row],[total sulfur dioxide]]-Table1[[#This Row],[free sulfur dioxide]]</f>
        <v>89</v>
      </c>
      <c r="S55" s="1" t="str">
        <f>IF(AND(Table1[[#This Row],[pH]]&gt;=3.2,Table1[[#This Row],[alcohol]]&gt;=10),"White wine","Red wine")</f>
        <v>Red wine</v>
      </c>
    </row>
    <row r="56" spans="1:19" x14ac:dyDescent="0.3">
      <c r="A56" s="13">
        <v>55</v>
      </c>
      <c r="B56" s="1">
        <v>7.6</v>
      </c>
      <c r="C56" s="1">
        <v>0.51</v>
      </c>
      <c r="D56" s="1">
        <v>0.15</v>
      </c>
      <c r="E56" s="1">
        <v>2.8</v>
      </c>
      <c r="F56" s="1">
        <v>0.11</v>
      </c>
      <c r="G56" s="1">
        <v>33</v>
      </c>
      <c r="H56" s="1">
        <v>73</v>
      </c>
      <c r="I56" s="1">
        <v>0.99550000000000005</v>
      </c>
      <c r="J56" s="1">
        <v>3.17</v>
      </c>
      <c r="K56" s="1">
        <v>0.63</v>
      </c>
      <c r="L56" s="1">
        <v>10.199999999999999</v>
      </c>
      <c r="M56" s="2">
        <v>6</v>
      </c>
      <c r="N56" s="2" t="str" cm="1">
        <f t="array" ref="N56">_xlfn.IFS(Table1[[#This Row],[quality]]&lt;=4,"Low",Table1[[#This Row],[quality]]&lt;=6,"Medium",Table1[[#This Row],[quality]]&gt;=7,"High")</f>
        <v>Medium</v>
      </c>
      <c r="O56" s="2" t="str">
        <f>IF(AND(Table1[[#This Row],[fixed acidity]]&gt;Sheet1!$C$4,Table1[[#This Row],[pH]]&lt;Sheet1!$K$4),"High","Normal")</f>
        <v>Normal</v>
      </c>
      <c r="P56" s="1">
        <f>(Table1[[#This Row],[alcohol]]*2)+(Table1[[#This Row],[sulphates]]*1.5)-(Table1[[#This Row],[volatile acidity]]*2)</f>
        <v>20.324999999999999</v>
      </c>
      <c r="Q56" s="1">
        <f>RANK(Table1[[#This Row],[Quality_score_index]],Table1[Quality_score_index],0)</f>
        <v>787</v>
      </c>
      <c r="R56" s="1">
        <f>Table1[[#This Row],[total sulfur dioxide]]-Table1[[#This Row],[free sulfur dioxide]]</f>
        <v>40</v>
      </c>
      <c r="S56" s="1" t="str">
        <f>IF(AND(Table1[[#This Row],[pH]]&gt;=3.2,Table1[[#This Row],[alcohol]]&gt;=10),"White wine","Red wine")</f>
        <v>Red wine</v>
      </c>
    </row>
    <row r="57" spans="1:19" x14ac:dyDescent="0.3">
      <c r="A57" s="13">
        <v>56</v>
      </c>
      <c r="B57" s="1">
        <v>7.7</v>
      </c>
      <c r="C57" s="1">
        <v>0.62</v>
      </c>
      <c r="D57" s="1">
        <v>0.04</v>
      </c>
      <c r="E57" s="1">
        <v>3.8</v>
      </c>
      <c r="F57" s="1">
        <v>8.4000000000000005E-2</v>
      </c>
      <c r="G57" s="1">
        <v>25</v>
      </c>
      <c r="H57" s="1">
        <v>45</v>
      </c>
      <c r="I57" s="1">
        <v>0.99780000000000002</v>
      </c>
      <c r="J57" s="1">
        <v>3.34</v>
      </c>
      <c r="K57" s="1">
        <v>0.53</v>
      </c>
      <c r="L57" s="1">
        <v>9.5</v>
      </c>
      <c r="M57" s="2">
        <v>5</v>
      </c>
      <c r="N57" s="2" t="str" cm="1">
        <f t="array" ref="N57">_xlfn.IFS(Table1[[#This Row],[quality]]&lt;=4,"Low",Table1[[#This Row],[quality]]&lt;=6,"Medium",Table1[[#This Row],[quality]]&gt;=7,"High")</f>
        <v>Medium</v>
      </c>
      <c r="O57" s="2" t="str">
        <f>IF(AND(Table1[[#This Row],[fixed acidity]]&gt;Sheet1!$C$4,Table1[[#This Row],[pH]]&lt;Sheet1!$K$4),"High","Normal")</f>
        <v>Normal</v>
      </c>
      <c r="P57" s="1">
        <f>(Table1[[#This Row],[alcohol]]*2)+(Table1[[#This Row],[sulphates]]*1.5)-(Table1[[#This Row],[volatile acidity]]*2)</f>
        <v>18.555000000000003</v>
      </c>
      <c r="Q57" s="1">
        <f>RANK(Table1[[#This Row],[Quality_score_index]],Table1[Quality_score_index],0)</f>
        <v>1357</v>
      </c>
      <c r="R57" s="1">
        <f>Table1[[#This Row],[total sulfur dioxide]]-Table1[[#This Row],[free sulfur dioxide]]</f>
        <v>20</v>
      </c>
      <c r="S57" s="1" t="str">
        <f>IF(AND(Table1[[#This Row],[pH]]&gt;=3.2,Table1[[#This Row],[alcohol]]&gt;=10),"White wine","Red wine")</f>
        <v>Red wine</v>
      </c>
    </row>
    <row r="58" spans="1:19" x14ac:dyDescent="0.3">
      <c r="A58" s="13">
        <v>57</v>
      </c>
      <c r="B58" s="1">
        <v>10.199999999999999</v>
      </c>
      <c r="C58" s="1">
        <v>0.42</v>
      </c>
      <c r="D58" s="1">
        <v>0.56999999999999995</v>
      </c>
      <c r="E58" s="1">
        <v>3.4</v>
      </c>
      <c r="F58" s="1">
        <v>7.0000000000000007E-2</v>
      </c>
      <c r="G58" s="1">
        <v>4</v>
      </c>
      <c r="H58" s="1">
        <v>10</v>
      </c>
      <c r="I58" s="1">
        <v>0.99709999999999999</v>
      </c>
      <c r="J58" s="1">
        <v>3.04</v>
      </c>
      <c r="K58" s="1">
        <v>0.63</v>
      </c>
      <c r="L58" s="1">
        <v>9.6</v>
      </c>
      <c r="M58" s="2">
        <v>5</v>
      </c>
      <c r="N58" s="2" t="str" cm="1">
        <f t="array" ref="N58">_xlfn.IFS(Table1[[#This Row],[quality]]&lt;=4,"Low",Table1[[#This Row],[quality]]&lt;=6,"Medium",Table1[[#This Row],[quality]]&gt;=7,"High")</f>
        <v>Medium</v>
      </c>
      <c r="O58" s="2" t="str">
        <f>IF(AND(Table1[[#This Row],[fixed acidity]]&gt;Sheet1!$C$4,Table1[[#This Row],[pH]]&lt;Sheet1!$K$4),"High","Normal")</f>
        <v>High</v>
      </c>
      <c r="P58" s="1">
        <f>(Table1[[#This Row],[alcohol]]*2)+(Table1[[#This Row],[sulphates]]*1.5)-(Table1[[#This Row],[volatile acidity]]*2)</f>
        <v>19.305</v>
      </c>
      <c r="Q58" s="1">
        <f>RANK(Table1[[#This Row],[Quality_score_index]],Table1[Quality_score_index],0)</f>
        <v>1042</v>
      </c>
      <c r="R58" s="1">
        <f>Table1[[#This Row],[total sulfur dioxide]]-Table1[[#This Row],[free sulfur dioxide]]</f>
        <v>6</v>
      </c>
      <c r="S58" s="1" t="str">
        <f>IF(AND(Table1[[#This Row],[pH]]&gt;=3.2,Table1[[#This Row],[alcohol]]&gt;=10),"White wine","Red wine")</f>
        <v>Red wine</v>
      </c>
    </row>
    <row r="59" spans="1:19" x14ac:dyDescent="0.3">
      <c r="A59" s="13">
        <v>58</v>
      </c>
      <c r="B59" s="1">
        <v>7.5</v>
      </c>
      <c r="C59" s="1">
        <v>0.63</v>
      </c>
      <c r="D59" s="1">
        <v>0.12</v>
      </c>
      <c r="E59" s="1">
        <v>5.0999999999999996</v>
      </c>
      <c r="F59" s="1">
        <v>0.111</v>
      </c>
      <c r="G59" s="1">
        <v>50</v>
      </c>
      <c r="H59" s="1">
        <v>110</v>
      </c>
      <c r="I59" s="1">
        <v>0.99829999999999997</v>
      </c>
      <c r="J59" s="1">
        <v>3.26</v>
      </c>
      <c r="K59" s="1">
        <v>0.77</v>
      </c>
      <c r="L59" s="1">
        <v>9.4</v>
      </c>
      <c r="M59" s="2">
        <v>5</v>
      </c>
      <c r="N59" s="2" t="str" cm="1">
        <f t="array" ref="N59">_xlfn.IFS(Table1[[#This Row],[quality]]&lt;=4,"Low",Table1[[#This Row],[quality]]&lt;=6,"Medium",Table1[[#This Row],[quality]]&gt;=7,"High")</f>
        <v>Medium</v>
      </c>
      <c r="O59" s="2" t="str">
        <f>IF(AND(Table1[[#This Row],[fixed acidity]]&gt;Sheet1!$C$4,Table1[[#This Row],[pH]]&lt;Sheet1!$K$4),"High","Normal")</f>
        <v>Normal</v>
      </c>
      <c r="P59" s="1">
        <f>(Table1[[#This Row],[alcohol]]*2)+(Table1[[#This Row],[sulphates]]*1.5)-(Table1[[#This Row],[volatile acidity]]*2)</f>
        <v>18.695</v>
      </c>
      <c r="Q59" s="1">
        <f>RANK(Table1[[#This Row],[Quality_score_index]],Table1[Quality_score_index],0)</f>
        <v>1294</v>
      </c>
      <c r="R59" s="1">
        <f>Table1[[#This Row],[total sulfur dioxide]]-Table1[[#This Row],[free sulfur dioxide]]</f>
        <v>60</v>
      </c>
      <c r="S59" s="1" t="str">
        <f>IF(AND(Table1[[#This Row],[pH]]&gt;=3.2,Table1[[#This Row],[alcohol]]&gt;=10),"White wine","Red wine")</f>
        <v>Red wine</v>
      </c>
    </row>
    <row r="60" spans="1:19" x14ac:dyDescent="0.3">
      <c r="A60" s="13">
        <v>59</v>
      </c>
      <c r="B60" s="1">
        <v>7.8</v>
      </c>
      <c r="C60" s="1">
        <v>0.59</v>
      </c>
      <c r="D60" s="1">
        <v>0.18</v>
      </c>
      <c r="E60" s="1">
        <v>2.2999999999999998</v>
      </c>
      <c r="F60" s="1">
        <v>7.5999999999999998E-2</v>
      </c>
      <c r="G60" s="1">
        <v>17</v>
      </c>
      <c r="H60" s="1">
        <v>54</v>
      </c>
      <c r="I60" s="1">
        <v>0.99750000000000005</v>
      </c>
      <c r="J60" s="1">
        <v>3.43</v>
      </c>
      <c r="K60" s="1">
        <v>0.59</v>
      </c>
      <c r="L60" s="1">
        <v>10</v>
      </c>
      <c r="M60" s="2">
        <v>5</v>
      </c>
      <c r="N60" s="2" t="str" cm="1">
        <f t="array" ref="N60">_xlfn.IFS(Table1[[#This Row],[quality]]&lt;=4,"Low",Table1[[#This Row],[quality]]&lt;=6,"Medium",Table1[[#This Row],[quality]]&gt;=7,"High")</f>
        <v>Medium</v>
      </c>
      <c r="O60" s="2" t="str">
        <f>IF(AND(Table1[[#This Row],[fixed acidity]]&gt;Sheet1!$C$4,Table1[[#This Row],[pH]]&lt;Sheet1!$K$4),"High","Normal")</f>
        <v>Normal</v>
      </c>
      <c r="P60" s="1">
        <f>(Table1[[#This Row],[alcohol]]*2)+(Table1[[#This Row],[sulphates]]*1.5)-(Table1[[#This Row],[volatile acidity]]*2)</f>
        <v>19.705000000000002</v>
      </c>
      <c r="Q60" s="1">
        <f>RANK(Table1[[#This Row],[Quality_score_index]],Table1[Quality_score_index],0)</f>
        <v>926</v>
      </c>
      <c r="R60" s="1">
        <f>Table1[[#This Row],[total sulfur dioxide]]-Table1[[#This Row],[free sulfur dioxide]]</f>
        <v>37</v>
      </c>
      <c r="S60" s="1" t="str">
        <f>IF(AND(Table1[[#This Row],[pH]]&gt;=3.2,Table1[[#This Row],[alcohol]]&gt;=10),"White wine","Red wine")</f>
        <v>White wine</v>
      </c>
    </row>
    <row r="61" spans="1:19" x14ac:dyDescent="0.3">
      <c r="A61" s="13">
        <v>60</v>
      </c>
      <c r="B61" s="1">
        <v>7.3</v>
      </c>
      <c r="C61" s="1">
        <v>0.39</v>
      </c>
      <c r="D61" s="1">
        <v>0.31</v>
      </c>
      <c r="E61" s="1">
        <v>2.4</v>
      </c>
      <c r="F61" s="1">
        <v>7.3999999999999996E-2</v>
      </c>
      <c r="G61" s="1">
        <v>9</v>
      </c>
      <c r="H61" s="1">
        <v>46</v>
      </c>
      <c r="I61" s="1">
        <v>0.99619999999999997</v>
      </c>
      <c r="J61" s="1">
        <v>3.41</v>
      </c>
      <c r="K61" s="1">
        <v>0.54</v>
      </c>
      <c r="L61" s="1">
        <v>9.4</v>
      </c>
      <c r="M61" s="2">
        <v>6</v>
      </c>
      <c r="N61" s="2" t="str" cm="1">
        <f t="array" ref="N61">_xlfn.IFS(Table1[[#This Row],[quality]]&lt;=4,"Low",Table1[[#This Row],[quality]]&lt;=6,"Medium",Table1[[#This Row],[quality]]&gt;=7,"High")</f>
        <v>Medium</v>
      </c>
      <c r="O61" s="2" t="str">
        <f>IF(AND(Table1[[#This Row],[fixed acidity]]&gt;Sheet1!$C$4,Table1[[#This Row],[pH]]&lt;Sheet1!$K$4),"High","Normal")</f>
        <v>Normal</v>
      </c>
      <c r="P61" s="1">
        <f>(Table1[[#This Row],[alcohol]]*2)+(Table1[[#This Row],[sulphates]]*1.5)-(Table1[[#This Row],[volatile acidity]]*2)</f>
        <v>18.829999999999998</v>
      </c>
      <c r="Q61" s="1">
        <f>RANK(Table1[[#This Row],[Quality_score_index]],Table1[Quality_score_index],0)</f>
        <v>1235</v>
      </c>
      <c r="R61" s="1">
        <f>Table1[[#This Row],[total sulfur dioxide]]-Table1[[#This Row],[free sulfur dioxide]]</f>
        <v>37</v>
      </c>
      <c r="S61" s="1" t="str">
        <f>IF(AND(Table1[[#This Row],[pH]]&gt;=3.2,Table1[[#This Row],[alcohol]]&gt;=10),"White wine","Red wine")</f>
        <v>Red wine</v>
      </c>
    </row>
    <row r="62" spans="1:19" x14ac:dyDescent="0.3">
      <c r="A62" s="13">
        <v>61</v>
      </c>
      <c r="B62" s="1">
        <v>8.8000000000000007</v>
      </c>
      <c r="C62" s="1">
        <v>0.4</v>
      </c>
      <c r="D62" s="1">
        <v>0.4</v>
      </c>
      <c r="E62" s="1">
        <v>2.2000000000000002</v>
      </c>
      <c r="F62" s="1">
        <v>7.9000000000000001E-2</v>
      </c>
      <c r="G62" s="1">
        <v>19</v>
      </c>
      <c r="H62" s="1">
        <v>52</v>
      </c>
      <c r="I62" s="1">
        <v>0.998</v>
      </c>
      <c r="J62" s="1">
        <v>3.44</v>
      </c>
      <c r="K62" s="1">
        <v>0.64</v>
      </c>
      <c r="L62" s="1">
        <v>9.1999999999999993</v>
      </c>
      <c r="M62" s="2">
        <v>5</v>
      </c>
      <c r="N62" s="2" t="str" cm="1">
        <f t="array" ref="N62">_xlfn.IFS(Table1[[#This Row],[quality]]&lt;=4,"Low",Table1[[#This Row],[quality]]&lt;=6,"Medium",Table1[[#This Row],[quality]]&gt;=7,"High")</f>
        <v>Medium</v>
      </c>
      <c r="O62" s="2" t="str">
        <f>IF(AND(Table1[[#This Row],[fixed acidity]]&gt;Sheet1!$C$4,Table1[[#This Row],[pH]]&lt;Sheet1!$K$4),"High","Normal")</f>
        <v>Normal</v>
      </c>
      <c r="P62" s="1">
        <f>(Table1[[#This Row],[alcohol]]*2)+(Table1[[#This Row],[sulphates]]*1.5)-(Table1[[#This Row],[volatile acidity]]*2)</f>
        <v>18.559999999999999</v>
      </c>
      <c r="Q62" s="1">
        <f>RANK(Table1[[#This Row],[Quality_score_index]],Table1[Quality_score_index],0)</f>
        <v>1355</v>
      </c>
      <c r="R62" s="1">
        <f>Table1[[#This Row],[total sulfur dioxide]]-Table1[[#This Row],[free sulfur dioxide]]</f>
        <v>33</v>
      </c>
      <c r="S62" s="1" t="str">
        <f>IF(AND(Table1[[#This Row],[pH]]&gt;=3.2,Table1[[#This Row],[alcohol]]&gt;=10),"White wine","Red wine")</f>
        <v>Red wine</v>
      </c>
    </row>
    <row r="63" spans="1:19" x14ac:dyDescent="0.3">
      <c r="A63" s="13">
        <v>62</v>
      </c>
      <c r="B63" s="1">
        <v>7.7</v>
      </c>
      <c r="C63" s="1">
        <v>0.69</v>
      </c>
      <c r="D63" s="1">
        <v>0.49</v>
      </c>
      <c r="E63" s="1">
        <v>1.8</v>
      </c>
      <c r="F63" s="1">
        <v>0.115</v>
      </c>
      <c r="G63" s="1">
        <v>20</v>
      </c>
      <c r="H63" s="1">
        <v>112</v>
      </c>
      <c r="I63" s="1">
        <v>0.99680000000000002</v>
      </c>
      <c r="J63" s="1">
        <v>3.21</v>
      </c>
      <c r="K63" s="1">
        <v>0.71</v>
      </c>
      <c r="L63" s="1">
        <v>9.3000000000000007</v>
      </c>
      <c r="M63" s="2">
        <v>5</v>
      </c>
      <c r="N63" s="2" t="str" cm="1">
        <f t="array" ref="N63">_xlfn.IFS(Table1[[#This Row],[quality]]&lt;=4,"Low",Table1[[#This Row],[quality]]&lt;=6,"Medium",Table1[[#This Row],[quality]]&gt;=7,"High")</f>
        <v>Medium</v>
      </c>
      <c r="O63" s="2" t="str">
        <f>IF(AND(Table1[[#This Row],[fixed acidity]]&gt;Sheet1!$C$4,Table1[[#This Row],[pH]]&lt;Sheet1!$K$4),"High","Normal")</f>
        <v>Normal</v>
      </c>
      <c r="P63" s="1">
        <f>(Table1[[#This Row],[alcohol]]*2)+(Table1[[#This Row],[sulphates]]*1.5)-(Table1[[#This Row],[volatile acidity]]*2)</f>
        <v>18.285000000000004</v>
      </c>
      <c r="Q63" s="1">
        <f>RANK(Table1[[#This Row],[Quality_score_index]],Table1[Quality_score_index],0)</f>
        <v>1456</v>
      </c>
      <c r="R63" s="1">
        <f>Table1[[#This Row],[total sulfur dioxide]]-Table1[[#This Row],[free sulfur dioxide]]</f>
        <v>92</v>
      </c>
      <c r="S63" s="1" t="str">
        <f>IF(AND(Table1[[#This Row],[pH]]&gt;=3.2,Table1[[#This Row],[alcohol]]&gt;=10),"White wine","Red wine")</f>
        <v>Red wine</v>
      </c>
    </row>
    <row r="64" spans="1:19" x14ac:dyDescent="0.3">
      <c r="A64" s="13">
        <v>63</v>
      </c>
      <c r="B64" s="1">
        <v>7.5</v>
      </c>
      <c r="C64" s="1">
        <v>0.52</v>
      </c>
      <c r="D64" s="1">
        <v>0.16</v>
      </c>
      <c r="E64" s="1">
        <v>1.9</v>
      </c>
      <c r="F64" s="1">
        <v>8.5000000000000006E-2</v>
      </c>
      <c r="G64" s="1">
        <v>12</v>
      </c>
      <c r="H64" s="1">
        <v>35</v>
      </c>
      <c r="I64" s="1">
        <v>0.99680000000000002</v>
      </c>
      <c r="J64" s="1">
        <v>3.38</v>
      </c>
      <c r="K64" s="1">
        <v>0.62</v>
      </c>
      <c r="L64" s="1">
        <v>9.5</v>
      </c>
      <c r="M64" s="2">
        <v>7</v>
      </c>
      <c r="N64" s="2" t="str" cm="1">
        <f t="array" ref="N64">_xlfn.IFS(Table1[[#This Row],[quality]]&lt;=4,"Low",Table1[[#This Row],[quality]]&lt;=6,"Medium",Table1[[#This Row],[quality]]&gt;=7,"High")</f>
        <v>High</v>
      </c>
      <c r="O64" s="2" t="str">
        <f>IF(AND(Table1[[#This Row],[fixed acidity]]&gt;Sheet1!$C$4,Table1[[#This Row],[pH]]&lt;Sheet1!$K$4),"High","Normal")</f>
        <v>Normal</v>
      </c>
      <c r="P64" s="1">
        <f>(Table1[[#This Row],[alcohol]]*2)+(Table1[[#This Row],[sulphates]]*1.5)-(Table1[[#This Row],[volatile acidity]]*2)</f>
        <v>18.89</v>
      </c>
      <c r="Q64" s="1">
        <f>RANK(Table1[[#This Row],[Quality_score_index]],Table1[Quality_score_index],0)</f>
        <v>1208</v>
      </c>
      <c r="R64" s="1">
        <f>Table1[[#This Row],[total sulfur dioxide]]-Table1[[#This Row],[free sulfur dioxide]]</f>
        <v>23</v>
      </c>
      <c r="S64" s="1" t="str">
        <f>IF(AND(Table1[[#This Row],[pH]]&gt;=3.2,Table1[[#This Row],[alcohol]]&gt;=10),"White wine","Red wine")</f>
        <v>Red wine</v>
      </c>
    </row>
    <row r="65" spans="1:19" x14ac:dyDescent="0.3">
      <c r="A65" s="13">
        <v>64</v>
      </c>
      <c r="B65" s="1">
        <v>7</v>
      </c>
      <c r="C65" s="1">
        <v>0.73499999999999999</v>
      </c>
      <c r="D65" s="1">
        <v>0.05</v>
      </c>
      <c r="E65" s="1">
        <v>2</v>
      </c>
      <c r="F65" s="1">
        <v>8.1000000000000003E-2</v>
      </c>
      <c r="G65" s="1">
        <v>13</v>
      </c>
      <c r="H65" s="1">
        <v>54</v>
      </c>
      <c r="I65" s="1">
        <v>0.99660000000000004</v>
      </c>
      <c r="J65" s="1">
        <v>3.39</v>
      </c>
      <c r="K65" s="1">
        <v>0.56999999999999995</v>
      </c>
      <c r="L65" s="1">
        <v>9.8000000000000007</v>
      </c>
      <c r="M65" s="2">
        <v>5</v>
      </c>
      <c r="N65" s="2" t="str" cm="1">
        <f t="array" ref="N65">_xlfn.IFS(Table1[[#This Row],[quality]]&lt;=4,"Low",Table1[[#This Row],[quality]]&lt;=6,"Medium",Table1[[#This Row],[quality]]&gt;=7,"High")</f>
        <v>Medium</v>
      </c>
      <c r="O65" s="2" t="str">
        <f>IF(AND(Table1[[#This Row],[fixed acidity]]&gt;Sheet1!$C$4,Table1[[#This Row],[pH]]&lt;Sheet1!$K$4),"High","Normal")</f>
        <v>Normal</v>
      </c>
      <c r="P65" s="1">
        <f>(Table1[[#This Row],[alcohol]]*2)+(Table1[[#This Row],[sulphates]]*1.5)-(Table1[[#This Row],[volatile acidity]]*2)</f>
        <v>18.985000000000003</v>
      </c>
      <c r="Q65" s="1">
        <f>RANK(Table1[[#This Row],[Quality_score_index]],Table1[Quality_score_index],0)</f>
        <v>1170</v>
      </c>
      <c r="R65" s="1">
        <f>Table1[[#This Row],[total sulfur dioxide]]-Table1[[#This Row],[free sulfur dioxide]]</f>
        <v>41</v>
      </c>
      <c r="S65" s="1" t="str">
        <f>IF(AND(Table1[[#This Row],[pH]]&gt;=3.2,Table1[[#This Row],[alcohol]]&gt;=10),"White wine","Red wine")</f>
        <v>Red wine</v>
      </c>
    </row>
    <row r="66" spans="1:19" x14ac:dyDescent="0.3">
      <c r="A66" s="13">
        <v>65</v>
      </c>
      <c r="B66" s="1">
        <v>7.2</v>
      </c>
      <c r="C66" s="1">
        <v>0.72499999999999998</v>
      </c>
      <c r="D66" s="1">
        <v>0.05</v>
      </c>
      <c r="E66" s="1">
        <v>4.6500000000000004</v>
      </c>
      <c r="F66" s="1">
        <v>8.5999999999999993E-2</v>
      </c>
      <c r="G66" s="1">
        <v>4</v>
      </c>
      <c r="H66" s="1">
        <v>11</v>
      </c>
      <c r="I66" s="1">
        <v>0.99619999999999997</v>
      </c>
      <c r="J66" s="1">
        <v>3.41</v>
      </c>
      <c r="K66" s="1">
        <v>0.39</v>
      </c>
      <c r="L66" s="1">
        <v>10.9</v>
      </c>
      <c r="M66" s="2">
        <v>5</v>
      </c>
      <c r="N66" s="2" t="str" cm="1">
        <f t="array" ref="N66">_xlfn.IFS(Table1[[#This Row],[quality]]&lt;=4,"Low",Table1[[#This Row],[quality]]&lt;=6,"Medium",Table1[[#This Row],[quality]]&gt;=7,"High")</f>
        <v>Medium</v>
      </c>
      <c r="O66" s="2" t="str">
        <f>IF(AND(Table1[[#This Row],[fixed acidity]]&gt;Sheet1!$C$4,Table1[[#This Row],[pH]]&lt;Sheet1!$K$4),"High","Normal")</f>
        <v>Normal</v>
      </c>
      <c r="P66" s="1">
        <f>(Table1[[#This Row],[alcohol]]*2)+(Table1[[#This Row],[sulphates]]*1.5)-(Table1[[#This Row],[volatile acidity]]*2)</f>
        <v>20.935000000000002</v>
      </c>
      <c r="Q66" s="1">
        <f>RANK(Table1[[#This Row],[Quality_score_index]],Table1[Quality_score_index],0)</f>
        <v>665</v>
      </c>
      <c r="R66" s="1">
        <f>Table1[[#This Row],[total sulfur dioxide]]-Table1[[#This Row],[free sulfur dioxide]]</f>
        <v>7</v>
      </c>
      <c r="S66" s="1" t="str">
        <f>IF(AND(Table1[[#This Row],[pH]]&gt;=3.2,Table1[[#This Row],[alcohol]]&gt;=10),"White wine","Red wine")</f>
        <v>White wine</v>
      </c>
    </row>
    <row r="67" spans="1:19" x14ac:dyDescent="0.3">
      <c r="A67" s="13">
        <v>66</v>
      </c>
      <c r="B67" s="1">
        <v>7.2</v>
      </c>
      <c r="C67" s="1">
        <v>0.72499999999999998</v>
      </c>
      <c r="D67" s="1">
        <v>0.05</v>
      </c>
      <c r="E67" s="1">
        <v>4.6500000000000004</v>
      </c>
      <c r="F67" s="1">
        <v>8.5999999999999993E-2</v>
      </c>
      <c r="G67" s="1">
        <v>4</v>
      </c>
      <c r="H67" s="1">
        <v>11</v>
      </c>
      <c r="I67" s="1">
        <v>0.99619999999999997</v>
      </c>
      <c r="J67" s="1">
        <v>3.41</v>
      </c>
      <c r="K67" s="1">
        <v>0.39</v>
      </c>
      <c r="L67" s="1">
        <v>10.9</v>
      </c>
      <c r="M67" s="2">
        <v>5</v>
      </c>
      <c r="N67" s="2" t="str" cm="1">
        <f t="array" ref="N67">_xlfn.IFS(Table1[[#This Row],[quality]]&lt;=4,"Low",Table1[[#This Row],[quality]]&lt;=6,"Medium",Table1[[#This Row],[quality]]&gt;=7,"High")</f>
        <v>Medium</v>
      </c>
      <c r="O67" s="2" t="str">
        <f>IF(AND(Table1[[#This Row],[fixed acidity]]&gt;Sheet1!$C$4,Table1[[#This Row],[pH]]&lt;Sheet1!$K$4),"High","Normal")</f>
        <v>Normal</v>
      </c>
      <c r="P67" s="1">
        <f>(Table1[[#This Row],[alcohol]]*2)+(Table1[[#This Row],[sulphates]]*1.5)-(Table1[[#This Row],[volatile acidity]]*2)</f>
        <v>20.935000000000002</v>
      </c>
      <c r="Q67" s="1">
        <f>RANK(Table1[[#This Row],[Quality_score_index]],Table1[Quality_score_index],0)</f>
        <v>665</v>
      </c>
      <c r="R67" s="1">
        <f>Table1[[#This Row],[total sulfur dioxide]]-Table1[[#This Row],[free sulfur dioxide]]</f>
        <v>7</v>
      </c>
      <c r="S67" s="1" t="str">
        <f>IF(AND(Table1[[#This Row],[pH]]&gt;=3.2,Table1[[#This Row],[alcohol]]&gt;=10),"White wine","Red wine")</f>
        <v>White wine</v>
      </c>
    </row>
    <row r="68" spans="1:19" x14ac:dyDescent="0.3">
      <c r="A68" s="13">
        <v>67</v>
      </c>
      <c r="B68" s="1">
        <v>7.5</v>
      </c>
      <c r="C68" s="1">
        <v>0.52</v>
      </c>
      <c r="D68" s="1">
        <v>0.11</v>
      </c>
      <c r="E68" s="1">
        <v>1.5</v>
      </c>
      <c r="F68" s="1">
        <v>7.9000000000000001E-2</v>
      </c>
      <c r="G68" s="1">
        <v>11</v>
      </c>
      <c r="H68" s="1">
        <v>39</v>
      </c>
      <c r="I68" s="1">
        <v>0.99680000000000002</v>
      </c>
      <c r="J68" s="1">
        <v>3.42</v>
      </c>
      <c r="K68" s="1">
        <v>0.57999999999999996</v>
      </c>
      <c r="L68" s="1">
        <v>9.6</v>
      </c>
      <c r="M68" s="2">
        <v>5</v>
      </c>
      <c r="N68" s="2" t="str" cm="1">
        <f t="array" ref="N68">_xlfn.IFS(Table1[[#This Row],[quality]]&lt;=4,"Low",Table1[[#This Row],[quality]]&lt;=6,"Medium",Table1[[#This Row],[quality]]&gt;=7,"High")</f>
        <v>Medium</v>
      </c>
      <c r="O68" s="2" t="str">
        <f>IF(AND(Table1[[#This Row],[fixed acidity]]&gt;Sheet1!$C$4,Table1[[#This Row],[pH]]&lt;Sheet1!$K$4),"High","Normal")</f>
        <v>Normal</v>
      </c>
      <c r="P68" s="1">
        <f>(Table1[[#This Row],[alcohol]]*2)+(Table1[[#This Row],[sulphates]]*1.5)-(Table1[[#This Row],[volatile acidity]]*2)</f>
        <v>19.03</v>
      </c>
      <c r="Q68" s="1">
        <f>RANK(Table1[[#This Row],[Quality_score_index]],Table1[Quality_score_index],0)</f>
        <v>1152</v>
      </c>
      <c r="R68" s="1">
        <f>Table1[[#This Row],[total sulfur dioxide]]-Table1[[#This Row],[free sulfur dioxide]]</f>
        <v>28</v>
      </c>
      <c r="S68" s="1" t="str">
        <f>IF(AND(Table1[[#This Row],[pH]]&gt;=3.2,Table1[[#This Row],[alcohol]]&gt;=10),"White wine","Red wine")</f>
        <v>Red wine</v>
      </c>
    </row>
    <row r="69" spans="1:19" x14ac:dyDescent="0.3">
      <c r="A69" s="13">
        <v>68</v>
      </c>
      <c r="B69" s="1">
        <v>6.6</v>
      </c>
      <c r="C69" s="1">
        <v>0.70499999999999996</v>
      </c>
      <c r="D69" s="1">
        <v>7.0000000000000007E-2</v>
      </c>
      <c r="E69" s="1">
        <v>1.6</v>
      </c>
      <c r="F69" s="1">
        <v>7.5999999999999998E-2</v>
      </c>
      <c r="G69" s="1">
        <v>6</v>
      </c>
      <c r="H69" s="1">
        <v>15</v>
      </c>
      <c r="I69" s="1">
        <v>0.99619999999999997</v>
      </c>
      <c r="J69" s="1">
        <v>3.44</v>
      </c>
      <c r="K69" s="1">
        <v>0.57999999999999996</v>
      </c>
      <c r="L69" s="1">
        <v>10.7</v>
      </c>
      <c r="M69" s="2">
        <v>5</v>
      </c>
      <c r="N69" s="2" t="str" cm="1">
        <f t="array" ref="N69">_xlfn.IFS(Table1[[#This Row],[quality]]&lt;=4,"Low",Table1[[#This Row],[quality]]&lt;=6,"Medium",Table1[[#This Row],[quality]]&gt;=7,"High")</f>
        <v>Medium</v>
      </c>
      <c r="O69" s="2" t="str">
        <f>IF(AND(Table1[[#This Row],[fixed acidity]]&gt;Sheet1!$C$4,Table1[[#This Row],[pH]]&lt;Sheet1!$K$4),"High","Normal")</f>
        <v>Normal</v>
      </c>
      <c r="P69" s="1">
        <f>(Table1[[#This Row],[alcohol]]*2)+(Table1[[#This Row],[sulphates]]*1.5)-(Table1[[#This Row],[volatile acidity]]*2)</f>
        <v>20.86</v>
      </c>
      <c r="Q69" s="1">
        <f>RANK(Table1[[#This Row],[Quality_score_index]],Table1[Quality_score_index],0)</f>
        <v>683</v>
      </c>
      <c r="R69" s="1">
        <f>Table1[[#This Row],[total sulfur dioxide]]-Table1[[#This Row],[free sulfur dioxide]]</f>
        <v>9</v>
      </c>
      <c r="S69" s="1" t="str">
        <f>IF(AND(Table1[[#This Row],[pH]]&gt;=3.2,Table1[[#This Row],[alcohol]]&gt;=10),"White wine","Red wine")</f>
        <v>White wine</v>
      </c>
    </row>
    <row r="70" spans="1:19" x14ac:dyDescent="0.3">
      <c r="A70" s="13">
        <v>69</v>
      </c>
      <c r="B70" s="1">
        <v>9.3000000000000007</v>
      </c>
      <c r="C70" s="1">
        <v>0.32</v>
      </c>
      <c r="D70" s="1">
        <v>0.56999999999999995</v>
      </c>
      <c r="E70" s="1">
        <v>2</v>
      </c>
      <c r="F70" s="1">
        <v>7.3999999999999996E-2</v>
      </c>
      <c r="G70" s="1">
        <v>27</v>
      </c>
      <c r="H70" s="1">
        <v>65</v>
      </c>
      <c r="I70" s="1">
        <v>0.99690000000000001</v>
      </c>
      <c r="J70" s="1">
        <v>3.28</v>
      </c>
      <c r="K70" s="1">
        <v>0.79</v>
      </c>
      <c r="L70" s="1">
        <v>10.7</v>
      </c>
      <c r="M70" s="2">
        <v>5</v>
      </c>
      <c r="N70" s="2" t="str" cm="1">
        <f t="array" ref="N70">_xlfn.IFS(Table1[[#This Row],[quality]]&lt;=4,"Low",Table1[[#This Row],[quality]]&lt;=6,"Medium",Table1[[#This Row],[quality]]&gt;=7,"High")</f>
        <v>Medium</v>
      </c>
      <c r="O70" s="2" t="str">
        <f>IF(AND(Table1[[#This Row],[fixed acidity]]&gt;Sheet1!$C$4,Table1[[#This Row],[pH]]&lt;Sheet1!$K$4),"High","Normal")</f>
        <v>High</v>
      </c>
      <c r="P70" s="1">
        <f>(Table1[[#This Row],[alcohol]]*2)+(Table1[[#This Row],[sulphates]]*1.5)-(Table1[[#This Row],[volatile acidity]]*2)</f>
        <v>21.944999999999997</v>
      </c>
      <c r="Q70" s="1">
        <f>RANK(Table1[[#This Row],[Quality_score_index]],Table1[Quality_score_index],0)</f>
        <v>464</v>
      </c>
      <c r="R70" s="1">
        <f>Table1[[#This Row],[total sulfur dioxide]]-Table1[[#This Row],[free sulfur dioxide]]</f>
        <v>38</v>
      </c>
      <c r="S70" s="1" t="str">
        <f>IF(AND(Table1[[#This Row],[pH]]&gt;=3.2,Table1[[#This Row],[alcohol]]&gt;=10),"White wine","Red wine")</f>
        <v>White wine</v>
      </c>
    </row>
    <row r="71" spans="1:19" x14ac:dyDescent="0.3">
      <c r="A71" s="13">
        <v>70</v>
      </c>
      <c r="B71" s="1">
        <v>8</v>
      </c>
      <c r="C71" s="1">
        <v>0.70499999999999996</v>
      </c>
      <c r="D71" s="1">
        <v>0.05</v>
      </c>
      <c r="E71" s="1">
        <v>1.9</v>
      </c>
      <c r="F71" s="1">
        <v>7.3999999999999996E-2</v>
      </c>
      <c r="G71" s="1">
        <v>8</v>
      </c>
      <c r="H71" s="1">
        <v>19</v>
      </c>
      <c r="I71" s="1">
        <v>0.99619999999999997</v>
      </c>
      <c r="J71" s="1">
        <v>3.34</v>
      </c>
      <c r="K71" s="1">
        <v>0.95</v>
      </c>
      <c r="L71" s="1">
        <v>10.5</v>
      </c>
      <c r="M71" s="2">
        <v>6</v>
      </c>
      <c r="N71" s="2" t="str" cm="1">
        <f t="array" ref="N71">_xlfn.IFS(Table1[[#This Row],[quality]]&lt;=4,"Low",Table1[[#This Row],[quality]]&lt;=6,"Medium",Table1[[#This Row],[quality]]&gt;=7,"High")</f>
        <v>Medium</v>
      </c>
      <c r="O71" s="2" t="str">
        <f>IF(AND(Table1[[#This Row],[fixed acidity]]&gt;Sheet1!$C$4,Table1[[#This Row],[pH]]&lt;Sheet1!$K$4),"High","Normal")</f>
        <v>Normal</v>
      </c>
      <c r="P71" s="1">
        <f>(Table1[[#This Row],[alcohol]]*2)+(Table1[[#This Row],[sulphates]]*1.5)-(Table1[[#This Row],[volatile acidity]]*2)</f>
        <v>21.015000000000001</v>
      </c>
      <c r="Q71" s="1">
        <f>RANK(Table1[[#This Row],[Quality_score_index]],Table1[Quality_score_index],0)</f>
        <v>649</v>
      </c>
      <c r="R71" s="1">
        <f>Table1[[#This Row],[total sulfur dioxide]]-Table1[[#This Row],[free sulfur dioxide]]</f>
        <v>11</v>
      </c>
      <c r="S71" s="1" t="str">
        <f>IF(AND(Table1[[#This Row],[pH]]&gt;=3.2,Table1[[#This Row],[alcohol]]&gt;=10),"White wine","Red wine")</f>
        <v>White wine</v>
      </c>
    </row>
    <row r="72" spans="1:19" x14ac:dyDescent="0.3">
      <c r="A72" s="13">
        <v>71</v>
      </c>
      <c r="B72" s="1">
        <v>7.7</v>
      </c>
      <c r="C72" s="1">
        <v>0.63</v>
      </c>
      <c r="D72" s="1">
        <v>0.08</v>
      </c>
      <c r="E72" s="1">
        <v>1.9</v>
      </c>
      <c r="F72" s="1">
        <v>7.5999999999999998E-2</v>
      </c>
      <c r="G72" s="1">
        <v>15</v>
      </c>
      <c r="H72" s="1">
        <v>27</v>
      </c>
      <c r="I72" s="1">
        <v>0.99670000000000003</v>
      </c>
      <c r="J72" s="1">
        <v>3.32</v>
      </c>
      <c r="K72" s="1">
        <v>0.54</v>
      </c>
      <c r="L72" s="1">
        <v>9.5</v>
      </c>
      <c r="M72" s="2">
        <v>6</v>
      </c>
      <c r="N72" s="2" t="str" cm="1">
        <f t="array" ref="N72">_xlfn.IFS(Table1[[#This Row],[quality]]&lt;=4,"Low",Table1[[#This Row],[quality]]&lt;=6,"Medium",Table1[[#This Row],[quality]]&gt;=7,"High")</f>
        <v>Medium</v>
      </c>
      <c r="O72" s="2" t="str">
        <f>IF(AND(Table1[[#This Row],[fixed acidity]]&gt;Sheet1!$C$4,Table1[[#This Row],[pH]]&lt;Sheet1!$K$4),"High","Normal")</f>
        <v>Normal</v>
      </c>
      <c r="P72" s="1">
        <f>(Table1[[#This Row],[alcohol]]*2)+(Table1[[#This Row],[sulphates]]*1.5)-(Table1[[#This Row],[volatile acidity]]*2)</f>
        <v>18.549999999999997</v>
      </c>
      <c r="Q72" s="1">
        <f>RANK(Table1[[#This Row],[Quality_score_index]],Table1[Quality_score_index],0)</f>
        <v>1361</v>
      </c>
      <c r="R72" s="1">
        <f>Table1[[#This Row],[total sulfur dioxide]]-Table1[[#This Row],[free sulfur dioxide]]</f>
        <v>12</v>
      </c>
      <c r="S72" s="1" t="str">
        <f>IF(AND(Table1[[#This Row],[pH]]&gt;=3.2,Table1[[#This Row],[alcohol]]&gt;=10),"White wine","Red wine")</f>
        <v>Red wine</v>
      </c>
    </row>
    <row r="73" spans="1:19" x14ac:dyDescent="0.3">
      <c r="A73" s="13">
        <v>72</v>
      </c>
      <c r="B73" s="1">
        <v>7.7</v>
      </c>
      <c r="C73" s="1">
        <v>0.67</v>
      </c>
      <c r="D73" s="1">
        <v>0.23</v>
      </c>
      <c r="E73" s="1">
        <v>2.1</v>
      </c>
      <c r="F73" s="1">
        <v>8.7999999999999995E-2</v>
      </c>
      <c r="G73" s="1">
        <v>17</v>
      </c>
      <c r="H73" s="1">
        <v>96</v>
      </c>
      <c r="I73" s="1">
        <v>0.99619999999999997</v>
      </c>
      <c r="J73" s="1">
        <v>3.32</v>
      </c>
      <c r="K73" s="1">
        <v>0.48</v>
      </c>
      <c r="L73" s="1">
        <v>9.5</v>
      </c>
      <c r="M73" s="2">
        <v>5</v>
      </c>
      <c r="N73" s="2" t="str" cm="1">
        <f t="array" ref="N73">_xlfn.IFS(Table1[[#This Row],[quality]]&lt;=4,"Low",Table1[[#This Row],[quality]]&lt;=6,"Medium",Table1[[#This Row],[quality]]&gt;=7,"High")</f>
        <v>Medium</v>
      </c>
      <c r="O73" s="2" t="str">
        <f>IF(AND(Table1[[#This Row],[fixed acidity]]&gt;Sheet1!$C$4,Table1[[#This Row],[pH]]&lt;Sheet1!$K$4),"High","Normal")</f>
        <v>Normal</v>
      </c>
      <c r="P73" s="1">
        <f>(Table1[[#This Row],[alcohol]]*2)+(Table1[[#This Row],[sulphates]]*1.5)-(Table1[[#This Row],[volatile acidity]]*2)</f>
        <v>18.38</v>
      </c>
      <c r="Q73" s="1">
        <f>RANK(Table1[[#This Row],[Quality_score_index]],Table1[Quality_score_index],0)</f>
        <v>1424</v>
      </c>
      <c r="R73" s="1">
        <f>Table1[[#This Row],[total sulfur dioxide]]-Table1[[#This Row],[free sulfur dioxide]]</f>
        <v>79</v>
      </c>
      <c r="S73" s="1" t="str">
        <f>IF(AND(Table1[[#This Row],[pH]]&gt;=3.2,Table1[[#This Row],[alcohol]]&gt;=10),"White wine","Red wine")</f>
        <v>Red wine</v>
      </c>
    </row>
    <row r="74" spans="1:19" x14ac:dyDescent="0.3">
      <c r="A74" s="13">
        <v>73</v>
      </c>
      <c r="B74" s="1">
        <v>7.7</v>
      </c>
      <c r="C74" s="1">
        <v>0.69</v>
      </c>
      <c r="D74" s="1">
        <v>0.22</v>
      </c>
      <c r="E74" s="1">
        <v>1.9</v>
      </c>
      <c r="F74" s="1">
        <v>8.4000000000000005E-2</v>
      </c>
      <c r="G74" s="1">
        <v>18</v>
      </c>
      <c r="H74" s="1">
        <v>94</v>
      </c>
      <c r="I74" s="1">
        <v>0.99609999999999999</v>
      </c>
      <c r="J74" s="1">
        <v>3.31</v>
      </c>
      <c r="K74" s="1">
        <v>0.48</v>
      </c>
      <c r="L74" s="1">
        <v>9.5</v>
      </c>
      <c r="M74" s="2">
        <v>5</v>
      </c>
      <c r="N74" s="2" t="str" cm="1">
        <f t="array" ref="N74">_xlfn.IFS(Table1[[#This Row],[quality]]&lt;=4,"Low",Table1[[#This Row],[quality]]&lt;=6,"Medium",Table1[[#This Row],[quality]]&gt;=7,"High")</f>
        <v>Medium</v>
      </c>
      <c r="O74" s="2" t="str">
        <f>IF(AND(Table1[[#This Row],[fixed acidity]]&gt;Sheet1!$C$4,Table1[[#This Row],[pH]]&lt;Sheet1!$K$4),"High","Normal")</f>
        <v>Normal</v>
      </c>
      <c r="P74" s="1">
        <f>(Table1[[#This Row],[alcohol]]*2)+(Table1[[#This Row],[sulphates]]*1.5)-(Table1[[#This Row],[volatile acidity]]*2)</f>
        <v>18.34</v>
      </c>
      <c r="Q74" s="1">
        <f>RANK(Table1[[#This Row],[Quality_score_index]],Table1[Quality_score_index],0)</f>
        <v>1440</v>
      </c>
      <c r="R74" s="1">
        <f>Table1[[#This Row],[total sulfur dioxide]]-Table1[[#This Row],[free sulfur dioxide]]</f>
        <v>76</v>
      </c>
      <c r="S74" s="1" t="str">
        <f>IF(AND(Table1[[#This Row],[pH]]&gt;=3.2,Table1[[#This Row],[alcohol]]&gt;=10),"White wine","Red wine")</f>
        <v>Red wine</v>
      </c>
    </row>
    <row r="75" spans="1:19" x14ac:dyDescent="0.3">
      <c r="A75" s="13">
        <v>74</v>
      </c>
      <c r="B75" s="1">
        <v>8.3000000000000007</v>
      </c>
      <c r="C75" s="1">
        <v>0.67500000000000004</v>
      </c>
      <c r="D75" s="1">
        <v>0.26</v>
      </c>
      <c r="E75" s="1">
        <v>2.1</v>
      </c>
      <c r="F75" s="1">
        <v>8.4000000000000005E-2</v>
      </c>
      <c r="G75" s="1">
        <v>11</v>
      </c>
      <c r="H75" s="1">
        <v>43</v>
      </c>
      <c r="I75" s="1">
        <v>0.99760000000000004</v>
      </c>
      <c r="J75" s="1">
        <v>3.31</v>
      </c>
      <c r="K75" s="1">
        <v>0.53</v>
      </c>
      <c r="L75" s="1">
        <v>9.1999999999999993</v>
      </c>
      <c r="M75" s="2">
        <v>4</v>
      </c>
      <c r="N75" s="2" t="str" cm="1">
        <f t="array" ref="N75">_xlfn.IFS(Table1[[#This Row],[quality]]&lt;=4,"Low",Table1[[#This Row],[quality]]&lt;=6,"Medium",Table1[[#This Row],[quality]]&gt;=7,"High")</f>
        <v>Low</v>
      </c>
      <c r="O75" s="2" t="str">
        <f>IF(AND(Table1[[#This Row],[fixed acidity]]&gt;Sheet1!$C$4,Table1[[#This Row],[pH]]&lt;Sheet1!$K$4),"High","Normal")</f>
        <v>Normal</v>
      </c>
      <c r="P75" s="1">
        <f>(Table1[[#This Row],[alcohol]]*2)+(Table1[[#This Row],[sulphates]]*1.5)-(Table1[[#This Row],[volatile acidity]]*2)</f>
        <v>17.844999999999999</v>
      </c>
      <c r="Q75" s="1">
        <f>RANK(Table1[[#This Row],[Quality_score_index]],Table1[Quality_score_index],0)</f>
        <v>1547</v>
      </c>
      <c r="R75" s="1">
        <f>Table1[[#This Row],[total sulfur dioxide]]-Table1[[#This Row],[free sulfur dioxide]]</f>
        <v>32</v>
      </c>
      <c r="S75" s="1" t="str">
        <f>IF(AND(Table1[[#This Row],[pH]]&gt;=3.2,Table1[[#This Row],[alcohol]]&gt;=10),"White wine","Red wine")</f>
        <v>Red wine</v>
      </c>
    </row>
    <row r="76" spans="1:19" x14ac:dyDescent="0.3">
      <c r="A76" s="13">
        <v>75</v>
      </c>
      <c r="B76" s="1">
        <v>9.6999999999999993</v>
      </c>
      <c r="C76" s="1">
        <v>0.32</v>
      </c>
      <c r="D76" s="1">
        <v>0.54</v>
      </c>
      <c r="E76" s="1">
        <v>2.5</v>
      </c>
      <c r="F76" s="1">
        <v>9.4E-2</v>
      </c>
      <c r="G76" s="1">
        <v>28</v>
      </c>
      <c r="H76" s="1">
        <v>83</v>
      </c>
      <c r="I76" s="1">
        <v>0.99839999999999995</v>
      </c>
      <c r="J76" s="1">
        <v>3.28</v>
      </c>
      <c r="K76" s="1">
        <v>0.82</v>
      </c>
      <c r="L76" s="1">
        <v>9.6</v>
      </c>
      <c r="M76" s="2">
        <v>5</v>
      </c>
      <c r="N76" s="2" t="str" cm="1">
        <f t="array" ref="N76">_xlfn.IFS(Table1[[#This Row],[quality]]&lt;=4,"Low",Table1[[#This Row],[quality]]&lt;=6,"Medium",Table1[[#This Row],[quality]]&gt;=7,"High")</f>
        <v>Medium</v>
      </c>
      <c r="O76" s="2" t="str">
        <f>IF(AND(Table1[[#This Row],[fixed acidity]]&gt;Sheet1!$C$4,Table1[[#This Row],[pH]]&lt;Sheet1!$K$4),"High","Normal")</f>
        <v>High</v>
      </c>
      <c r="P76" s="1">
        <f>(Table1[[#This Row],[alcohol]]*2)+(Table1[[#This Row],[sulphates]]*1.5)-(Table1[[#This Row],[volatile acidity]]*2)</f>
        <v>19.79</v>
      </c>
      <c r="Q76" s="1">
        <f>RANK(Table1[[#This Row],[Quality_score_index]],Table1[Quality_score_index],0)</f>
        <v>907</v>
      </c>
      <c r="R76" s="1">
        <f>Table1[[#This Row],[total sulfur dioxide]]-Table1[[#This Row],[free sulfur dioxide]]</f>
        <v>55</v>
      </c>
      <c r="S76" s="1" t="str">
        <f>IF(AND(Table1[[#This Row],[pH]]&gt;=3.2,Table1[[#This Row],[alcohol]]&gt;=10),"White wine","Red wine")</f>
        <v>Red wine</v>
      </c>
    </row>
    <row r="77" spans="1:19" x14ac:dyDescent="0.3">
      <c r="A77" s="13">
        <v>76</v>
      </c>
      <c r="B77" s="1">
        <v>8.8000000000000007</v>
      </c>
      <c r="C77" s="1">
        <v>0.41</v>
      </c>
      <c r="D77" s="1">
        <v>0.64</v>
      </c>
      <c r="E77" s="1">
        <v>2.2000000000000002</v>
      </c>
      <c r="F77" s="1">
        <v>9.2999999999999999E-2</v>
      </c>
      <c r="G77" s="1">
        <v>9</v>
      </c>
      <c r="H77" s="1">
        <v>42</v>
      </c>
      <c r="I77" s="1">
        <v>0.99860000000000004</v>
      </c>
      <c r="J77" s="1">
        <v>3.54</v>
      </c>
      <c r="K77" s="1">
        <v>0.66</v>
      </c>
      <c r="L77" s="1">
        <v>10.5</v>
      </c>
      <c r="M77" s="2">
        <v>5</v>
      </c>
      <c r="N77" s="2" t="str" cm="1">
        <f t="array" ref="N77">_xlfn.IFS(Table1[[#This Row],[quality]]&lt;=4,"Low",Table1[[#This Row],[quality]]&lt;=6,"Medium",Table1[[#This Row],[quality]]&gt;=7,"High")</f>
        <v>Medium</v>
      </c>
      <c r="O77" s="2" t="str">
        <f>IF(AND(Table1[[#This Row],[fixed acidity]]&gt;Sheet1!$C$4,Table1[[#This Row],[pH]]&lt;Sheet1!$K$4),"High","Normal")</f>
        <v>Normal</v>
      </c>
      <c r="P77" s="1">
        <f>(Table1[[#This Row],[alcohol]]*2)+(Table1[[#This Row],[sulphates]]*1.5)-(Table1[[#This Row],[volatile acidity]]*2)</f>
        <v>21.169999999999998</v>
      </c>
      <c r="Q77" s="1">
        <f>RANK(Table1[[#This Row],[Quality_score_index]],Table1[Quality_score_index],0)</f>
        <v>622</v>
      </c>
      <c r="R77" s="1">
        <f>Table1[[#This Row],[total sulfur dioxide]]-Table1[[#This Row],[free sulfur dioxide]]</f>
        <v>33</v>
      </c>
      <c r="S77" s="1" t="str">
        <f>IF(AND(Table1[[#This Row],[pH]]&gt;=3.2,Table1[[#This Row],[alcohol]]&gt;=10),"White wine","Red wine")</f>
        <v>White wine</v>
      </c>
    </row>
    <row r="78" spans="1:19" x14ac:dyDescent="0.3">
      <c r="A78" s="13">
        <v>77</v>
      </c>
      <c r="B78" s="1">
        <v>8.8000000000000007</v>
      </c>
      <c r="C78" s="1">
        <v>0.41</v>
      </c>
      <c r="D78" s="1">
        <v>0.64</v>
      </c>
      <c r="E78" s="1">
        <v>2.2000000000000002</v>
      </c>
      <c r="F78" s="1">
        <v>9.2999999999999999E-2</v>
      </c>
      <c r="G78" s="1">
        <v>9</v>
      </c>
      <c r="H78" s="1">
        <v>42</v>
      </c>
      <c r="I78" s="1">
        <v>0.99860000000000004</v>
      </c>
      <c r="J78" s="1">
        <v>3.54</v>
      </c>
      <c r="K78" s="1">
        <v>0.66</v>
      </c>
      <c r="L78" s="1">
        <v>10.5</v>
      </c>
      <c r="M78" s="2">
        <v>5</v>
      </c>
      <c r="N78" s="2" t="str" cm="1">
        <f t="array" ref="N78">_xlfn.IFS(Table1[[#This Row],[quality]]&lt;=4,"Low",Table1[[#This Row],[quality]]&lt;=6,"Medium",Table1[[#This Row],[quality]]&gt;=7,"High")</f>
        <v>Medium</v>
      </c>
      <c r="O78" s="2" t="str">
        <f>IF(AND(Table1[[#This Row],[fixed acidity]]&gt;Sheet1!$C$4,Table1[[#This Row],[pH]]&lt;Sheet1!$K$4),"High","Normal")</f>
        <v>Normal</v>
      </c>
      <c r="P78" s="1">
        <f>(Table1[[#This Row],[alcohol]]*2)+(Table1[[#This Row],[sulphates]]*1.5)-(Table1[[#This Row],[volatile acidity]]*2)</f>
        <v>21.169999999999998</v>
      </c>
      <c r="Q78" s="1">
        <f>RANK(Table1[[#This Row],[Quality_score_index]],Table1[Quality_score_index],0)</f>
        <v>622</v>
      </c>
      <c r="R78" s="1">
        <f>Table1[[#This Row],[total sulfur dioxide]]-Table1[[#This Row],[free sulfur dioxide]]</f>
        <v>33</v>
      </c>
      <c r="S78" s="1" t="str">
        <f>IF(AND(Table1[[#This Row],[pH]]&gt;=3.2,Table1[[#This Row],[alcohol]]&gt;=10),"White wine","Red wine")</f>
        <v>White wine</v>
      </c>
    </row>
    <row r="79" spans="1:19" x14ac:dyDescent="0.3">
      <c r="A79" s="13">
        <v>78</v>
      </c>
      <c r="B79" s="1">
        <v>6.8</v>
      </c>
      <c r="C79" s="1">
        <v>0.78500000000000003</v>
      </c>
      <c r="D79" s="1">
        <v>0</v>
      </c>
      <c r="E79" s="1">
        <v>2.4</v>
      </c>
      <c r="F79" s="1">
        <v>0.104</v>
      </c>
      <c r="G79" s="1">
        <v>14</v>
      </c>
      <c r="H79" s="1">
        <v>30</v>
      </c>
      <c r="I79" s="1">
        <v>0.99660000000000004</v>
      </c>
      <c r="J79" s="1">
        <v>3.52</v>
      </c>
      <c r="K79" s="1">
        <v>0.55000000000000004</v>
      </c>
      <c r="L79" s="1">
        <v>10.7</v>
      </c>
      <c r="M79" s="2">
        <v>6</v>
      </c>
      <c r="N79" s="2" t="str" cm="1">
        <f t="array" ref="N79">_xlfn.IFS(Table1[[#This Row],[quality]]&lt;=4,"Low",Table1[[#This Row],[quality]]&lt;=6,"Medium",Table1[[#This Row],[quality]]&gt;=7,"High")</f>
        <v>Medium</v>
      </c>
      <c r="O79" s="2" t="str">
        <f>IF(AND(Table1[[#This Row],[fixed acidity]]&gt;Sheet1!$C$4,Table1[[#This Row],[pH]]&lt;Sheet1!$K$4),"High","Normal")</f>
        <v>Normal</v>
      </c>
      <c r="P79" s="1">
        <f>(Table1[[#This Row],[alcohol]]*2)+(Table1[[#This Row],[sulphates]]*1.5)-(Table1[[#This Row],[volatile acidity]]*2)</f>
        <v>20.654999999999998</v>
      </c>
      <c r="Q79" s="1">
        <f>RANK(Table1[[#This Row],[Quality_score_index]],Table1[Quality_score_index],0)</f>
        <v>731</v>
      </c>
      <c r="R79" s="1">
        <f>Table1[[#This Row],[total sulfur dioxide]]-Table1[[#This Row],[free sulfur dioxide]]</f>
        <v>16</v>
      </c>
      <c r="S79" s="1" t="str">
        <f>IF(AND(Table1[[#This Row],[pH]]&gt;=3.2,Table1[[#This Row],[alcohol]]&gt;=10),"White wine","Red wine")</f>
        <v>White wine</v>
      </c>
    </row>
    <row r="80" spans="1:19" x14ac:dyDescent="0.3">
      <c r="A80" s="13">
        <v>79</v>
      </c>
      <c r="B80" s="1">
        <v>6.7</v>
      </c>
      <c r="C80" s="1">
        <v>0.75</v>
      </c>
      <c r="D80" s="1">
        <v>0.12</v>
      </c>
      <c r="E80" s="1">
        <v>2</v>
      </c>
      <c r="F80" s="1">
        <v>8.5999999999999993E-2</v>
      </c>
      <c r="G80" s="1">
        <v>12</v>
      </c>
      <c r="H80" s="1">
        <v>80</v>
      </c>
      <c r="I80" s="1">
        <v>0.99580000000000002</v>
      </c>
      <c r="J80" s="1">
        <v>3.38</v>
      </c>
      <c r="K80" s="1">
        <v>0.52</v>
      </c>
      <c r="L80" s="1">
        <v>10.1</v>
      </c>
      <c r="M80" s="2">
        <v>5</v>
      </c>
      <c r="N80" s="2" t="str" cm="1">
        <f t="array" ref="N80">_xlfn.IFS(Table1[[#This Row],[quality]]&lt;=4,"Low",Table1[[#This Row],[quality]]&lt;=6,"Medium",Table1[[#This Row],[quality]]&gt;=7,"High")</f>
        <v>Medium</v>
      </c>
      <c r="O80" s="2" t="str">
        <f>IF(AND(Table1[[#This Row],[fixed acidity]]&gt;Sheet1!$C$4,Table1[[#This Row],[pH]]&lt;Sheet1!$K$4),"High","Normal")</f>
        <v>Normal</v>
      </c>
      <c r="P80" s="1">
        <f>(Table1[[#This Row],[alcohol]]*2)+(Table1[[#This Row],[sulphates]]*1.5)-(Table1[[#This Row],[volatile acidity]]*2)</f>
        <v>19.48</v>
      </c>
      <c r="Q80" s="1">
        <f>RANK(Table1[[#This Row],[Quality_score_index]],Table1[Quality_score_index],0)</f>
        <v>983</v>
      </c>
      <c r="R80" s="1">
        <f>Table1[[#This Row],[total sulfur dioxide]]-Table1[[#This Row],[free sulfur dioxide]]</f>
        <v>68</v>
      </c>
      <c r="S80" s="1" t="str">
        <f>IF(AND(Table1[[#This Row],[pH]]&gt;=3.2,Table1[[#This Row],[alcohol]]&gt;=10),"White wine","Red wine")</f>
        <v>White wine</v>
      </c>
    </row>
    <row r="81" spans="1:19" x14ac:dyDescent="0.3">
      <c r="A81" s="13">
        <v>80</v>
      </c>
      <c r="B81" s="1">
        <v>8.3000000000000007</v>
      </c>
      <c r="C81" s="1">
        <v>0.625</v>
      </c>
      <c r="D81" s="1">
        <v>0.2</v>
      </c>
      <c r="E81" s="1">
        <v>1.5</v>
      </c>
      <c r="F81" s="1">
        <v>0.08</v>
      </c>
      <c r="G81" s="1">
        <v>27</v>
      </c>
      <c r="H81" s="1">
        <v>119</v>
      </c>
      <c r="I81" s="1">
        <v>0.99719999999999998</v>
      </c>
      <c r="J81" s="1">
        <v>3.16</v>
      </c>
      <c r="K81" s="1">
        <v>1.1200000000000001</v>
      </c>
      <c r="L81" s="1">
        <v>9.1</v>
      </c>
      <c r="M81" s="2">
        <v>4</v>
      </c>
      <c r="N81" s="2" t="str" cm="1">
        <f t="array" ref="N81">_xlfn.IFS(Table1[[#This Row],[quality]]&lt;=4,"Low",Table1[[#This Row],[quality]]&lt;=6,"Medium",Table1[[#This Row],[quality]]&gt;=7,"High")</f>
        <v>Low</v>
      </c>
      <c r="O81" s="2" t="str">
        <f>IF(AND(Table1[[#This Row],[fixed acidity]]&gt;Sheet1!$C$4,Table1[[#This Row],[pH]]&lt;Sheet1!$K$4),"High","Normal")</f>
        <v>Normal</v>
      </c>
      <c r="P81" s="1">
        <f>(Table1[[#This Row],[alcohol]]*2)+(Table1[[#This Row],[sulphates]]*1.5)-(Table1[[#This Row],[volatile acidity]]*2)</f>
        <v>18.63</v>
      </c>
      <c r="Q81" s="1">
        <f>RANK(Table1[[#This Row],[Quality_score_index]],Table1[Quality_score_index],0)</f>
        <v>1332</v>
      </c>
      <c r="R81" s="1">
        <f>Table1[[#This Row],[total sulfur dioxide]]-Table1[[#This Row],[free sulfur dioxide]]</f>
        <v>92</v>
      </c>
      <c r="S81" s="1" t="str">
        <f>IF(AND(Table1[[#This Row],[pH]]&gt;=3.2,Table1[[#This Row],[alcohol]]&gt;=10),"White wine","Red wine")</f>
        <v>Red wine</v>
      </c>
    </row>
    <row r="82" spans="1:19" x14ac:dyDescent="0.3">
      <c r="A82" s="13">
        <v>81</v>
      </c>
      <c r="B82" s="1">
        <v>6.2</v>
      </c>
      <c r="C82" s="1">
        <v>0.45</v>
      </c>
      <c r="D82" s="1">
        <v>0.2</v>
      </c>
      <c r="E82" s="1">
        <v>1.6</v>
      </c>
      <c r="F82" s="1">
        <v>6.9000000000000006E-2</v>
      </c>
      <c r="G82" s="1">
        <v>3</v>
      </c>
      <c r="H82" s="1">
        <v>15</v>
      </c>
      <c r="I82" s="1">
        <v>0.99580000000000002</v>
      </c>
      <c r="J82" s="1">
        <v>3.41</v>
      </c>
      <c r="K82" s="1">
        <v>0.56000000000000005</v>
      </c>
      <c r="L82" s="1">
        <v>9.1999999999999993</v>
      </c>
      <c r="M82" s="2">
        <v>5</v>
      </c>
      <c r="N82" s="2" t="str" cm="1">
        <f t="array" ref="N82">_xlfn.IFS(Table1[[#This Row],[quality]]&lt;=4,"Low",Table1[[#This Row],[quality]]&lt;=6,"Medium",Table1[[#This Row],[quality]]&gt;=7,"High")</f>
        <v>Medium</v>
      </c>
      <c r="O82" s="2" t="str">
        <f>IF(AND(Table1[[#This Row],[fixed acidity]]&gt;Sheet1!$C$4,Table1[[#This Row],[pH]]&lt;Sheet1!$K$4),"High","Normal")</f>
        <v>Normal</v>
      </c>
      <c r="P82" s="1">
        <f>(Table1[[#This Row],[alcohol]]*2)+(Table1[[#This Row],[sulphates]]*1.5)-(Table1[[#This Row],[volatile acidity]]*2)</f>
        <v>18.34</v>
      </c>
      <c r="Q82" s="1">
        <f>RANK(Table1[[#This Row],[Quality_score_index]],Table1[Quality_score_index],0)</f>
        <v>1440</v>
      </c>
      <c r="R82" s="1">
        <f>Table1[[#This Row],[total sulfur dioxide]]-Table1[[#This Row],[free sulfur dioxide]]</f>
        <v>12</v>
      </c>
      <c r="S82" s="1" t="str">
        <f>IF(AND(Table1[[#This Row],[pH]]&gt;=3.2,Table1[[#This Row],[alcohol]]&gt;=10),"White wine","Red wine")</f>
        <v>Red wine</v>
      </c>
    </row>
    <row r="83" spans="1:19" x14ac:dyDescent="0.3">
      <c r="A83" s="13">
        <v>82</v>
      </c>
      <c r="B83" s="1">
        <v>7.8</v>
      </c>
      <c r="C83" s="1">
        <v>0.43</v>
      </c>
      <c r="D83" s="1">
        <v>0.7</v>
      </c>
      <c r="E83" s="1">
        <v>1.9</v>
      </c>
      <c r="F83" s="1">
        <v>0.46400000000000002</v>
      </c>
      <c r="G83" s="1">
        <v>22</v>
      </c>
      <c r="H83" s="1">
        <v>67</v>
      </c>
      <c r="I83" s="1">
        <v>0.99739999999999995</v>
      </c>
      <c r="J83" s="1">
        <v>3.13</v>
      </c>
      <c r="K83" s="1">
        <v>1.28</v>
      </c>
      <c r="L83" s="1">
        <v>9.4</v>
      </c>
      <c r="M83" s="2">
        <v>5</v>
      </c>
      <c r="N83" s="2" t="str" cm="1">
        <f t="array" ref="N83">_xlfn.IFS(Table1[[#This Row],[quality]]&lt;=4,"Low",Table1[[#This Row],[quality]]&lt;=6,"Medium",Table1[[#This Row],[quality]]&gt;=7,"High")</f>
        <v>Medium</v>
      </c>
      <c r="O83" s="2" t="str">
        <f>IF(AND(Table1[[#This Row],[fixed acidity]]&gt;Sheet1!$C$4,Table1[[#This Row],[pH]]&lt;Sheet1!$K$4),"High","Normal")</f>
        <v>Normal</v>
      </c>
      <c r="P83" s="1">
        <f>(Table1[[#This Row],[alcohol]]*2)+(Table1[[#This Row],[sulphates]]*1.5)-(Table1[[#This Row],[volatile acidity]]*2)</f>
        <v>19.86</v>
      </c>
      <c r="Q83" s="1">
        <f>RANK(Table1[[#This Row],[Quality_score_index]],Table1[Quality_score_index],0)</f>
        <v>893</v>
      </c>
      <c r="R83" s="1">
        <f>Table1[[#This Row],[total sulfur dioxide]]-Table1[[#This Row],[free sulfur dioxide]]</f>
        <v>45</v>
      </c>
      <c r="S83" s="1" t="str">
        <f>IF(AND(Table1[[#This Row],[pH]]&gt;=3.2,Table1[[#This Row],[alcohol]]&gt;=10),"White wine","Red wine")</f>
        <v>Red wine</v>
      </c>
    </row>
    <row r="84" spans="1:19" x14ac:dyDescent="0.3">
      <c r="A84" s="13">
        <v>83</v>
      </c>
      <c r="B84" s="1">
        <v>7.4</v>
      </c>
      <c r="C84" s="1">
        <v>0.5</v>
      </c>
      <c r="D84" s="1">
        <v>0.47</v>
      </c>
      <c r="E84" s="1">
        <v>2</v>
      </c>
      <c r="F84" s="1">
        <v>8.5999999999999993E-2</v>
      </c>
      <c r="G84" s="1">
        <v>21</v>
      </c>
      <c r="H84" s="1">
        <v>73</v>
      </c>
      <c r="I84" s="1">
        <v>0.997</v>
      </c>
      <c r="J84" s="1">
        <v>3.36</v>
      </c>
      <c r="K84" s="1">
        <v>0.56999999999999995</v>
      </c>
      <c r="L84" s="1">
        <v>9.1</v>
      </c>
      <c r="M84" s="2">
        <v>5</v>
      </c>
      <c r="N84" s="2" t="str" cm="1">
        <f t="array" ref="N84">_xlfn.IFS(Table1[[#This Row],[quality]]&lt;=4,"Low",Table1[[#This Row],[quality]]&lt;=6,"Medium",Table1[[#This Row],[quality]]&gt;=7,"High")</f>
        <v>Medium</v>
      </c>
      <c r="O84" s="2" t="str">
        <f>IF(AND(Table1[[#This Row],[fixed acidity]]&gt;Sheet1!$C$4,Table1[[#This Row],[pH]]&lt;Sheet1!$K$4),"High","Normal")</f>
        <v>Normal</v>
      </c>
      <c r="P84" s="1">
        <f>(Table1[[#This Row],[alcohol]]*2)+(Table1[[#This Row],[sulphates]]*1.5)-(Table1[[#This Row],[volatile acidity]]*2)</f>
        <v>18.055</v>
      </c>
      <c r="Q84" s="1">
        <f>RANK(Table1[[#This Row],[Quality_score_index]],Table1[Quality_score_index],0)</f>
        <v>1512</v>
      </c>
      <c r="R84" s="1">
        <f>Table1[[#This Row],[total sulfur dioxide]]-Table1[[#This Row],[free sulfur dioxide]]</f>
        <v>52</v>
      </c>
      <c r="S84" s="1" t="str">
        <f>IF(AND(Table1[[#This Row],[pH]]&gt;=3.2,Table1[[#This Row],[alcohol]]&gt;=10),"White wine","Red wine")</f>
        <v>Red wine</v>
      </c>
    </row>
    <row r="85" spans="1:19" x14ac:dyDescent="0.3">
      <c r="A85" s="13">
        <v>84</v>
      </c>
      <c r="B85" s="1">
        <v>7.3</v>
      </c>
      <c r="C85" s="1">
        <v>0.67</v>
      </c>
      <c r="D85" s="1">
        <v>0.26</v>
      </c>
      <c r="E85" s="1">
        <v>1.8</v>
      </c>
      <c r="F85" s="1">
        <v>0.40100000000000002</v>
      </c>
      <c r="G85" s="1">
        <v>16</v>
      </c>
      <c r="H85" s="1">
        <v>51</v>
      </c>
      <c r="I85" s="1">
        <v>0.99690000000000001</v>
      </c>
      <c r="J85" s="1">
        <v>3.16</v>
      </c>
      <c r="K85" s="1">
        <v>1.1399999999999999</v>
      </c>
      <c r="L85" s="1">
        <v>9.4</v>
      </c>
      <c r="M85" s="2">
        <v>5</v>
      </c>
      <c r="N85" s="2" t="str" cm="1">
        <f t="array" ref="N85">_xlfn.IFS(Table1[[#This Row],[quality]]&lt;=4,"Low",Table1[[#This Row],[quality]]&lt;=6,"Medium",Table1[[#This Row],[quality]]&gt;=7,"High")</f>
        <v>Medium</v>
      </c>
      <c r="O85" s="2" t="str">
        <f>IF(AND(Table1[[#This Row],[fixed acidity]]&gt;Sheet1!$C$4,Table1[[#This Row],[pH]]&lt;Sheet1!$K$4),"High","Normal")</f>
        <v>Normal</v>
      </c>
      <c r="P85" s="1">
        <f>(Table1[[#This Row],[alcohol]]*2)+(Table1[[#This Row],[sulphates]]*1.5)-(Table1[[#This Row],[volatile acidity]]*2)</f>
        <v>19.170000000000002</v>
      </c>
      <c r="Q85" s="1">
        <f>RANK(Table1[[#This Row],[Quality_score_index]],Table1[Quality_score_index],0)</f>
        <v>1098</v>
      </c>
      <c r="R85" s="1">
        <f>Table1[[#This Row],[total sulfur dioxide]]-Table1[[#This Row],[free sulfur dioxide]]</f>
        <v>35</v>
      </c>
      <c r="S85" s="1" t="str">
        <f>IF(AND(Table1[[#This Row],[pH]]&gt;=3.2,Table1[[#This Row],[alcohol]]&gt;=10),"White wine","Red wine")</f>
        <v>Red wine</v>
      </c>
    </row>
    <row r="86" spans="1:19" x14ac:dyDescent="0.3">
      <c r="A86" s="13">
        <v>85</v>
      </c>
      <c r="B86" s="1">
        <v>6.3</v>
      </c>
      <c r="C86" s="1">
        <v>0.3</v>
      </c>
      <c r="D86" s="1">
        <v>0.48</v>
      </c>
      <c r="E86" s="1">
        <v>1.8</v>
      </c>
      <c r="F86" s="1">
        <v>6.9000000000000006E-2</v>
      </c>
      <c r="G86" s="1">
        <v>18</v>
      </c>
      <c r="H86" s="1">
        <v>61</v>
      </c>
      <c r="I86" s="1">
        <v>0.99590000000000001</v>
      </c>
      <c r="J86" s="1">
        <v>3.44</v>
      </c>
      <c r="K86" s="1">
        <v>0.78</v>
      </c>
      <c r="L86" s="1">
        <v>10.3</v>
      </c>
      <c r="M86" s="2">
        <v>6</v>
      </c>
      <c r="N86" s="2" t="str" cm="1">
        <f t="array" ref="N86">_xlfn.IFS(Table1[[#This Row],[quality]]&lt;=4,"Low",Table1[[#This Row],[quality]]&lt;=6,"Medium",Table1[[#This Row],[quality]]&gt;=7,"High")</f>
        <v>Medium</v>
      </c>
      <c r="O86" s="2" t="str">
        <f>IF(AND(Table1[[#This Row],[fixed acidity]]&gt;Sheet1!$C$4,Table1[[#This Row],[pH]]&lt;Sheet1!$K$4),"High","Normal")</f>
        <v>Normal</v>
      </c>
      <c r="P86" s="1">
        <f>(Table1[[#This Row],[alcohol]]*2)+(Table1[[#This Row],[sulphates]]*1.5)-(Table1[[#This Row],[volatile acidity]]*2)</f>
        <v>21.17</v>
      </c>
      <c r="Q86" s="1">
        <f>RANK(Table1[[#This Row],[Quality_score_index]],Table1[Quality_score_index],0)</f>
        <v>621</v>
      </c>
      <c r="R86" s="1">
        <f>Table1[[#This Row],[total sulfur dioxide]]-Table1[[#This Row],[free sulfur dioxide]]</f>
        <v>43</v>
      </c>
      <c r="S86" s="1" t="str">
        <f>IF(AND(Table1[[#This Row],[pH]]&gt;=3.2,Table1[[#This Row],[alcohol]]&gt;=10),"White wine","Red wine")</f>
        <v>White wine</v>
      </c>
    </row>
    <row r="87" spans="1:19" x14ac:dyDescent="0.3">
      <c r="A87" s="13">
        <v>86</v>
      </c>
      <c r="B87" s="1">
        <v>6.9</v>
      </c>
      <c r="C87" s="1">
        <v>0.55000000000000004</v>
      </c>
      <c r="D87" s="1">
        <v>0.15</v>
      </c>
      <c r="E87" s="1">
        <v>2.2000000000000002</v>
      </c>
      <c r="F87" s="1">
        <v>7.5999999999999998E-2</v>
      </c>
      <c r="G87" s="1">
        <v>19</v>
      </c>
      <c r="H87" s="1">
        <v>40</v>
      </c>
      <c r="I87" s="1">
        <v>0.99609999999999999</v>
      </c>
      <c r="J87" s="1">
        <v>3.41</v>
      </c>
      <c r="K87" s="1">
        <v>0.59</v>
      </c>
      <c r="L87" s="1">
        <v>10.1</v>
      </c>
      <c r="M87" s="2">
        <v>5</v>
      </c>
      <c r="N87" s="2" t="str" cm="1">
        <f t="array" ref="N87">_xlfn.IFS(Table1[[#This Row],[quality]]&lt;=4,"Low",Table1[[#This Row],[quality]]&lt;=6,"Medium",Table1[[#This Row],[quality]]&gt;=7,"High")</f>
        <v>Medium</v>
      </c>
      <c r="O87" s="2" t="str">
        <f>IF(AND(Table1[[#This Row],[fixed acidity]]&gt;Sheet1!$C$4,Table1[[#This Row],[pH]]&lt;Sheet1!$K$4),"High","Normal")</f>
        <v>Normal</v>
      </c>
      <c r="P87" s="1">
        <f>(Table1[[#This Row],[alcohol]]*2)+(Table1[[#This Row],[sulphates]]*1.5)-(Table1[[#This Row],[volatile acidity]]*2)</f>
        <v>19.984999999999999</v>
      </c>
      <c r="Q87" s="1">
        <f>RANK(Table1[[#This Row],[Quality_score_index]],Table1[Quality_score_index],0)</f>
        <v>856</v>
      </c>
      <c r="R87" s="1">
        <f>Table1[[#This Row],[total sulfur dioxide]]-Table1[[#This Row],[free sulfur dioxide]]</f>
        <v>21</v>
      </c>
      <c r="S87" s="1" t="str">
        <f>IF(AND(Table1[[#This Row],[pH]]&gt;=3.2,Table1[[#This Row],[alcohol]]&gt;=10),"White wine","Red wine")</f>
        <v>White wine</v>
      </c>
    </row>
    <row r="88" spans="1:19" x14ac:dyDescent="0.3">
      <c r="A88" s="13">
        <v>87</v>
      </c>
      <c r="B88" s="1">
        <v>8.6</v>
      </c>
      <c r="C88" s="1">
        <v>0.49</v>
      </c>
      <c r="D88" s="1">
        <v>0.28000000000000003</v>
      </c>
      <c r="E88" s="1">
        <v>1.9</v>
      </c>
      <c r="F88" s="1">
        <v>0.11</v>
      </c>
      <c r="G88" s="1">
        <v>20</v>
      </c>
      <c r="H88" s="1">
        <v>136</v>
      </c>
      <c r="I88" s="1">
        <v>0.99719999999999998</v>
      </c>
      <c r="J88" s="1">
        <v>2.93</v>
      </c>
      <c r="K88" s="1">
        <v>1.95</v>
      </c>
      <c r="L88" s="1">
        <v>9.9</v>
      </c>
      <c r="M88" s="2">
        <v>6</v>
      </c>
      <c r="N88" s="2" t="str" cm="1">
        <f t="array" ref="N88">_xlfn.IFS(Table1[[#This Row],[quality]]&lt;=4,"Low",Table1[[#This Row],[quality]]&lt;=6,"Medium",Table1[[#This Row],[quality]]&gt;=7,"High")</f>
        <v>Medium</v>
      </c>
      <c r="O88" s="2" t="str">
        <f>IF(AND(Table1[[#This Row],[fixed acidity]]&gt;Sheet1!$C$4,Table1[[#This Row],[pH]]&lt;Sheet1!$K$4),"High","Normal")</f>
        <v>High</v>
      </c>
      <c r="P88" s="1">
        <f>(Table1[[#This Row],[alcohol]]*2)+(Table1[[#This Row],[sulphates]]*1.5)-(Table1[[#This Row],[volatile acidity]]*2)</f>
        <v>21.745000000000001</v>
      </c>
      <c r="Q88" s="1">
        <f>RANK(Table1[[#This Row],[Quality_score_index]],Table1[Quality_score_index],0)</f>
        <v>495</v>
      </c>
      <c r="R88" s="1">
        <f>Table1[[#This Row],[total sulfur dioxide]]-Table1[[#This Row],[free sulfur dioxide]]</f>
        <v>116</v>
      </c>
      <c r="S88" s="1" t="str">
        <f>IF(AND(Table1[[#This Row],[pH]]&gt;=3.2,Table1[[#This Row],[alcohol]]&gt;=10),"White wine","Red wine")</f>
        <v>Red wine</v>
      </c>
    </row>
    <row r="89" spans="1:19" x14ac:dyDescent="0.3">
      <c r="A89" s="13">
        <v>88</v>
      </c>
      <c r="B89" s="1">
        <v>7.7</v>
      </c>
      <c r="C89" s="1">
        <v>0.49</v>
      </c>
      <c r="D89" s="1">
        <v>0.26</v>
      </c>
      <c r="E89" s="1">
        <v>1.9</v>
      </c>
      <c r="F89" s="1">
        <v>6.2E-2</v>
      </c>
      <c r="G89" s="1">
        <v>9</v>
      </c>
      <c r="H89" s="1">
        <v>31</v>
      </c>
      <c r="I89" s="1">
        <v>0.99660000000000004</v>
      </c>
      <c r="J89" s="1">
        <v>3.39</v>
      </c>
      <c r="K89" s="1">
        <v>0.64</v>
      </c>
      <c r="L89" s="1">
        <v>9.6</v>
      </c>
      <c r="M89" s="2">
        <v>5</v>
      </c>
      <c r="N89" s="2" t="str" cm="1">
        <f t="array" ref="N89">_xlfn.IFS(Table1[[#This Row],[quality]]&lt;=4,"Low",Table1[[#This Row],[quality]]&lt;=6,"Medium",Table1[[#This Row],[quality]]&gt;=7,"High")</f>
        <v>Medium</v>
      </c>
      <c r="O89" s="2" t="str">
        <f>IF(AND(Table1[[#This Row],[fixed acidity]]&gt;Sheet1!$C$4,Table1[[#This Row],[pH]]&lt;Sheet1!$K$4),"High","Normal")</f>
        <v>Normal</v>
      </c>
      <c r="P89" s="1">
        <f>(Table1[[#This Row],[alcohol]]*2)+(Table1[[#This Row],[sulphates]]*1.5)-(Table1[[#This Row],[volatile acidity]]*2)</f>
        <v>19.18</v>
      </c>
      <c r="Q89" s="1">
        <f>RANK(Table1[[#This Row],[Quality_score_index]],Table1[Quality_score_index],0)</f>
        <v>1092</v>
      </c>
      <c r="R89" s="1">
        <f>Table1[[#This Row],[total sulfur dioxide]]-Table1[[#This Row],[free sulfur dioxide]]</f>
        <v>22</v>
      </c>
      <c r="S89" s="1" t="str">
        <f>IF(AND(Table1[[#This Row],[pH]]&gt;=3.2,Table1[[#This Row],[alcohol]]&gt;=10),"White wine","Red wine")</f>
        <v>Red wine</v>
      </c>
    </row>
    <row r="90" spans="1:19" x14ac:dyDescent="0.3">
      <c r="A90" s="13">
        <v>89</v>
      </c>
      <c r="B90" s="1">
        <v>9.3000000000000007</v>
      </c>
      <c r="C90" s="1">
        <v>0.39</v>
      </c>
      <c r="D90" s="1">
        <v>0.44</v>
      </c>
      <c r="E90" s="1">
        <v>2.1</v>
      </c>
      <c r="F90" s="1">
        <v>0.107</v>
      </c>
      <c r="G90" s="1">
        <v>34</v>
      </c>
      <c r="H90" s="1">
        <v>125</v>
      </c>
      <c r="I90" s="1">
        <v>0.99780000000000002</v>
      </c>
      <c r="J90" s="1">
        <v>3.14</v>
      </c>
      <c r="K90" s="1">
        <v>1.22</v>
      </c>
      <c r="L90" s="1">
        <v>9.5</v>
      </c>
      <c r="M90" s="2">
        <v>5</v>
      </c>
      <c r="N90" s="2" t="str" cm="1">
        <f t="array" ref="N90">_xlfn.IFS(Table1[[#This Row],[quality]]&lt;=4,"Low",Table1[[#This Row],[quality]]&lt;=6,"Medium",Table1[[#This Row],[quality]]&gt;=7,"High")</f>
        <v>Medium</v>
      </c>
      <c r="O90" s="2" t="str">
        <f>IF(AND(Table1[[#This Row],[fixed acidity]]&gt;Sheet1!$C$4,Table1[[#This Row],[pH]]&lt;Sheet1!$K$4),"High","Normal")</f>
        <v>High</v>
      </c>
      <c r="P90" s="1">
        <f>(Table1[[#This Row],[alcohol]]*2)+(Table1[[#This Row],[sulphates]]*1.5)-(Table1[[#This Row],[volatile acidity]]*2)</f>
        <v>20.049999999999997</v>
      </c>
      <c r="Q90" s="1">
        <f>RANK(Table1[[#This Row],[Quality_score_index]],Table1[Quality_score_index],0)</f>
        <v>848</v>
      </c>
      <c r="R90" s="1">
        <f>Table1[[#This Row],[total sulfur dioxide]]-Table1[[#This Row],[free sulfur dioxide]]</f>
        <v>91</v>
      </c>
      <c r="S90" s="1" t="str">
        <f>IF(AND(Table1[[#This Row],[pH]]&gt;=3.2,Table1[[#This Row],[alcohol]]&gt;=10),"White wine","Red wine")</f>
        <v>Red wine</v>
      </c>
    </row>
    <row r="91" spans="1:19" x14ac:dyDescent="0.3">
      <c r="A91" s="13">
        <v>90</v>
      </c>
      <c r="B91" s="1">
        <v>7</v>
      </c>
      <c r="C91" s="1">
        <v>0.62</v>
      </c>
      <c r="D91" s="1">
        <v>0.08</v>
      </c>
      <c r="E91" s="1">
        <v>1.8</v>
      </c>
      <c r="F91" s="1">
        <v>7.5999999999999998E-2</v>
      </c>
      <c r="G91" s="1">
        <v>8</v>
      </c>
      <c r="H91" s="1">
        <v>24</v>
      </c>
      <c r="I91" s="1">
        <v>0.99780000000000002</v>
      </c>
      <c r="J91" s="1">
        <v>3.48</v>
      </c>
      <c r="K91" s="1">
        <v>0.53</v>
      </c>
      <c r="L91" s="1">
        <v>9</v>
      </c>
      <c r="M91" s="2">
        <v>5</v>
      </c>
      <c r="N91" s="2" t="str" cm="1">
        <f t="array" ref="N91">_xlfn.IFS(Table1[[#This Row],[quality]]&lt;=4,"Low",Table1[[#This Row],[quality]]&lt;=6,"Medium",Table1[[#This Row],[quality]]&gt;=7,"High")</f>
        <v>Medium</v>
      </c>
      <c r="O91" s="2" t="str">
        <f>IF(AND(Table1[[#This Row],[fixed acidity]]&gt;Sheet1!$C$4,Table1[[#This Row],[pH]]&lt;Sheet1!$K$4),"High","Normal")</f>
        <v>Normal</v>
      </c>
      <c r="P91" s="1">
        <f>(Table1[[#This Row],[alcohol]]*2)+(Table1[[#This Row],[sulphates]]*1.5)-(Table1[[#This Row],[volatile acidity]]*2)</f>
        <v>17.555000000000003</v>
      </c>
      <c r="Q91" s="1">
        <f>RANK(Table1[[#This Row],[Quality_score_index]],Table1[Quality_score_index],0)</f>
        <v>1583</v>
      </c>
      <c r="R91" s="1">
        <f>Table1[[#This Row],[total sulfur dioxide]]-Table1[[#This Row],[free sulfur dioxide]]</f>
        <v>16</v>
      </c>
      <c r="S91" s="1" t="str">
        <f>IF(AND(Table1[[#This Row],[pH]]&gt;=3.2,Table1[[#This Row],[alcohol]]&gt;=10),"White wine","Red wine")</f>
        <v>Red wine</v>
      </c>
    </row>
    <row r="92" spans="1:19" x14ac:dyDescent="0.3">
      <c r="A92" s="13">
        <v>91</v>
      </c>
      <c r="B92" s="1">
        <v>7.9</v>
      </c>
      <c r="C92" s="1">
        <v>0.52</v>
      </c>
      <c r="D92" s="1">
        <v>0.26</v>
      </c>
      <c r="E92" s="1">
        <v>1.9</v>
      </c>
      <c r="F92" s="1">
        <v>7.9000000000000001E-2</v>
      </c>
      <c r="G92" s="1">
        <v>42</v>
      </c>
      <c r="H92" s="1">
        <v>140</v>
      </c>
      <c r="I92" s="1">
        <v>0.99639999999999995</v>
      </c>
      <c r="J92" s="1">
        <v>3.23</v>
      </c>
      <c r="K92" s="1">
        <v>0.54</v>
      </c>
      <c r="L92" s="1">
        <v>9.5</v>
      </c>
      <c r="M92" s="2">
        <v>5</v>
      </c>
      <c r="N92" s="2" t="str" cm="1">
        <f t="array" ref="N92">_xlfn.IFS(Table1[[#This Row],[quality]]&lt;=4,"Low",Table1[[#This Row],[quality]]&lt;=6,"Medium",Table1[[#This Row],[quality]]&gt;=7,"High")</f>
        <v>Medium</v>
      </c>
      <c r="O92" s="2" t="str">
        <f>IF(AND(Table1[[#This Row],[fixed acidity]]&gt;Sheet1!$C$4,Table1[[#This Row],[pH]]&lt;Sheet1!$K$4),"High","Normal")</f>
        <v>Normal</v>
      </c>
      <c r="P92" s="1">
        <f>(Table1[[#This Row],[alcohol]]*2)+(Table1[[#This Row],[sulphates]]*1.5)-(Table1[[#This Row],[volatile acidity]]*2)</f>
        <v>18.77</v>
      </c>
      <c r="Q92" s="1">
        <f>RANK(Table1[[#This Row],[Quality_score_index]],Table1[Quality_score_index],0)</f>
        <v>1254</v>
      </c>
      <c r="R92" s="1">
        <f>Table1[[#This Row],[total sulfur dioxide]]-Table1[[#This Row],[free sulfur dioxide]]</f>
        <v>98</v>
      </c>
      <c r="S92" s="1" t="str">
        <f>IF(AND(Table1[[#This Row],[pH]]&gt;=3.2,Table1[[#This Row],[alcohol]]&gt;=10),"White wine","Red wine")</f>
        <v>Red wine</v>
      </c>
    </row>
    <row r="93" spans="1:19" x14ac:dyDescent="0.3">
      <c r="A93" s="13">
        <v>92</v>
      </c>
      <c r="B93" s="1">
        <v>8.6</v>
      </c>
      <c r="C93" s="1">
        <v>0.49</v>
      </c>
      <c r="D93" s="1">
        <v>0.28000000000000003</v>
      </c>
      <c r="E93" s="1">
        <v>1.9</v>
      </c>
      <c r="F93" s="1">
        <v>0.11</v>
      </c>
      <c r="G93" s="1">
        <v>20</v>
      </c>
      <c r="H93" s="1">
        <v>136</v>
      </c>
      <c r="I93" s="1">
        <v>0.99719999999999998</v>
      </c>
      <c r="J93" s="1">
        <v>2.93</v>
      </c>
      <c r="K93" s="1">
        <v>1.95</v>
      </c>
      <c r="L93" s="1">
        <v>9.9</v>
      </c>
      <c r="M93" s="2">
        <v>6</v>
      </c>
      <c r="N93" s="2" t="str" cm="1">
        <f t="array" ref="N93">_xlfn.IFS(Table1[[#This Row],[quality]]&lt;=4,"Low",Table1[[#This Row],[quality]]&lt;=6,"Medium",Table1[[#This Row],[quality]]&gt;=7,"High")</f>
        <v>Medium</v>
      </c>
      <c r="O93" s="2" t="str">
        <f>IF(AND(Table1[[#This Row],[fixed acidity]]&gt;Sheet1!$C$4,Table1[[#This Row],[pH]]&lt;Sheet1!$K$4),"High","Normal")</f>
        <v>High</v>
      </c>
      <c r="P93" s="1">
        <f>(Table1[[#This Row],[alcohol]]*2)+(Table1[[#This Row],[sulphates]]*1.5)-(Table1[[#This Row],[volatile acidity]]*2)</f>
        <v>21.745000000000001</v>
      </c>
      <c r="Q93" s="1">
        <f>RANK(Table1[[#This Row],[Quality_score_index]],Table1[Quality_score_index],0)</f>
        <v>495</v>
      </c>
      <c r="R93" s="1">
        <f>Table1[[#This Row],[total sulfur dioxide]]-Table1[[#This Row],[free sulfur dioxide]]</f>
        <v>116</v>
      </c>
      <c r="S93" s="1" t="str">
        <f>IF(AND(Table1[[#This Row],[pH]]&gt;=3.2,Table1[[#This Row],[alcohol]]&gt;=10),"White wine","Red wine")</f>
        <v>Red wine</v>
      </c>
    </row>
    <row r="94" spans="1:19" x14ac:dyDescent="0.3">
      <c r="A94" s="13">
        <v>93</v>
      </c>
      <c r="B94" s="1">
        <v>8.6</v>
      </c>
      <c r="C94" s="1">
        <v>0.49</v>
      </c>
      <c r="D94" s="1">
        <v>0.28999999999999998</v>
      </c>
      <c r="E94" s="1">
        <v>2</v>
      </c>
      <c r="F94" s="1">
        <v>0.11</v>
      </c>
      <c r="G94" s="1">
        <v>19</v>
      </c>
      <c r="H94" s="1">
        <v>133</v>
      </c>
      <c r="I94" s="1">
        <v>0.99719999999999998</v>
      </c>
      <c r="J94" s="1">
        <v>2.93</v>
      </c>
      <c r="K94" s="1">
        <v>1.98</v>
      </c>
      <c r="L94" s="1">
        <v>9.8000000000000007</v>
      </c>
      <c r="M94" s="2">
        <v>5</v>
      </c>
      <c r="N94" s="2" t="str" cm="1">
        <f t="array" ref="N94">_xlfn.IFS(Table1[[#This Row],[quality]]&lt;=4,"Low",Table1[[#This Row],[quality]]&lt;=6,"Medium",Table1[[#This Row],[quality]]&gt;=7,"High")</f>
        <v>Medium</v>
      </c>
      <c r="O94" s="2" t="str">
        <f>IF(AND(Table1[[#This Row],[fixed acidity]]&gt;Sheet1!$C$4,Table1[[#This Row],[pH]]&lt;Sheet1!$K$4),"High","Normal")</f>
        <v>High</v>
      </c>
      <c r="P94" s="1">
        <f>(Table1[[#This Row],[alcohol]]*2)+(Table1[[#This Row],[sulphates]]*1.5)-(Table1[[#This Row],[volatile acidity]]*2)</f>
        <v>21.59</v>
      </c>
      <c r="Q94" s="1">
        <f>RANK(Table1[[#This Row],[Quality_score_index]],Table1[Quality_score_index],0)</f>
        <v>528</v>
      </c>
      <c r="R94" s="1">
        <f>Table1[[#This Row],[total sulfur dioxide]]-Table1[[#This Row],[free sulfur dioxide]]</f>
        <v>114</v>
      </c>
      <c r="S94" s="1" t="str">
        <f>IF(AND(Table1[[#This Row],[pH]]&gt;=3.2,Table1[[#This Row],[alcohol]]&gt;=10),"White wine","Red wine")</f>
        <v>Red wine</v>
      </c>
    </row>
    <row r="95" spans="1:19" x14ac:dyDescent="0.3">
      <c r="A95" s="13">
        <v>94</v>
      </c>
      <c r="B95" s="1">
        <v>7.7</v>
      </c>
      <c r="C95" s="1">
        <v>0.49</v>
      </c>
      <c r="D95" s="1">
        <v>0.26</v>
      </c>
      <c r="E95" s="1">
        <v>1.9</v>
      </c>
      <c r="F95" s="1">
        <v>6.2E-2</v>
      </c>
      <c r="G95" s="1">
        <v>9</v>
      </c>
      <c r="H95" s="1">
        <v>31</v>
      </c>
      <c r="I95" s="1">
        <v>0.99660000000000004</v>
      </c>
      <c r="J95" s="1">
        <v>3.39</v>
      </c>
      <c r="K95" s="1">
        <v>0.64</v>
      </c>
      <c r="L95" s="1">
        <v>9.6</v>
      </c>
      <c r="M95" s="2">
        <v>5</v>
      </c>
      <c r="N95" s="2" t="str" cm="1">
        <f t="array" ref="N95">_xlfn.IFS(Table1[[#This Row],[quality]]&lt;=4,"Low",Table1[[#This Row],[quality]]&lt;=6,"Medium",Table1[[#This Row],[quality]]&gt;=7,"High")</f>
        <v>Medium</v>
      </c>
      <c r="O95" s="2" t="str">
        <f>IF(AND(Table1[[#This Row],[fixed acidity]]&gt;Sheet1!$C$4,Table1[[#This Row],[pH]]&lt;Sheet1!$K$4),"High","Normal")</f>
        <v>Normal</v>
      </c>
      <c r="P95" s="1">
        <f>(Table1[[#This Row],[alcohol]]*2)+(Table1[[#This Row],[sulphates]]*1.5)-(Table1[[#This Row],[volatile acidity]]*2)</f>
        <v>19.18</v>
      </c>
      <c r="Q95" s="1">
        <f>RANK(Table1[[#This Row],[Quality_score_index]],Table1[Quality_score_index],0)</f>
        <v>1092</v>
      </c>
      <c r="R95" s="1">
        <f>Table1[[#This Row],[total sulfur dioxide]]-Table1[[#This Row],[free sulfur dioxide]]</f>
        <v>22</v>
      </c>
      <c r="S95" s="1" t="str">
        <f>IF(AND(Table1[[#This Row],[pH]]&gt;=3.2,Table1[[#This Row],[alcohol]]&gt;=10),"White wine","Red wine")</f>
        <v>Red wine</v>
      </c>
    </row>
    <row r="96" spans="1:19" x14ac:dyDescent="0.3">
      <c r="A96" s="13">
        <v>95</v>
      </c>
      <c r="B96" s="1">
        <v>5</v>
      </c>
      <c r="C96" s="1">
        <v>1.02</v>
      </c>
      <c r="D96" s="1">
        <v>0.04</v>
      </c>
      <c r="E96" s="1">
        <v>1.4</v>
      </c>
      <c r="F96" s="1">
        <v>4.4999999999999998E-2</v>
      </c>
      <c r="G96" s="1">
        <v>41</v>
      </c>
      <c r="H96" s="1">
        <v>85</v>
      </c>
      <c r="I96" s="1">
        <v>0.99380000000000002</v>
      </c>
      <c r="J96" s="1">
        <v>3.75</v>
      </c>
      <c r="K96" s="1">
        <v>0.48</v>
      </c>
      <c r="L96" s="1">
        <v>10.5</v>
      </c>
      <c r="M96" s="2">
        <v>4</v>
      </c>
      <c r="N96" s="2" t="str" cm="1">
        <f t="array" ref="N96">_xlfn.IFS(Table1[[#This Row],[quality]]&lt;=4,"Low",Table1[[#This Row],[quality]]&lt;=6,"Medium",Table1[[#This Row],[quality]]&gt;=7,"High")</f>
        <v>Low</v>
      </c>
      <c r="O96" s="2" t="str">
        <f>IF(AND(Table1[[#This Row],[fixed acidity]]&gt;Sheet1!$C$4,Table1[[#This Row],[pH]]&lt;Sheet1!$K$4),"High","Normal")</f>
        <v>Normal</v>
      </c>
      <c r="P96" s="1">
        <f>(Table1[[#This Row],[alcohol]]*2)+(Table1[[#This Row],[sulphates]]*1.5)-(Table1[[#This Row],[volatile acidity]]*2)</f>
        <v>19.68</v>
      </c>
      <c r="Q96" s="1">
        <f>RANK(Table1[[#This Row],[Quality_score_index]],Table1[Quality_score_index],0)</f>
        <v>929</v>
      </c>
      <c r="R96" s="1">
        <f>Table1[[#This Row],[total sulfur dioxide]]-Table1[[#This Row],[free sulfur dioxide]]</f>
        <v>44</v>
      </c>
      <c r="S96" s="1" t="str">
        <f>IF(AND(Table1[[#This Row],[pH]]&gt;=3.2,Table1[[#This Row],[alcohol]]&gt;=10),"White wine","Red wine")</f>
        <v>White wine</v>
      </c>
    </row>
    <row r="97" spans="1:19" x14ac:dyDescent="0.3">
      <c r="A97" s="13">
        <v>96</v>
      </c>
      <c r="B97" s="1">
        <v>4.7</v>
      </c>
      <c r="C97" s="1">
        <v>0.6</v>
      </c>
      <c r="D97" s="1">
        <v>0.17</v>
      </c>
      <c r="E97" s="1">
        <v>2.2999999999999998</v>
      </c>
      <c r="F97" s="1">
        <v>5.8000000000000003E-2</v>
      </c>
      <c r="G97" s="1">
        <v>17</v>
      </c>
      <c r="H97" s="1">
        <v>106</v>
      </c>
      <c r="I97" s="1">
        <v>0.99319999999999997</v>
      </c>
      <c r="J97" s="1">
        <v>3.85</v>
      </c>
      <c r="K97" s="1">
        <v>0.6</v>
      </c>
      <c r="L97" s="1">
        <v>12.9</v>
      </c>
      <c r="M97" s="2">
        <v>6</v>
      </c>
      <c r="N97" s="2" t="str" cm="1">
        <f t="array" ref="N97">_xlfn.IFS(Table1[[#This Row],[quality]]&lt;=4,"Low",Table1[[#This Row],[quality]]&lt;=6,"Medium",Table1[[#This Row],[quality]]&gt;=7,"High")</f>
        <v>Medium</v>
      </c>
      <c r="O97" s="2" t="str">
        <f>IF(AND(Table1[[#This Row],[fixed acidity]]&gt;Sheet1!$C$4,Table1[[#This Row],[pH]]&lt;Sheet1!$K$4),"High","Normal")</f>
        <v>Normal</v>
      </c>
      <c r="P97" s="1">
        <f>(Table1[[#This Row],[alcohol]]*2)+(Table1[[#This Row],[sulphates]]*1.5)-(Table1[[#This Row],[volatile acidity]]*2)</f>
        <v>25.5</v>
      </c>
      <c r="Q97" s="1">
        <f>RANK(Table1[[#This Row],[Quality_score_index]],Table1[Quality_score_index],0)</f>
        <v>53</v>
      </c>
      <c r="R97" s="1">
        <f>Table1[[#This Row],[total sulfur dioxide]]-Table1[[#This Row],[free sulfur dioxide]]</f>
        <v>89</v>
      </c>
      <c r="S97" s="1" t="str">
        <f>IF(AND(Table1[[#This Row],[pH]]&gt;=3.2,Table1[[#This Row],[alcohol]]&gt;=10),"White wine","Red wine")</f>
        <v>White wine</v>
      </c>
    </row>
    <row r="98" spans="1:19" x14ac:dyDescent="0.3">
      <c r="A98" s="13">
        <v>97</v>
      </c>
      <c r="B98" s="1">
        <v>6.8</v>
      </c>
      <c r="C98" s="1">
        <v>0.77500000000000002</v>
      </c>
      <c r="D98" s="1">
        <v>0</v>
      </c>
      <c r="E98" s="1">
        <v>3</v>
      </c>
      <c r="F98" s="1">
        <v>0.10199999999999999</v>
      </c>
      <c r="G98" s="1">
        <v>8</v>
      </c>
      <c r="H98" s="1">
        <v>23</v>
      </c>
      <c r="I98" s="1">
        <v>0.99650000000000005</v>
      </c>
      <c r="J98" s="1">
        <v>3.45</v>
      </c>
      <c r="K98" s="1">
        <v>0.56000000000000005</v>
      </c>
      <c r="L98" s="1">
        <v>10.7</v>
      </c>
      <c r="M98" s="2">
        <v>5</v>
      </c>
      <c r="N98" s="2" t="str" cm="1">
        <f t="array" ref="N98">_xlfn.IFS(Table1[[#This Row],[quality]]&lt;=4,"Low",Table1[[#This Row],[quality]]&lt;=6,"Medium",Table1[[#This Row],[quality]]&gt;=7,"High")</f>
        <v>Medium</v>
      </c>
      <c r="O98" s="2" t="str">
        <f>IF(AND(Table1[[#This Row],[fixed acidity]]&gt;Sheet1!$C$4,Table1[[#This Row],[pH]]&lt;Sheet1!$K$4),"High","Normal")</f>
        <v>Normal</v>
      </c>
      <c r="P98" s="1">
        <f>(Table1[[#This Row],[alcohol]]*2)+(Table1[[#This Row],[sulphates]]*1.5)-(Table1[[#This Row],[volatile acidity]]*2)</f>
        <v>20.689999999999998</v>
      </c>
      <c r="Q98" s="1">
        <f>RANK(Table1[[#This Row],[Quality_score_index]],Table1[Quality_score_index],0)</f>
        <v>725</v>
      </c>
      <c r="R98" s="1">
        <f>Table1[[#This Row],[total sulfur dioxide]]-Table1[[#This Row],[free sulfur dioxide]]</f>
        <v>15</v>
      </c>
      <c r="S98" s="1" t="str">
        <f>IF(AND(Table1[[#This Row],[pH]]&gt;=3.2,Table1[[#This Row],[alcohol]]&gt;=10),"White wine","Red wine")</f>
        <v>White wine</v>
      </c>
    </row>
    <row r="99" spans="1:19" x14ac:dyDescent="0.3">
      <c r="A99" s="13">
        <v>98</v>
      </c>
      <c r="B99" s="1">
        <v>7</v>
      </c>
      <c r="C99" s="1">
        <v>0.5</v>
      </c>
      <c r="D99" s="1">
        <v>0.25</v>
      </c>
      <c r="E99" s="1">
        <v>2</v>
      </c>
      <c r="F99" s="1">
        <v>7.0000000000000007E-2</v>
      </c>
      <c r="G99" s="1">
        <v>3</v>
      </c>
      <c r="H99" s="1">
        <v>22</v>
      </c>
      <c r="I99" s="1">
        <v>0.99629999999999996</v>
      </c>
      <c r="J99" s="1">
        <v>3.25</v>
      </c>
      <c r="K99" s="1">
        <v>0.63</v>
      </c>
      <c r="L99" s="1">
        <v>9.1999999999999993</v>
      </c>
      <c r="M99" s="2">
        <v>5</v>
      </c>
      <c r="N99" s="2" t="str" cm="1">
        <f t="array" ref="N99">_xlfn.IFS(Table1[[#This Row],[quality]]&lt;=4,"Low",Table1[[#This Row],[quality]]&lt;=6,"Medium",Table1[[#This Row],[quality]]&gt;=7,"High")</f>
        <v>Medium</v>
      </c>
      <c r="O99" s="2" t="str">
        <f>IF(AND(Table1[[#This Row],[fixed acidity]]&gt;Sheet1!$C$4,Table1[[#This Row],[pH]]&lt;Sheet1!$K$4),"High","Normal")</f>
        <v>Normal</v>
      </c>
      <c r="P99" s="1">
        <f>(Table1[[#This Row],[alcohol]]*2)+(Table1[[#This Row],[sulphates]]*1.5)-(Table1[[#This Row],[volatile acidity]]*2)</f>
        <v>18.344999999999999</v>
      </c>
      <c r="Q99" s="1">
        <f>RANK(Table1[[#This Row],[Quality_score_index]],Table1[Quality_score_index],0)</f>
        <v>1436</v>
      </c>
      <c r="R99" s="1">
        <f>Table1[[#This Row],[total sulfur dioxide]]-Table1[[#This Row],[free sulfur dioxide]]</f>
        <v>19</v>
      </c>
      <c r="S99" s="1" t="str">
        <f>IF(AND(Table1[[#This Row],[pH]]&gt;=3.2,Table1[[#This Row],[alcohol]]&gt;=10),"White wine","Red wine")</f>
        <v>Red wine</v>
      </c>
    </row>
    <row r="100" spans="1:19" x14ac:dyDescent="0.3">
      <c r="A100" s="13">
        <v>99</v>
      </c>
      <c r="B100" s="1">
        <v>7.6</v>
      </c>
      <c r="C100" s="1">
        <v>0.9</v>
      </c>
      <c r="D100" s="1">
        <v>0.06</v>
      </c>
      <c r="E100" s="1">
        <v>2.5</v>
      </c>
      <c r="F100" s="1">
        <v>7.9000000000000001E-2</v>
      </c>
      <c r="G100" s="1">
        <v>5</v>
      </c>
      <c r="H100" s="1">
        <v>10</v>
      </c>
      <c r="I100" s="1">
        <v>0.99670000000000003</v>
      </c>
      <c r="J100" s="1">
        <v>3.39</v>
      </c>
      <c r="K100" s="1">
        <v>0.56000000000000005</v>
      </c>
      <c r="L100" s="1">
        <v>9.8000000000000007</v>
      </c>
      <c r="M100" s="2">
        <v>5</v>
      </c>
      <c r="N100" s="2" t="str" cm="1">
        <f t="array" ref="N100">_xlfn.IFS(Table1[[#This Row],[quality]]&lt;=4,"Low",Table1[[#This Row],[quality]]&lt;=6,"Medium",Table1[[#This Row],[quality]]&gt;=7,"High")</f>
        <v>Medium</v>
      </c>
      <c r="O100" s="2" t="str">
        <f>IF(AND(Table1[[#This Row],[fixed acidity]]&gt;Sheet1!$C$4,Table1[[#This Row],[pH]]&lt;Sheet1!$K$4),"High","Normal")</f>
        <v>Normal</v>
      </c>
      <c r="P100" s="1">
        <f>(Table1[[#This Row],[alcohol]]*2)+(Table1[[#This Row],[sulphates]]*1.5)-(Table1[[#This Row],[volatile acidity]]*2)</f>
        <v>18.64</v>
      </c>
      <c r="Q100" s="1">
        <f>RANK(Table1[[#This Row],[Quality_score_index]],Table1[Quality_score_index],0)</f>
        <v>1327</v>
      </c>
      <c r="R100" s="1">
        <f>Table1[[#This Row],[total sulfur dioxide]]-Table1[[#This Row],[free sulfur dioxide]]</f>
        <v>5</v>
      </c>
      <c r="S100" s="1" t="str">
        <f>IF(AND(Table1[[#This Row],[pH]]&gt;=3.2,Table1[[#This Row],[alcohol]]&gt;=10),"White wine","Red wine")</f>
        <v>Red wine</v>
      </c>
    </row>
    <row r="101" spans="1:19" x14ac:dyDescent="0.3">
      <c r="A101" s="13">
        <v>100</v>
      </c>
      <c r="B101" s="1">
        <v>8.1</v>
      </c>
      <c r="C101" s="1">
        <v>0.54500000000000004</v>
      </c>
      <c r="D101" s="1">
        <v>0.18</v>
      </c>
      <c r="E101" s="1">
        <v>1.9</v>
      </c>
      <c r="F101" s="1">
        <v>0.08</v>
      </c>
      <c r="G101" s="1">
        <v>13</v>
      </c>
      <c r="H101" s="1">
        <v>35</v>
      </c>
      <c r="I101" s="1">
        <v>0.99719999999999998</v>
      </c>
      <c r="J101" s="1">
        <v>3.3</v>
      </c>
      <c r="K101" s="1">
        <v>0.59</v>
      </c>
      <c r="L101" s="1">
        <v>9</v>
      </c>
      <c r="M101" s="2">
        <v>6</v>
      </c>
      <c r="N101" s="2" t="str" cm="1">
        <f t="array" ref="N101">_xlfn.IFS(Table1[[#This Row],[quality]]&lt;=4,"Low",Table1[[#This Row],[quality]]&lt;=6,"Medium",Table1[[#This Row],[quality]]&gt;=7,"High")</f>
        <v>Medium</v>
      </c>
      <c r="O101" s="2" t="str">
        <f>IF(AND(Table1[[#This Row],[fixed acidity]]&gt;Sheet1!$C$4,Table1[[#This Row],[pH]]&lt;Sheet1!$K$4),"High","Normal")</f>
        <v>Normal</v>
      </c>
      <c r="P101" s="1">
        <f>(Table1[[#This Row],[alcohol]]*2)+(Table1[[#This Row],[sulphates]]*1.5)-(Table1[[#This Row],[volatile acidity]]*2)</f>
        <v>17.795000000000002</v>
      </c>
      <c r="Q101" s="1">
        <f>RANK(Table1[[#This Row],[Quality_score_index]],Table1[Quality_score_index],0)</f>
        <v>1556</v>
      </c>
      <c r="R101" s="1">
        <f>Table1[[#This Row],[total sulfur dioxide]]-Table1[[#This Row],[free sulfur dioxide]]</f>
        <v>22</v>
      </c>
      <c r="S101" s="1" t="str">
        <f>IF(AND(Table1[[#This Row],[pH]]&gt;=3.2,Table1[[#This Row],[alcohol]]&gt;=10),"White wine","Red wine")</f>
        <v>Red wine</v>
      </c>
    </row>
    <row r="102" spans="1:19" x14ac:dyDescent="0.3">
      <c r="A102" s="13">
        <v>101</v>
      </c>
      <c r="B102" s="1">
        <v>8.3000000000000007</v>
      </c>
      <c r="C102" s="1">
        <v>0.61</v>
      </c>
      <c r="D102" s="1">
        <v>0.3</v>
      </c>
      <c r="E102" s="1">
        <v>2.1</v>
      </c>
      <c r="F102" s="1">
        <v>8.4000000000000005E-2</v>
      </c>
      <c r="G102" s="1">
        <v>11</v>
      </c>
      <c r="H102" s="1">
        <v>50</v>
      </c>
      <c r="I102" s="1">
        <v>0.99719999999999998</v>
      </c>
      <c r="J102" s="1">
        <v>3.4</v>
      </c>
      <c r="K102" s="1">
        <v>0.61</v>
      </c>
      <c r="L102" s="1">
        <v>10.199999999999999</v>
      </c>
      <c r="M102" s="2">
        <v>6</v>
      </c>
      <c r="N102" s="2" t="str" cm="1">
        <f t="array" ref="N102">_xlfn.IFS(Table1[[#This Row],[quality]]&lt;=4,"Low",Table1[[#This Row],[quality]]&lt;=6,"Medium",Table1[[#This Row],[quality]]&gt;=7,"High")</f>
        <v>Medium</v>
      </c>
      <c r="O102" s="2" t="str">
        <f>IF(AND(Table1[[#This Row],[fixed acidity]]&gt;Sheet1!$C$4,Table1[[#This Row],[pH]]&lt;Sheet1!$K$4),"High","Normal")</f>
        <v>Normal</v>
      </c>
      <c r="P102" s="1">
        <f>(Table1[[#This Row],[alcohol]]*2)+(Table1[[#This Row],[sulphates]]*1.5)-(Table1[[#This Row],[volatile acidity]]*2)</f>
        <v>20.094999999999999</v>
      </c>
      <c r="Q102" s="1">
        <f>RANK(Table1[[#This Row],[Quality_score_index]],Table1[Quality_score_index],0)</f>
        <v>840</v>
      </c>
      <c r="R102" s="1">
        <f>Table1[[#This Row],[total sulfur dioxide]]-Table1[[#This Row],[free sulfur dioxide]]</f>
        <v>39</v>
      </c>
      <c r="S102" s="1" t="str">
        <f>IF(AND(Table1[[#This Row],[pH]]&gt;=3.2,Table1[[#This Row],[alcohol]]&gt;=10),"White wine","Red wine")</f>
        <v>White wine</v>
      </c>
    </row>
    <row r="103" spans="1:19" x14ac:dyDescent="0.3">
      <c r="A103" s="13">
        <v>102</v>
      </c>
      <c r="B103" s="1">
        <v>7.8</v>
      </c>
      <c r="C103" s="1">
        <v>0.5</v>
      </c>
      <c r="D103" s="1">
        <v>0.3</v>
      </c>
      <c r="E103" s="1">
        <v>1.9</v>
      </c>
      <c r="F103" s="1">
        <v>7.4999999999999997E-2</v>
      </c>
      <c r="G103" s="1">
        <v>8</v>
      </c>
      <c r="H103" s="1">
        <v>22</v>
      </c>
      <c r="I103" s="1">
        <v>0.99590000000000001</v>
      </c>
      <c r="J103" s="1">
        <v>3.31</v>
      </c>
      <c r="K103" s="1">
        <v>0.56000000000000005</v>
      </c>
      <c r="L103" s="1">
        <v>10.4</v>
      </c>
      <c r="M103" s="2">
        <v>6</v>
      </c>
      <c r="N103" s="2" t="str" cm="1">
        <f t="array" ref="N103">_xlfn.IFS(Table1[[#This Row],[quality]]&lt;=4,"Low",Table1[[#This Row],[quality]]&lt;=6,"Medium",Table1[[#This Row],[quality]]&gt;=7,"High")</f>
        <v>Medium</v>
      </c>
      <c r="O103" s="2" t="str">
        <f>IF(AND(Table1[[#This Row],[fixed acidity]]&gt;Sheet1!$C$4,Table1[[#This Row],[pH]]&lt;Sheet1!$K$4),"High","Normal")</f>
        <v>Normal</v>
      </c>
      <c r="P103" s="1">
        <f>(Table1[[#This Row],[alcohol]]*2)+(Table1[[#This Row],[sulphates]]*1.5)-(Table1[[#This Row],[volatile acidity]]*2)</f>
        <v>20.64</v>
      </c>
      <c r="Q103" s="1">
        <f>RANK(Table1[[#This Row],[Quality_score_index]],Table1[Quality_score_index],0)</f>
        <v>733</v>
      </c>
      <c r="R103" s="1">
        <f>Table1[[#This Row],[total sulfur dioxide]]-Table1[[#This Row],[free sulfur dioxide]]</f>
        <v>14</v>
      </c>
      <c r="S103" s="1" t="str">
        <f>IF(AND(Table1[[#This Row],[pH]]&gt;=3.2,Table1[[#This Row],[alcohol]]&gt;=10),"White wine","Red wine")</f>
        <v>White wine</v>
      </c>
    </row>
    <row r="104" spans="1:19" x14ac:dyDescent="0.3">
      <c r="A104" s="13">
        <v>103</v>
      </c>
      <c r="B104" s="1">
        <v>8.1</v>
      </c>
      <c r="C104" s="1">
        <v>0.54500000000000004</v>
      </c>
      <c r="D104" s="1">
        <v>0.18</v>
      </c>
      <c r="E104" s="1">
        <v>1.9</v>
      </c>
      <c r="F104" s="1">
        <v>0.08</v>
      </c>
      <c r="G104" s="1">
        <v>13</v>
      </c>
      <c r="H104" s="1">
        <v>35</v>
      </c>
      <c r="I104" s="1">
        <v>0.99719999999999998</v>
      </c>
      <c r="J104" s="1">
        <v>3.3</v>
      </c>
      <c r="K104" s="1">
        <v>0.59</v>
      </c>
      <c r="L104" s="1">
        <v>9</v>
      </c>
      <c r="M104" s="2">
        <v>6</v>
      </c>
      <c r="N104" s="2" t="str" cm="1">
        <f t="array" ref="N104">_xlfn.IFS(Table1[[#This Row],[quality]]&lt;=4,"Low",Table1[[#This Row],[quality]]&lt;=6,"Medium",Table1[[#This Row],[quality]]&gt;=7,"High")</f>
        <v>Medium</v>
      </c>
      <c r="O104" s="2" t="str">
        <f>IF(AND(Table1[[#This Row],[fixed acidity]]&gt;Sheet1!$C$4,Table1[[#This Row],[pH]]&lt;Sheet1!$K$4),"High","Normal")</f>
        <v>Normal</v>
      </c>
      <c r="P104" s="1">
        <f>(Table1[[#This Row],[alcohol]]*2)+(Table1[[#This Row],[sulphates]]*1.5)-(Table1[[#This Row],[volatile acidity]]*2)</f>
        <v>17.795000000000002</v>
      </c>
      <c r="Q104" s="1">
        <f>RANK(Table1[[#This Row],[Quality_score_index]],Table1[Quality_score_index],0)</f>
        <v>1556</v>
      </c>
      <c r="R104" s="1">
        <f>Table1[[#This Row],[total sulfur dioxide]]-Table1[[#This Row],[free sulfur dioxide]]</f>
        <v>22</v>
      </c>
      <c r="S104" s="1" t="str">
        <f>IF(AND(Table1[[#This Row],[pH]]&gt;=3.2,Table1[[#This Row],[alcohol]]&gt;=10),"White wine","Red wine")</f>
        <v>Red wine</v>
      </c>
    </row>
    <row r="105" spans="1:19" x14ac:dyDescent="0.3">
      <c r="A105" s="13">
        <v>104</v>
      </c>
      <c r="B105" s="1">
        <v>8.1</v>
      </c>
      <c r="C105" s="1">
        <v>0.57499999999999996</v>
      </c>
      <c r="D105" s="1">
        <v>0.22</v>
      </c>
      <c r="E105" s="1">
        <v>2.1</v>
      </c>
      <c r="F105" s="1">
        <v>7.6999999999999999E-2</v>
      </c>
      <c r="G105" s="1">
        <v>12</v>
      </c>
      <c r="H105" s="1">
        <v>65</v>
      </c>
      <c r="I105" s="1">
        <v>0.99670000000000003</v>
      </c>
      <c r="J105" s="1">
        <v>3.29</v>
      </c>
      <c r="K105" s="1">
        <v>0.51</v>
      </c>
      <c r="L105" s="1">
        <v>9.1999999999999993</v>
      </c>
      <c r="M105" s="2">
        <v>5</v>
      </c>
      <c r="N105" s="2" t="str" cm="1">
        <f t="array" ref="N105">_xlfn.IFS(Table1[[#This Row],[quality]]&lt;=4,"Low",Table1[[#This Row],[quality]]&lt;=6,"Medium",Table1[[#This Row],[quality]]&gt;=7,"High")</f>
        <v>Medium</v>
      </c>
      <c r="O105" s="2" t="str">
        <f>IF(AND(Table1[[#This Row],[fixed acidity]]&gt;Sheet1!$C$4,Table1[[#This Row],[pH]]&lt;Sheet1!$K$4),"High","Normal")</f>
        <v>Normal</v>
      </c>
      <c r="P105" s="1">
        <f>(Table1[[#This Row],[alcohol]]*2)+(Table1[[#This Row],[sulphates]]*1.5)-(Table1[[#This Row],[volatile acidity]]*2)</f>
        <v>18.015000000000001</v>
      </c>
      <c r="Q105" s="1">
        <f>RANK(Table1[[#This Row],[Quality_score_index]],Table1[Quality_score_index],0)</f>
        <v>1518</v>
      </c>
      <c r="R105" s="1">
        <f>Table1[[#This Row],[total sulfur dioxide]]-Table1[[#This Row],[free sulfur dioxide]]</f>
        <v>53</v>
      </c>
      <c r="S105" s="1" t="str">
        <f>IF(AND(Table1[[#This Row],[pH]]&gt;=3.2,Table1[[#This Row],[alcohol]]&gt;=10),"White wine","Red wine")</f>
        <v>Red wine</v>
      </c>
    </row>
    <row r="106" spans="1:19" x14ac:dyDescent="0.3">
      <c r="A106" s="13">
        <v>105</v>
      </c>
      <c r="B106" s="1">
        <v>7.2</v>
      </c>
      <c r="C106" s="1">
        <v>0.49</v>
      </c>
      <c r="D106" s="1">
        <v>0.24</v>
      </c>
      <c r="E106" s="1">
        <v>2.2000000000000002</v>
      </c>
      <c r="F106" s="1">
        <v>7.0000000000000007E-2</v>
      </c>
      <c r="G106" s="1">
        <v>5</v>
      </c>
      <c r="H106" s="1">
        <v>36</v>
      </c>
      <c r="I106" s="1">
        <v>0.996</v>
      </c>
      <c r="J106" s="1">
        <v>3.33</v>
      </c>
      <c r="K106" s="1">
        <v>0.48</v>
      </c>
      <c r="L106" s="1">
        <v>9.4</v>
      </c>
      <c r="M106" s="2">
        <v>5</v>
      </c>
      <c r="N106" s="2" t="str" cm="1">
        <f t="array" ref="N106">_xlfn.IFS(Table1[[#This Row],[quality]]&lt;=4,"Low",Table1[[#This Row],[quality]]&lt;=6,"Medium",Table1[[#This Row],[quality]]&gt;=7,"High")</f>
        <v>Medium</v>
      </c>
      <c r="O106" s="2" t="str">
        <f>IF(AND(Table1[[#This Row],[fixed acidity]]&gt;Sheet1!$C$4,Table1[[#This Row],[pH]]&lt;Sheet1!$K$4),"High","Normal")</f>
        <v>Normal</v>
      </c>
      <c r="P106" s="1">
        <f>(Table1[[#This Row],[alcohol]]*2)+(Table1[[#This Row],[sulphates]]*1.5)-(Table1[[#This Row],[volatile acidity]]*2)</f>
        <v>18.54</v>
      </c>
      <c r="Q106" s="1">
        <f>RANK(Table1[[#This Row],[Quality_score_index]],Table1[Quality_score_index],0)</f>
        <v>1367</v>
      </c>
      <c r="R106" s="1">
        <f>Table1[[#This Row],[total sulfur dioxide]]-Table1[[#This Row],[free sulfur dioxide]]</f>
        <v>31</v>
      </c>
      <c r="S106" s="1" t="str">
        <f>IF(AND(Table1[[#This Row],[pH]]&gt;=3.2,Table1[[#This Row],[alcohol]]&gt;=10),"White wine","Red wine")</f>
        <v>Red wine</v>
      </c>
    </row>
    <row r="107" spans="1:19" x14ac:dyDescent="0.3">
      <c r="A107" s="13">
        <v>106</v>
      </c>
      <c r="B107" s="1">
        <v>8.1</v>
      </c>
      <c r="C107" s="1">
        <v>0.57499999999999996</v>
      </c>
      <c r="D107" s="1">
        <v>0.22</v>
      </c>
      <c r="E107" s="1">
        <v>2.1</v>
      </c>
      <c r="F107" s="1">
        <v>7.6999999999999999E-2</v>
      </c>
      <c r="G107" s="1">
        <v>12</v>
      </c>
      <c r="H107" s="1">
        <v>65</v>
      </c>
      <c r="I107" s="1">
        <v>0.99670000000000003</v>
      </c>
      <c r="J107" s="1">
        <v>3.29</v>
      </c>
      <c r="K107" s="1">
        <v>0.51</v>
      </c>
      <c r="L107" s="1">
        <v>9.1999999999999993</v>
      </c>
      <c r="M107" s="2">
        <v>5</v>
      </c>
      <c r="N107" s="2" t="str" cm="1">
        <f t="array" ref="N107">_xlfn.IFS(Table1[[#This Row],[quality]]&lt;=4,"Low",Table1[[#This Row],[quality]]&lt;=6,"Medium",Table1[[#This Row],[quality]]&gt;=7,"High")</f>
        <v>Medium</v>
      </c>
      <c r="O107" s="2" t="str">
        <f>IF(AND(Table1[[#This Row],[fixed acidity]]&gt;Sheet1!$C$4,Table1[[#This Row],[pH]]&lt;Sheet1!$K$4),"High","Normal")</f>
        <v>Normal</v>
      </c>
      <c r="P107" s="1">
        <f>(Table1[[#This Row],[alcohol]]*2)+(Table1[[#This Row],[sulphates]]*1.5)-(Table1[[#This Row],[volatile acidity]]*2)</f>
        <v>18.015000000000001</v>
      </c>
      <c r="Q107" s="1">
        <f>RANK(Table1[[#This Row],[Quality_score_index]],Table1[Quality_score_index],0)</f>
        <v>1518</v>
      </c>
      <c r="R107" s="1">
        <f>Table1[[#This Row],[total sulfur dioxide]]-Table1[[#This Row],[free sulfur dioxide]]</f>
        <v>53</v>
      </c>
      <c r="S107" s="1" t="str">
        <f>IF(AND(Table1[[#This Row],[pH]]&gt;=3.2,Table1[[#This Row],[alcohol]]&gt;=10),"White wine","Red wine")</f>
        <v>Red wine</v>
      </c>
    </row>
    <row r="108" spans="1:19" x14ac:dyDescent="0.3">
      <c r="A108" s="13">
        <v>107</v>
      </c>
      <c r="B108" s="1">
        <v>7.8</v>
      </c>
      <c r="C108" s="1">
        <v>0.41</v>
      </c>
      <c r="D108" s="1">
        <v>0.68</v>
      </c>
      <c r="E108" s="1">
        <v>1.7</v>
      </c>
      <c r="F108" s="1">
        <v>0.46700000000000003</v>
      </c>
      <c r="G108" s="1">
        <v>18</v>
      </c>
      <c r="H108" s="1">
        <v>69</v>
      </c>
      <c r="I108" s="1">
        <v>0.99729999999999996</v>
      </c>
      <c r="J108" s="1">
        <v>3.08</v>
      </c>
      <c r="K108" s="1">
        <v>1.31</v>
      </c>
      <c r="L108" s="1">
        <v>9.3000000000000007</v>
      </c>
      <c r="M108" s="2">
        <v>5</v>
      </c>
      <c r="N108" s="2" t="str" cm="1">
        <f t="array" ref="N108">_xlfn.IFS(Table1[[#This Row],[quality]]&lt;=4,"Low",Table1[[#This Row],[quality]]&lt;=6,"Medium",Table1[[#This Row],[quality]]&gt;=7,"High")</f>
        <v>Medium</v>
      </c>
      <c r="O108" s="2" t="str">
        <f>IF(AND(Table1[[#This Row],[fixed acidity]]&gt;Sheet1!$C$4,Table1[[#This Row],[pH]]&lt;Sheet1!$K$4),"High","Normal")</f>
        <v>Normal</v>
      </c>
      <c r="P108" s="1">
        <f>(Table1[[#This Row],[alcohol]]*2)+(Table1[[#This Row],[sulphates]]*1.5)-(Table1[[#This Row],[volatile acidity]]*2)</f>
        <v>19.745000000000001</v>
      </c>
      <c r="Q108" s="1">
        <f>RANK(Table1[[#This Row],[Quality_score_index]],Table1[Quality_score_index],0)</f>
        <v>917</v>
      </c>
      <c r="R108" s="1">
        <f>Table1[[#This Row],[total sulfur dioxide]]-Table1[[#This Row],[free sulfur dioxide]]</f>
        <v>51</v>
      </c>
      <c r="S108" s="1" t="str">
        <f>IF(AND(Table1[[#This Row],[pH]]&gt;=3.2,Table1[[#This Row],[alcohol]]&gt;=10),"White wine","Red wine")</f>
        <v>Red wine</v>
      </c>
    </row>
    <row r="109" spans="1:19" x14ac:dyDescent="0.3">
      <c r="A109" s="13">
        <v>108</v>
      </c>
      <c r="B109" s="1">
        <v>6.2</v>
      </c>
      <c r="C109" s="1">
        <v>0.63</v>
      </c>
      <c r="D109" s="1">
        <v>0.31</v>
      </c>
      <c r="E109" s="1">
        <v>1.7</v>
      </c>
      <c r="F109" s="1">
        <v>8.7999999999999995E-2</v>
      </c>
      <c r="G109" s="1">
        <v>15</v>
      </c>
      <c r="H109" s="1">
        <v>64</v>
      </c>
      <c r="I109" s="1">
        <v>0.99690000000000001</v>
      </c>
      <c r="J109" s="1">
        <v>3.46</v>
      </c>
      <c r="K109" s="1">
        <v>0.79</v>
      </c>
      <c r="L109" s="1">
        <v>9.3000000000000007</v>
      </c>
      <c r="M109" s="2">
        <v>5</v>
      </c>
      <c r="N109" s="2" t="str" cm="1">
        <f t="array" ref="N109">_xlfn.IFS(Table1[[#This Row],[quality]]&lt;=4,"Low",Table1[[#This Row],[quality]]&lt;=6,"Medium",Table1[[#This Row],[quality]]&gt;=7,"High")</f>
        <v>Medium</v>
      </c>
      <c r="O109" s="2" t="str">
        <f>IF(AND(Table1[[#This Row],[fixed acidity]]&gt;Sheet1!$C$4,Table1[[#This Row],[pH]]&lt;Sheet1!$K$4),"High","Normal")</f>
        <v>Normal</v>
      </c>
      <c r="P109" s="1">
        <f>(Table1[[#This Row],[alcohol]]*2)+(Table1[[#This Row],[sulphates]]*1.5)-(Table1[[#This Row],[volatile acidity]]*2)</f>
        <v>18.524999999999999</v>
      </c>
      <c r="Q109" s="1">
        <f>RANK(Table1[[#This Row],[Quality_score_index]],Table1[Quality_score_index],0)</f>
        <v>1369</v>
      </c>
      <c r="R109" s="1">
        <f>Table1[[#This Row],[total sulfur dioxide]]-Table1[[#This Row],[free sulfur dioxide]]</f>
        <v>49</v>
      </c>
      <c r="S109" s="1" t="str">
        <f>IF(AND(Table1[[#This Row],[pH]]&gt;=3.2,Table1[[#This Row],[alcohol]]&gt;=10),"White wine","Red wine")</f>
        <v>Red wine</v>
      </c>
    </row>
    <row r="110" spans="1:19" x14ac:dyDescent="0.3">
      <c r="A110" s="13">
        <v>109</v>
      </c>
      <c r="B110" s="1">
        <v>8</v>
      </c>
      <c r="C110" s="1">
        <v>0.33</v>
      </c>
      <c r="D110" s="1">
        <v>0.53</v>
      </c>
      <c r="E110" s="1">
        <v>2.5</v>
      </c>
      <c r="F110" s="1">
        <v>9.0999999999999998E-2</v>
      </c>
      <c r="G110" s="1">
        <v>18</v>
      </c>
      <c r="H110" s="1">
        <v>80</v>
      </c>
      <c r="I110" s="1">
        <v>0.99760000000000004</v>
      </c>
      <c r="J110" s="1">
        <v>3.37</v>
      </c>
      <c r="K110" s="1">
        <v>0.8</v>
      </c>
      <c r="L110" s="1">
        <v>9.6</v>
      </c>
      <c r="M110" s="2">
        <v>6</v>
      </c>
      <c r="N110" s="2" t="str" cm="1">
        <f t="array" ref="N110">_xlfn.IFS(Table1[[#This Row],[quality]]&lt;=4,"Low",Table1[[#This Row],[quality]]&lt;=6,"Medium",Table1[[#This Row],[quality]]&gt;=7,"High")</f>
        <v>Medium</v>
      </c>
      <c r="O110" s="2" t="str">
        <f>IF(AND(Table1[[#This Row],[fixed acidity]]&gt;Sheet1!$C$4,Table1[[#This Row],[pH]]&lt;Sheet1!$K$4),"High","Normal")</f>
        <v>Normal</v>
      </c>
      <c r="P110" s="1">
        <f>(Table1[[#This Row],[alcohol]]*2)+(Table1[[#This Row],[sulphates]]*1.5)-(Table1[[#This Row],[volatile acidity]]*2)</f>
        <v>19.739999999999998</v>
      </c>
      <c r="Q110" s="1">
        <f>RANK(Table1[[#This Row],[Quality_score_index]],Table1[Quality_score_index],0)</f>
        <v>919</v>
      </c>
      <c r="R110" s="1">
        <f>Table1[[#This Row],[total sulfur dioxide]]-Table1[[#This Row],[free sulfur dioxide]]</f>
        <v>62</v>
      </c>
      <c r="S110" s="1" t="str">
        <f>IF(AND(Table1[[#This Row],[pH]]&gt;=3.2,Table1[[#This Row],[alcohol]]&gt;=10),"White wine","Red wine")</f>
        <v>Red wine</v>
      </c>
    </row>
    <row r="111" spans="1:19" x14ac:dyDescent="0.3">
      <c r="A111" s="13">
        <v>110</v>
      </c>
      <c r="B111" s="1">
        <v>8.1</v>
      </c>
      <c r="C111" s="1">
        <v>0.78500000000000003</v>
      </c>
      <c r="D111" s="1">
        <v>0.52</v>
      </c>
      <c r="E111" s="1">
        <v>2</v>
      </c>
      <c r="F111" s="1">
        <v>0.122</v>
      </c>
      <c r="G111" s="1">
        <v>37</v>
      </c>
      <c r="H111" s="1">
        <v>153</v>
      </c>
      <c r="I111" s="1">
        <v>0.99690000000000001</v>
      </c>
      <c r="J111" s="1">
        <v>3.21</v>
      </c>
      <c r="K111" s="1">
        <v>0.69</v>
      </c>
      <c r="L111" s="1">
        <v>9.3000000000000007</v>
      </c>
      <c r="M111" s="2">
        <v>5</v>
      </c>
      <c r="N111" s="2" t="str" cm="1">
        <f t="array" ref="N111">_xlfn.IFS(Table1[[#This Row],[quality]]&lt;=4,"Low",Table1[[#This Row],[quality]]&lt;=6,"Medium",Table1[[#This Row],[quality]]&gt;=7,"High")</f>
        <v>Medium</v>
      </c>
      <c r="O111" s="2" t="str">
        <f>IF(AND(Table1[[#This Row],[fixed acidity]]&gt;Sheet1!$C$4,Table1[[#This Row],[pH]]&lt;Sheet1!$K$4),"High","Normal")</f>
        <v>Normal</v>
      </c>
      <c r="P111" s="1">
        <f>(Table1[[#This Row],[alcohol]]*2)+(Table1[[#This Row],[sulphates]]*1.5)-(Table1[[#This Row],[volatile acidity]]*2)</f>
        <v>18.065000000000001</v>
      </c>
      <c r="Q111" s="1">
        <f>RANK(Table1[[#This Row],[Quality_score_index]],Table1[Quality_score_index],0)</f>
        <v>1509</v>
      </c>
      <c r="R111" s="1">
        <f>Table1[[#This Row],[total sulfur dioxide]]-Table1[[#This Row],[free sulfur dioxide]]</f>
        <v>116</v>
      </c>
      <c r="S111" s="1" t="str">
        <f>IF(AND(Table1[[#This Row],[pH]]&gt;=3.2,Table1[[#This Row],[alcohol]]&gt;=10),"White wine","Red wine")</f>
        <v>Red wine</v>
      </c>
    </row>
    <row r="112" spans="1:19" x14ac:dyDescent="0.3">
      <c r="A112" s="13">
        <v>111</v>
      </c>
      <c r="B112" s="1">
        <v>7.8</v>
      </c>
      <c r="C112" s="1">
        <v>0.56000000000000005</v>
      </c>
      <c r="D112" s="1">
        <v>0.19</v>
      </c>
      <c r="E112" s="1">
        <v>1.8</v>
      </c>
      <c r="F112" s="1">
        <v>0.104</v>
      </c>
      <c r="G112" s="1">
        <v>12</v>
      </c>
      <c r="H112" s="1">
        <v>47</v>
      </c>
      <c r="I112" s="1">
        <v>0.99639999999999995</v>
      </c>
      <c r="J112" s="1">
        <v>3.19</v>
      </c>
      <c r="K112" s="1">
        <v>0.93</v>
      </c>
      <c r="L112" s="1">
        <v>9.5</v>
      </c>
      <c r="M112" s="2">
        <v>5</v>
      </c>
      <c r="N112" s="2" t="str" cm="1">
        <f t="array" ref="N112">_xlfn.IFS(Table1[[#This Row],[quality]]&lt;=4,"Low",Table1[[#This Row],[quality]]&lt;=6,"Medium",Table1[[#This Row],[quality]]&gt;=7,"High")</f>
        <v>Medium</v>
      </c>
      <c r="O112" s="2" t="str">
        <f>IF(AND(Table1[[#This Row],[fixed acidity]]&gt;Sheet1!$C$4,Table1[[#This Row],[pH]]&lt;Sheet1!$K$4),"High","Normal")</f>
        <v>Normal</v>
      </c>
      <c r="P112" s="1">
        <f>(Table1[[#This Row],[alcohol]]*2)+(Table1[[#This Row],[sulphates]]*1.5)-(Table1[[#This Row],[volatile acidity]]*2)</f>
        <v>19.274999999999999</v>
      </c>
      <c r="Q112" s="1">
        <f>RANK(Table1[[#This Row],[Quality_score_index]],Table1[Quality_score_index],0)</f>
        <v>1051</v>
      </c>
      <c r="R112" s="1">
        <f>Table1[[#This Row],[total sulfur dioxide]]-Table1[[#This Row],[free sulfur dioxide]]</f>
        <v>35</v>
      </c>
      <c r="S112" s="1" t="str">
        <f>IF(AND(Table1[[#This Row],[pH]]&gt;=3.2,Table1[[#This Row],[alcohol]]&gt;=10),"White wine","Red wine")</f>
        <v>Red wine</v>
      </c>
    </row>
    <row r="113" spans="1:19" x14ac:dyDescent="0.3">
      <c r="A113" s="13">
        <v>112</v>
      </c>
      <c r="B113" s="1">
        <v>8.4</v>
      </c>
      <c r="C113" s="1">
        <v>0.62</v>
      </c>
      <c r="D113" s="1">
        <v>0.09</v>
      </c>
      <c r="E113" s="1">
        <v>2.2000000000000002</v>
      </c>
      <c r="F113" s="1">
        <v>8.4000000000000005E-2</v>
      </c>
      <c r="G113" s="1">
        <v>11</v>
      </c>
      <c r="H113" s="1">
        <v>108</v>
      </c>
      <c r="I113" s="1">
        <v>0.99639999999999995</v>
      </c>
      <c r="J113" s="1">
        <v>3.15</v>
      </c>
      <c r="K113" s="1">
        <v>0.66</v>
      </c>
      <c r="L113" s="1">
        <v>9.8000000000000007</v>
      </c>
      <c r="M113" s="2">
        <v>5</v>
      </c>
      <c r="N113" s="2" t="str" cm="1">
        <f t="array" ref="N113">_xlfn.IFS(Table1[[#This Row],[quality]]&lt;=4,"Low",Table1[[#This Row],[quality]]&lt;=6,"Medium",Table1[[#This Row],[quality]]&gt;=7,"High")</f>
        <v>Medium</v>
      </c>
      <c r="O113" s="2" t="str">
        <f>IF(AND(Table1[[#This Row],[fixed acidity]]&gt;Sheet1!$C$4,Table1[[#This Row],[pH]]&lt;Sheet1!$K$4),"High","Normal")</f>
        <v>High</v>
      </c>
      <c r="P113" s="1">
        <f>(Table1[[#This Row],[alcohol]]*2)+(Table1[[#This Row],[sulphates]]*1.5)-(Table1[[#This Row],[volatile acidity]]*2)</f>
        <v>19.350000000000001</v>
      </c>
      <c r="Q113" s="1">
        <f>RANK(Table1[[#This Row],[Quality_score_index]],Table1[Quality_score_index],0)</f>
        <v>1024</v>
      </c>
      <c r="R113" s="1">
        <f>Table1[[#This Row],[total sulfur dioxide]]-Table1[[#This Row],[free sulfur dioxide]]</f>
        <v>97</v>
      </c>
      <c r="S113" s="1" t="str">
        <f>IF(AND(Table1[[#This Row],[pH]]&gt;=3.2,Table1[[#This Row],[alcohol]]&gt;=10),"White wine","Red wine")</f>
        <v>Red wine</v>
      </c>
    </row>
    <row r="114" spans="1:19" x14ac:dyDescent="0.3">
      <c r="A114" s="13">
        <v>113</v>
      </c>
      <c r="B114" s="1">
        <v>8.4</v>
      </c>
      <c r="C114" s="1">
        <v>0.6</v>
      </c>
      <c r="D114" s="1">
        <v>0.1</v>
      </c>
      <c r="E114" s="1">
        <v>2.2000000000000002</v>
      </c>
      <c r="F114" s="1">
        <v>8.5000000000000006E-2</v>
      </c>
      <c r="G114" s="1">
        <v>14</v>
      </c>
      <c r="H114" s="1">
        <v>111</v>
      </c>
      <c r="I114" s="1">
        <v>0.99639999999999995</v>
      </c>
      <c r="J114" s="1">
        <v>3.15</v>
      </c>
      <c r="K114" s="1">
        <v>0.66</v>
      </c>
      <c r="L114" s="1">
        <v>9.8000000000000007</v>
      </c>
      <c r="M114" s="2">
        <v>5</v>
      </c>
      <c r="N114" s="2" t="str" cm="1">
        <f t="array" ref="N114">_xlfn.IFS(Table1[[#This Row],[quality]]&lt;=4,"Low",Table1[[#This Row],[quality]]&lt;=6,"Medium",Table1[[#This Row],[quality]]&gt;=7,"High")</f>
        <v>Medium</v>
      </c>
      <c r="O114" s="2" t="str">
        <f>IF(AND(Table1[[#This Row],[fixed acidity]]&gt;Sheet1!$C$4,Table1[[#This Row],[pH]]&lt;Sheet1!$K$4),"High","Normal")</f>
        <v>High</v>
      </c>
      <c r="P114" s="1">
        <f>(Table1[[#This Row],[alcohol]]*2)+(Table1[[#This Row],[sulphates]]*1.5)-(Table1[[#This Row],[volatile acidity]]*2)</f>
        <v>19.39</v>
      </c>
      <c r="Q114" s="1">
        <f>RANK(Table1[[#This Row],[Quality_score_index]],Table1[Quality_score_index],0)</f>
        <v>1008</v>
      </c>
      <c r="R114" s="1">
        <f>Table1[[#This Row],[total sulfur dioxide]]-Table1[[#This Row],[free sulfur dioxide]]</f>
        <v>97</v>
      </c>
      <c r="S114" s="1" t="str">
        <f>IF(AND(Table1[[#This Row],[pH]]&gt;=3.2,Table1[[#This Row],[alcohol]]&gt;=10),"White wine","Red wine")</f>
        <v>Red wine</v>
      </c>
    </row>
    <row r="115" spans="1:19" x14ac:dyDescent="0.3">
      <c r="A115" s="13">
        <v>114</v>
      </c>
      <c r="B115" s="1">
        <v>10.1</v>
      </c>
      <c r="C115" s="1">
        <v>0.31</v>
      </c>
      <c r="D115" s="1">
        <v>0.44</v>
      </c>
      <c r="E115" s="1">
        <v>2.2999999999999998</v>
      </c>
      <c r="F115" s="1">
        <v>0.08</v>
      </c>
      <c r="G115" s="1">
        <v>22</v>
      </c>
      <c r="H115" s="1">
        <v>46</v>
      </c>
      <c r="I115" s="1">
        <v>0.99880000000000002</v>
      </c>
      <c r="J115" s="1">
        <v>3.32</v>
      </c>
      <c r="K115" s="1">
        <v>0.67</v>
      </c>
      <c r="L115" s="1">
        <v>9.6999999999999993</v>
      </c>
      <c r="M115" s="2">
        <v>6</v>
      </c>
      <c r="N115" s="2" t="str" cm="1">
        <f t="array" ref="N115">_xlfn.IFS(Table1[[#This Row],[quality]]&lt;=4,"Low",Table1[[#This Row],[quality]]&lt;=6,"Medium",Table1[[#This Row],[quality]]&gt;=7,"High")</f>
        <v>Medium</v>
      </c>
      <c r="O115" s="2" t="str">
        <f>IF(AND(Table1[[#This Row],[fixed acidity]]&gt;Sheet1!$C$4,Table1[[#This Row],[pH]]&lt;Sheet1!$K$4),"High","Normal")</f>
        <v>Normal</v>
      </c>
      <c r="P115" s="1">
        <f>(Table1[[#This Row],[alcohol]]*2)+(Table1[[#This Row],[sulphates]]*1.5)-(Table1[[#This Row],[volatile acidity]]*2)</f>
        <v>19.784999999999997</v>
      </c>
      <c r="Q115" s="1">
        <f>RANK(Table1[[#This Row],[Quality_score_index]],Table1[Quality_score_index],0)</f>
        <v>909</v>
      </c>
      <c r="R115" s="1">
        <f>Table1[[#This Row],[total sulfur dioxide]]-Table1[[#This Row],[free sulfur dioxide]]</f>
        <v>24</v>
      </c>
      <c r="S115" s="1" t="str">
        <f>IF(AND(Table1[[#This Row],[pH]]&gt;=3.2,Table1[[#This Row],[alcohol]]&gt;=10),"White wine","Red wine")</f>
        <v>Red wine</v>
      </c>
    </row>
    <row r="116" spans="1:19" x14ac:dyDescent="0.3">
      <c r="A116" s="13">
        <v>115</v>
      </c>
      <c r="B116" s="1">
        <v>7.8</v>
      </c>
      <c r="C116" s="1">
        <v>0.56000000000000005</v>
      </c>
      <c r="D116" s="1">
        <v>0.19</v>
      </c>
      <c r="E116" s="1">
        <v>1.8</v>
      </c>
      <c r="F116" s="1">
        <v>0.104</v>
      </c>
      <c r="G116" s="1">
        <v>12</v>
      </c>
      <c r="H116" s="1">
        <v>47</v>
      </c>
      <c r="I116" s="1">
        <v>0.99639999999999995</v>
      </c>
      <c r="J116" s="1">
        <v>3.19</v>
      </c>
      <c r="K116" s="1">
        <v>0.93</v>
      </c>
      <c r="L116" s="1">
        <v>9.5</v>
      </c>
      <c r="M116" s="2">
        <v>5</v>
      </c>
      <c r="N116" s="2" t="str" cm="1">
        <f t="array" ref="N116">_xlfn.IFS(Table1[[#This Row],[quality]]&lt;=4,"Low",Table1[[#This Row],[quality]]&lt;=6,"Medium",Table1[[#This Row],[quality]]&gt;=7,"High")</f>
        <v>Medium</v>
      </c>
      <c r="O116" s="2" t="str">
        <f>IF(AND(Table1[[#This Row],[fixed acidity]]&gt;Sheet1!$C$4,Table1[[#This Row],[pH]]&lt;Sheet1!$K$4),"High","Normal")</f>
        <v>Normal</v>
      </c>
      <c r="P116" s="1">
        <f>(Table1[[#This Row],[alcohol]]*2)+(Table1[[#This Row],[sulphates]]*1.5)-(Table1[[#This Row],[volatile acidity]]*2)</f>
        <v>19.274999999999999</v>
      </c>
      <c r="Q116" s="1">
        <f>RANK(Table1[[#This Row],[Quality_score_index]],Table1[Quality_score_index],0)</f>
        <v>1051</v>
      </c>
      <c r="R116" s="1">
        <f>Table1[[#This Row],[total sulfur dioxide]]-Table1[[#This Row],[free sulfur dioxide]]</f>
        <v>35</v>
      </c>
      <c r="S116" s="1" t="str">
        <f>IF(AND(Table1[[#This Row],[pH]]&gt;=3.2,Table1[[#This Row],[alcohol]]&gt;=10),"White wine","Red wine")</f>
        <v>Red wine</v>
      </c>
    </row>
    <row r="117" spans="1:19" x14ac:dyDescent="0.3">
      <c r="A117" s="13">
        <v>116</v>
      </c>
      <c r="B117" s="1">
        <v>9.4</v>
      </c>
      <c r="C117" s="1">
        <v>0.4</v>
      </c>
      <c r="D117" s="1">
        <v>0.31</v>
      </c>
      <c r="E117" s="1">
        <v>2.2000000000000002</v>
      </c>
      <c r="F117" s="1">
        <v>0.09</v>
      </c>
      <c r="G117" s="1">
        <v>13</v>
      </c>
      <c r="H117" s="1">
        <v>62</v>
      </c>
      <c r="I117" s="1">
        <v>0.99660000000000004</v>
      </c>
      <c r="J117" s="1">
        <v>3.07</v>
      </c>
      <c r="K117" s="1">
        <v>0.63</v>
      </c>
      <c r="L117" s="1">
        <v>10.5</v>
      </c>
      <c r="M117" s="2">
        <v>6</v>
      </c>
      <c r="N117" s="2" t="str" cm="1">
        <f t="array" ref="N117">_xlfn.IFS(Table1[[#This Row],[quality]]&lt;=4,"Low",Table1[[#This Row],[quality]]&lt;=6,"Medium",Table1[[#This Row],[quality]]&gt;=7,"High")</f>
        <v>Medium</v>
      </c>
      <c r="O117" s="2" t="str">
        <f>IF(AND(Table1[[#This Row],[fixed acidity]]&gt;Sheet1!$C$4,Table1[[#This Row],[pH]]&lt;Sheet1!$K$4),"High","Normal")</f>
        <v>High</v>
      </c>
      <c r="P117" s="1">
        <f>(Table1[[#This Row],[alcohol]]*2)+(Table1[[#This Row],[sulphates]]*1.5)-(Table1[[#This Row],[volatile acidity]]*2)</f>
        <v>21.145</v>
      </c>
      <c r="Q117" s="1">
        <f>RANK(Table1[[#This Row],[Quality_score_index]],Table1[Quality_score_index],0)</f>
        <v>625</v>
      </c>
      <c r="R117" s="1">
        <f>Table1[[#This Row],[total sulfur dioxide]]-Table1[[#This Row],[free sulfur dioxide]]</f>
        <v>49</v>
      </c>
      <c r="S117" s="1" t="str">
        <f>IF(AND(Table1[[#This Row],[pH]]&gt;=3.2,Table1[[#This Row],[alcohol]]&gt;=10),"White wine","Red wine")</f>
        <v>Red wine</v>
      </c>
    </row>
    <row r="118" spans="1:19" x14ac:dyDescent="0.3">
      <c r="A118" s="13">
        <v>117</v>
      </c>
      <c r="B118" s="1">
        <v>8.3000000000000007</v>
      </c>
      <c r="C118" s="1">
        <v>0.54</v>
      </c>
      <c r="D118" s="1">
        <v>0.28000000000000003</v>
      </c>
      <c r="E118" s="1">
        <v>1.9</v>
      </c>
      <c r="F118" s="1">
        <v>7.6999999999999999E-2</v>
      </c>
      <c r="G118" s="1">
        <v>11</v>
      </c>
      <c r="H118" s="1">
        <v>40</v>
      </c>
      <c r="I118" s="1">
        <v>0.99780000000000002</v>
      </c>
      <c r="J118" s="1">
        <v>3.39</v>
      </c>
      <c r="K118" s="1">
        <v>0.61</v>
      </c>
      <c r="L118" s="1">
        <v>10</v>
      </c>
      <c r="M118" s="2">
        <v>6</v>
      </c>
      <c r="N118" s="2" t="str" cm="1">
        <f t="array" ref="N118">_xlfn.IFS(Table1[[#This Row],[quality]]&lt;=4,"Low",Table1[[#This Row],[quality]]&lt;=6,"Medium",Table1[[#This Row],[quality]]&gt;=7,"High")</f>
        <v>Medium</v>
      </c>
      <c r="O118" s="2" t="str">
        <f>IF(AND(Table1[[#This Row],[fixed acidity]]&gt;Sheet1!$C$4,Table1[[#This Row],[pH]]&lt;Sheet1!$K$4),"High","Normal")</f>
        <v>Normal</v>
      </c>
      <c r="P118" s="1">
        <f>(Table1[[#This Row],[alcohol]]*2)+(Table1[[#This Row],[sulphates]]*1.5)-(Table1[[#This Row],[volatile acidity]]*2)</f>
        <v>19.835000000000001</v>
      </c>
      <c r="Q118" s="1">
        <f>RANK(Table1[[#This Row],[Quality_score_index]],Table1[Quality_score_index],0)</f>
        <v>897</v>
      </c>
      <c r="R118" s="1">
        <f>Table1[[#This Row],[total sulfur dioxide]]-Table1[[#This Row],[free sulfur dioxide]]</f>
        <v>29</v>
      </c>
      <c r="S118" s="1" t="str">
        <f>IF(AND(Table1[[#This Row],[pH]]&gt;=3.2,Table1[[#This Row],[alcohol]]&gt;=10),"White wine","Red wine")</f>
        <v>White wine</v>
      </c>
    </row>
    <row r="119" spans="1:19" x14ac:dyDescent="0.3">
      <c r="A119" s="13">
        <v>118</v>
      </c>
      <c r="B119" s="1">
        <v>7.8</v>
      </c>
      <c r="C119" s="1">
        <v>0.56000000000000005</v>
      </c>
      <c r="D119" s="1">
        <v>0.12</v>
      </c>
      <c r="E119" s="1">
        <v>2</v>
      </c>
      <c r="F119" s="1">
        <v>8.2000000000000003E-2</v>
      </c>
      <c r="G119" s="1">
        <v>7</v>
      </c>
      <c r="H119" s="1">
        <v>28</v>
      </c>
      <c r="I119" s="1">
        <v>0.997</v>
      </c>
      <c r="J119" s="1">
        <v>3.37</v>
      </c>
      <c r="K119" s="1">
        <v>0.5</v>
      </c>
      <c r="L119" s="1">
        <v>9.4</v>
      </c>
      <c r="M119" s="2">
        <v>6</v>
      </c>
      <c r="N119" s="2" t="str" cm="1">
        <f t="array" ref="N119">_xlfn.IFS(Table1[[#This Row],[quality]]&lt;=4,"Low",Table1[[#This Row],[quality]]&lt;=6,"Medium",Table1[[#This Row],[quality]]&gt;=7,"High")</f>
        <v>Medium</v>
      </c>
      <c r="O119" s="2" t="str">
        <f>IF(AND(Table1[[#This Row],[fixed acidity]]&gt;Sheet1!$C$4,Table1[[#This Row],[pH]]&lt;Sheet1!$K$4),"High","Normal")</f>
        <v>Normal</v>
      </c>
      <c r="P119" s="1">
        <f>(Table1[[#This Row],[alcohol]]*2)+(Table1[[#This Row],[sulphates]]*1.5)-(Table1[[#This Row],[volatile acidity]]*2)</f>
        <v>18.43</v>
      </c>
      <c r="Q119" s="1">
        <f>RANK(Table1[[#This Row],[Quality_score_index]],Table1[Quality_score_index],0)</f>
        <v>1399</v>
      </c>
      <c r="R119" s="1">
        <f>Table1[[#This Row],[total sulfur dioxide]]-Table1[[#This Row],[free sulfur dioxide]]</f>
        <v>21</v>
      </c>
      <c r="S119" s="1" t="str">
        <f>IF(AND(Table1[[#This Row],[pH]]&gt;=3.2,Table1[[#This Row],[alcohol]]&gt;=10),"White wine","Red wine")</f>
        <v>Red wine</v>
      </c>
    </row>
    <row r="120" spans="1:19" x14ac:dyDescent="0.3">
      <c r="A120" s="13">
        <v>119</v>
      </c>
      <c r="B120" s="1">
        <v>8.8000000000000007</v>
      </c>
      <c r="C120" s="1">
        <v>0.55000000000000004</v>
      </c>
      <c r="D120" s="1">
        <v>0.04</v>
      </c>
      <c r="E120" s="1">
        <v>2.2000000000000002</v>
      </c>
      <c r="F120" s="1">
        <v>0.11899999999999999</v>
      </c>
      <c r="G120" s="1">
        <v>14</v>
      </c>
      <c r="H120" s="1">
        <v>56</v>
      </c>
      <c r="I120" s="1">
        <v>0.99619999999999997</v>
      </c>
      <c r="J120" s="1">
        <v>3.21</v>
      </c>
      <c r="K120" s="1">
        <v>0.6</v>
      </c>
      <c r="L120" s="1">
        <v>10.9</v>
      </c>
      <c r="M120" s="2">
        <v>6</v>
      </c>
      <c r="N120" s="2" t="str" cm="1">
        <f t="array" ref="N120">_xlfn.IFS(Table1[[#This Row],[quality]]&lt;=4,"Low",Table1[[#This Row],[quality]]&lt;=6,"Medium",Table1[[#This Row],[quality]]&gt;=7,"High")</f>
        <v>Medium</v>
      </c>
      <c r="O120" s="2" t="str">
        <f>IF(AND(Table1[[#This Row],[fixed acidity]]&gt;Sheet1!$C$4,Table1[[#This Row],[pH]]&lt;Sheet1!$K$4),"High","Normal")</f>
        <v>High</v>
      </c>
      <c r="P120" s="1">
        <f>(Table1[[#This Row],[alcohol]]*2)+(Table1[[#This Row],[sulphates]]*1.5)-(Table1[[#This Row],[volatile acidity]]*2)</f>
        <v>21.599999999999998</v>
      </c>
      <c r="Q120" s="1">
        <f>RANK(Table1[[#This Row],[Quality_score_index]],Table1[Quality_score_index],0)</f>
        <v>526</v>
      </c>
      <c r="R120" s="1">
        <f>Table1[[#This Row],[total sulfur dioxide]]-Table1[[#This Row],[free sulfur dioxide]]</f>
        <v>42</v>
      </c>
      <c r="S120" s="1" t="str">
        <f>IF(AND(Table1[[#This Row],[pH]]&gt;=3.2,Table1[[#This Row],[alcohol]]&gt;=10),"White wine","Red wine")</f>
        <v>White wine</v>
      </c>
    </row>
    <row r="121" spans="1:19" x14ac:dyDescent="0.3">
      <c r="A121" s="13">
        <v>120</v>
      </c>
      <c r="B121" s="1">
        <v>7</v>
      </c>
      <c r="C121" s="1">
        <v>0.69</v>
      </c>
      <c r="D121" s="1">
        <v>0.08</v>
      </c>
      <c r="E121" s="1">
        <v>1.8</v>
      </c>
      <c r="F121" s="1">
        <v>9.7000000000000003E-2</v>
      </c>
      <c r="G121" s="1">
        <v>22</v>
      </c>
      <c r="H121" s="1">
        <v>89</v>
      </c>
      <c r="I121" s="1">
        <v>0.99590000000000001</v>
      </c>
      <c r="J121" s="1">
        <v>3.34</v>
      </c>
      <c r="K121" s="1">
        <v>0.54</v>
      </c>
      <c r="L121" s="1">
        <v>9.1999999999999993</v>
      </c>
      <c r="M121" s="2">
        <v>6</v>
      </c>
      <c r="N121" s="2" t="str" cm="1">
        <f t="array" ref="N121">_xlfn.IFS(Table1[[#This Row],[quality]]&lt;=4,"Low",Table1[[#This Row],[quality]]&lt;=6,"Medium",Table1[[#This Row],[quality]]&gt;=7,"High")</f>
        <v>Medium</v>
      </c>
      <c r="O121" s="2" t="str">
        <f>IF(AND(Table1[[#This Row],[fixed acidity]]&gt;Sheet1!$C$4,Table1[[#This Row],[pH]]&lt;Sheet1!$K$4),"High","Normal")</f>
        <v>Normal</v>
      </c>
      <c r="P121" s="1">
        <f>(Table1[[#This Row],[alcohol]]*2)+(Table1[[#This Row],[sulphates]]*1.5)-(Table1[[#This Row],[volatile acidity]]*2)</f>
        <v>17.829999999999998</v>
      </c>
      <c r="Q121" s="1">
        <f>RANK(Table1[[#This Row],[Quality_score_index]],Table1[Quality_score_index],0)</f>
        <v>1549</v>
      </c>
      <c r="R121" s="1">
        <f>Table1[[#This Row],[total sulfur dioxide]]-Table1[[#This Row],[free sulfur dioxide]]</f>
        <v>67</v>
      </c>
      <c r="S121" s="1" t="str">
        <f>IF(AND(Table1[[#This Row],[pH]]&gt;=3.2,Table1[[#This Row],[alcohol]]&gt;=10),"White wine","Red wine")</f>
        <v>Red wine</v>
      </c>
    </row>
    <row r="122" spans="1:19" x14ac:dyDescent="0.3">
      <c r="A122" s="13">
        <v>121</v>
      </c>
      <c r="B122" s="1">
        <v>7.3</v>
      </c>
      <c r="C122" s="1">
        <v>1.07</v>
      </c>
      <c r="D122" s="1">
        <v>0.09</v>
      </c>
      <c r="E122" s="1">
        <v>1.7</v>
      </c>
      <c r="F122" s="1">
        <v>0.17799999999999999</v>
      </c>
      <c r="G122" s="1">
        <v>10</v>
      </c>
      <c r="H122" s="1">
        <v>89</v>
      </c>
      <c r="I122" s="1">
        <v>0.99619999999999997</v>
      </c>
      <c r="J122" s="1">
        <v>3.3</v>
      </c>
      <c r="K122" s="1">
        <v>0.56999999999999995</v>
      </c>
      <c r="L122" s="1">
        <v>9</v>
      </c>
      <c r="M122" s="2">
        <v>5</v>
      </c>
      <c r="N122" s="2" t="str" cm="1">
        <f t="array" ref="N122">_xlfn.IFS(Table1[[#This Row],[quality]]&lt;=4,"Low",Table1[[#This Row],[quality]]&lt;=6,"Medium",Table1[[#This Row],[quality]]&gt;=7,"High")</f>
        <v>Medium</v>
      </c>
      <c r="O122" s="2" t="str">
        <f>IF(AND(Table1[[#This Row],[fixed acidity]]&gt;Sheet1!$C$4,Table1[[#This Row],[pH]]&lt;Sheet1!$K$4),"High","Normal")</f>
        <v>Normal</v>
      </c>
      <c r="P122" s="1">
        <f>(Table1[[#This Row],[alcohol]]*2)+(Table1[[#This Row],[sulphates]]*1.5)-(Table1[[#This Row],[volatile acidity]]*2)</f>
        <v>16.715</v>
      </c>
      <c r="Q122" s="1">
        <f>RANK(Table1[[#This Row],[Quality_score_index]],Table1[Quality_score_index],0)</f>
        <v>1598</v>
      </c>
      <c r="R122" s="1">
        <f>Table1[[#This Row],[total sulfur dioxide]]-Table1[[#This Row],[free sulfur dioxide]]</f>
        <v>79</v>
      </c>
      <c r="S122" s="1" t="str">
        <f>IF(AND(Table1[[#This Row],[pH]]&gt;=3.2,Table1[[#This Row],[alcohol]]&gt;=10),"White wine","Red wine")</f>
        <v>Red wine</v>
      </c>
    </row>
    <row r="123" spans="1:19" x14ac:dyDescent="0.3">
      <c r="A123" s="13">
        <v>122</v>
      </c>
      <c r="B123" s="1">
        <v>8.8000000000000007</v>
      </c>
      <c r="C123" s="1">
        <v>0.55000000000000004</v>
      </c>
      <c r="D123" s="1">
        <v>0.04</v>
      </c>
      <c r="E123" s="1">
        <v>2.2000000000000002</v>
      </c>
      <c r="F123" s="1">
        <v>0.11899999999999999</v>
      </c>
      <c r="G123" s="1">
        <v>14</v>
      </c>
      <c r="H123" s="1">
        <v>56</v>
      </c>
      <c r="I123" s="1">
        <v>0.99619999999999997</v>
      </c>
      <c r="J123" s="1">
        <v>3.21</v>
      </c>
      <c r="K123" s="1">
        <v>0.6</v>
      </c>
      <c r="L123" s="1">
        <v>10.9</v>
      </c>
      <c r="M123" s="2">
        <v>6</v>
      </c>
      <c r="N123" s="2" t="str" cm="1">
        <f t="array" ref="N123">_xlfn.IFS(Table1[[#This Row],[quality]]&lt;=4,"Low",Table1[[#This Row],[quality]]&lt;=6,"Medium",Table1[[#This Row],[quality]]&gt;=7,"High")</f>
        <v>Medium</v>
      </c>
      <c r="O123" s="2" t="str">
        <f>IF(AND(Table1[[#This Row],[fixed acidity]]&gt;Sheet1!$C$4,Table1[[#This Row],[pH]]&lt;Sheet1!$K$4),"High","Normal")</f>
        <v>High</v>
      </c>
      <c r="P123" s="1">
        <f>(Table1[[#This Row],[alcohol]]*2)+(Table1[[#This Row],[sulphates]]*1.5)-(Table1[[#This Row],[volatile acidity]]*2)</f>
        <v>21.599999999999998</v>
      </c>
      <c r="Q123" s="1">
        <f>RANK(Table1[[#This Row],[Quality_score_index]],Table1[Quality_score_index],0)</f>
        <v>526</v>
      </c>
      <c r="R123" s="1">
        <f>Table1[[#This Row],[total sulfur dioxide]]-Table1[[#This Row],[free sulfur dioxide]]</f>
        <v>42</v>
      </c>
      <c r="S123" s="1" t="str">
        <f>IF(AND(Table1[[#This Row],[pH]]&gt;=3.2,Table1[[#This Row],[alcohol]]&gt;=10),"White wine","Red wine")</f>
        <v>White wine</v>
      </c>
    </row>
    <row r="124" spans="1:19" x14ac:dyDescent="0.3">
      <c r="A124" s="13">
        <v>123</v>
      </c>
      <c r="B124" s="1">
        <v>7.3</v>
      </c>
      <c r="C124" s="1">
        <v>0.69499999999999995</v>
      </c>
      <c r="D124" s="1">
        <v>0</v>
      </c>
      <c r="E124" s="1">
        <v>2.5</v>
      </c>
      <c r="F124" s="1">
        <v>7.4999999999999997E-2</v>
      </c>
      <c r="G124" s="1">
        <v>3</v>
      </c>
      <c r="H124" s="1">
        <v>13</v>
      </c>
      <c r="I124" s="1">
        <v>0.998</v>
      </c>
      <c r="J124" s="1">
        <v>3.49</v>
      </c>
      <c r="K124" s="1">
        <v>0.52</v>
      </c>
      <c r="L124" s="1">
        <v>9.1999999999999993</v>
      </c>
      <c r="M124" s="2">
        <v>5</v>
      </c>
      <c r="N124" s="2" t="str" cm="1">
        <f t="array" ref="N124">_xlfn.IFS(Table1[[#This Row],[quality]]&lt;=4,"Low",Table1[[#This Row],[quality]]&lt;=6,"Medium",Table1[[#This Row],[quality]]&gt;=7,"High")</f>
        <v>Medium</v>
      </c>
      <c r="O124" s="2" t="str">
        <f>IF(AND(Table1[[#This Row],[fixed acidity]]&gt;Sheet1!$C$4,Table1[[#This Row],[pH]]&lt;Sheet1!$K$4),"High","Normal")</f>
        <v>Normal</v>
      </c>
      <c r="P124" s="1">
        <f>(Table1[[#This Row],[alcohol]]*2)+(Table1[[#This Row],[sulphates]]*1.5)-(Table1[[#This Row],[volatile acidity]]*2)</f>
        <v>17.79</v>
      </c>
      <c r="Q124" s="1">
        <f>RANK(Table1[[#This Row],[Quality_score_index]],Table1[Quality_score_index],0)</f>
        <v>1558</v>
      </c>
      <c r="R124" s="1">
        <f>Table1[[#This Row],[total sulfur dioxide]]-Table1[[#This Row],[free sulfur dioxide]]</f>
        <v>10</v>
      </c>
      <c r="S124" s="1" t="str">
        <f>IF(AND(Table1[[#This Row],[pH]]&gt;=3.2,Table1[[#This Row],[alcohol]]&gt;=10),"White wine","Red wine")</f>
        <v>Red wine</v>
      </c>
    </row>
    <row r="125" spans="1:19" x14ac:dyDescent="0.3">
      <c r="A125" s="13">
        <v>124</v>
      </c>
      <c r="B125" s="1">
        <v>8</v>
      </c>
      <c r="C125" s="1">
        <v>0.71</v>
      </c>
      <c r="D125" s="1">
        <v>0</v>
      </c>
      <c r="E125" s="1">
        <v>2.6</v>
      </c>
      <c r="F125" s="1">
        <v>0.08</v>
      </c>
      <c r="G125" s="1">
        <v>11</v>
      </c>
      <c r="H125" s="1">
        <v>34</v>
      </c>
      <c r="I125" s="1">
        <v>0.99760000000000004</v>
      </c>
      <c r="J125" s="1">
        <v>3.44</v>
      </c>
      <c r="K125" s="1">
        <v>0.53</v>
      </c>
      <c r="L125" s="1">
        <v>9.5</v>
      </c>
      <c r="M125" s="2">
        <v>5</v>
      </c>
      <c r="N125" s="2" t="str" cm="1">
        <f t="array" ref="N125">_xlfn.IFS(Table1[[#This Row],[quality]]&lt;=4,"Low",Table1[[#This Row],[quality]]&lt;=6,"Medium",Table1[[#This Row],[quality]]&gt;=7,"High")</f>
        <v>Medium</v>
      </c>
      <c r="O125" s="2" t="str">
        <f>IF(AND(Table1[[#This Row],[fixed acidity]]&gt;Sheet1!$C$4,Table1[[#This Row],[pH]]&lt;Sheet1!$K$4),"High","Normal")</f>
        <v>Normal</v>
      </c>
      <c r="P125" s="1">
        <f>(Table1[[#This Row],[alcohol]]*2)+(Table1[[#This Row],[sulphates]]*1.5)-(Table1[[#This Row],[volatile acidity]]*2)</f>
        <v>18.375</v>
      </c>
      <c r="Q125" s="1">
        <f>RANK(Table1[[#This Row],[Quality_score_index]],Table1[Quality_score_index],0)</f>
        <v>1428</v>
      </c>
      <c r="R125" s="1">
        <f>Table1[[#This Row],[total sulfur dioxide]]-Table1[[#This Row],[free sulfur dioxide]]</f>
        <v>23</v>
      </c>
      <c r="S125" s="1" t="str">
        <f>IF(AND(Table1[[#This Row],[pH]]&gt;=3.2,Table1[[#This Row],[alcohol]]&gt;=10),"White wine","Red wine")</f>
        <v>Red wine</v>
      </c>
    </row>
    <row r="126" spans="1:19" x14ac:dyDescent="0.3">
      <c r="A126" s="13">
        <v>125</v>
      </c>
      <c r="B126" s="1">
        <v>7.8</v>
      </c>
      <c r="C126" s="1">
        <v>0.5</v>
      </c>
      <c r="D126" s="1">
        <v>0.17</v>
      </c>
      <c r="E126" s="1">
        <v>1.6</v>
      </c>
      <c r="F126" s="1">
        <v>8.2000000000000003E-2</v>
      </c>
      <c r="G126" s="1">
        <v>21</v>
      </c>
      <c r="H126" s="1">
        <v>102</v>
      </c>
      <c r="I126" s="1">
        <v>0.996</v>
      </c>
      <c r="J126" s="1">
        <v>3.39</v>
      </c>
      <c r="K126" s="1">
        <v>0.48</v>
      </c>
      <c r="L126" s="1">
        <v>9.5</v>
      </c>
      <c r="M126" s="2">
        <v>5</v>
      </c>
      <c r="N126" s="2" t="str" cm="1">
        <f t="array" ref="N126">_xlfn.IFS(Table1[[#This Row],[quality]]&lt;=4,"Low",Table1[[#This Row],[quality]]&lt;=6,"Medium",Table1[[#This Row],[quality]]&gt;=7,"High")</f>
        <v>Medium</v>
      </c>
      <c r="O126" s="2" t="str">
        <f>IF(AND(Table1[[#This Row],[fixed acidity]]&gt;Sheet1!$C$4,Table1[[#This Row],[pH]]&lt;Sheet1!$K$4),"High","Normal")</f>
        <v>Normal</v>
      </c>
      <c r="P126" s="1">
        <f>(Table1[[#This Row],[alcohol]]*2)+(Table1[[#This Row],[sulphates]]*1.5)-(Table1[[#This Row],[volatile acidity]]*2)</f>
        <v>18.72</v>
      </c>
      <c r="Q126" s="1">
        <f>RANK(Table1[[#This Row],[Quality_score_index]],Table1[Quality_score_index],0)</f>
        <v>1281</v>
      </c>
      <c r="R126" s="1">
        <f>Table1[[#This Row],[total sulfur dioxide]]-Table1[[#This Row],[free sulfur dioxide]]</f>
        <v>81</v>
      </c>
      <c r="S126" s="1" t="str">
        <f>IF(AND(Table1[[#This Row],[pH]]&gt;=3.2,Table1[[#This Row],[alcohol]]&gt;=10),"White wine","Red wine")</f>
        <v>Red wine</v>
      </c>
    </row>
    <row r="127" spans="1:19" x14ac:dyDescent="0.3">
      <c r="A127" s="13">
        <v>126</v>
      </c>
      <c r="B127" s="1">
        <v>9</v>
      </c>
      <c r="C127" s="1">
        <v>0.62</v>
      </c>
      <c r="D127" s="1">
        <v>0.04</v>
      </c>
      <c r="E127" s="1">
        <v>1.9</v>
      </c>
      <c r="F127" s="1">
        <v>0.14599999999999999</v>
      </c>
      <c r="G127" s="1">
        <v>27</v>
      </c>
      <c r="H127" s="1">
        <v>90</v>
      </c>
      <c r="I127" s="1">
        <v>0.99839999999999995</v>
      </c>
      <c r="J127" s="1">
        <v>3.16</v>
      </c>
      <c r="K127" s="1">
        <v>0.7</v>
      </c>
      <c r="L127" s="1">
        <v>9.4</v>
      </c>
      <c r="M127" s="2">
        <v>5</v>
      </c>
      <c r="N127" s="2" t="str" cm="1">
        <f t="array" ref="N127">_xlfn.IFS(Table1[[#This Row],[quality]]&lt;=4,"Low",Table1[[#This Row],[quality]]&lt;=6,"Medium",Table1[[#This Row],[quality]]&gt;=7,"High")</f>
        <v>Medium</v>
      </c>
      <c r="O127" s="2" t="str">
        <f>IF(AND(Table1[[#This Row],[fixed acidity]]&gt;Sheet1!$C$4,Table1[[#This Row],[pH]]&lt;Sheet1!$K$4),"High","Normal")</f>
        <v>High</v>
      </c>
      <c r="P127" s="1">
        <f>(Table1[[#This Row],[alcohol]]*2)+(Table1[[#This Row],[sulphates]]*1.5)-(Table1[[#This Row],[volatile acidity]]*2)</f>
        <v>18.610000000000003</v>
      </c>
      <c r="Q127" s="1">
        <f>RANK(Table1[[#This Row],[Quality_score_index]],Table1[Quality_score_index],0)</f>
        <v>1340</v>
      </c>
      <c r="R127" s="1">
        <f>Table1[[#This Row],[total sulfur dioxide]]-Table1[[#This Row],[free sulfur dioxide]]</f>
        <v>63</v>
      </c>
      <c r="S127" s="1" t="str">
        <f>IF(AND(Table1[[#This Row],[pH]]&gt;=3.2,Table1[[#This Row],[alcohol]]&gt;=10),"White wine","Red wine")</f>
        <v>Red wine</v>
      </c>
    </row>
    <row r="128" spans="1:19" x14ac:dyDescent="0.3">
      <c r="A128" s="13">
        <v>127</v>
      </c>
      <c r="B128" s="1">
        <v>8.1999999999999993</v>
      </c>
      <c r="C128" s="1">
        <v>1.33</v>
      </c>
      <c r="D128" s="1">
        <v>0</v>
      </c>
      <c r="E128" s="1">
        <v>1.7</v>
      </c>
      <c r="F128" s="1">
        <v>8.1000000000000003E-2</v>
      </c>
      <c r="G128" s="1">
        <v>3</v>
      </c>
      <c r="H128" s="1">
        <v>12</v>
      </c>
      <c r="I128" s="1">
        <v>0.99639999999999995</v>
      </c>
      <c r="J128" s="1">
        <v>3.53</v>
      </c>
      <c r="K128" s="1">
        <v>0.49</v>
      </c>
      <c r="L128" s="1">
        <v>10.9</v>
      </c>
      <c r="M128" s="2">
        <v>5</v>
      </c>
      <c r="N128" s="2" t="str" cm="1">
        <f t="array" ref="N128">_xlfn.IFS(Table1[[#This Row],[quality]]&lt;=4,"Low",Table1[[#This Row],[quality]]&lt;=6,"Medium",Table1[[#This Row],[quality]]&gt;=7,"High")</f>
        <v>Medium</v>
      </c>
      <c r="O128" s="2" t="str">
        <f>IF(AND(Table1[[#This Row],[fixed acidity]]&gt;Sheet1!$C$4,Table1[[#This Row],[pH]]&lt;Sheet1!$K$4),"High","Normal")</f>
        <v>Normal</v>
      </c>
      <c r="P128" s="1">
        <f>(Table1[[#This Row],[alcohol]]*2)+(Table1[[#This Row],[sulphates]]*1.5)-(Table1[[#This Row],[volatile acidity]]*2)</f>
        <v>19.875</v>
      </c>
      <c r="Q128" s="1">
        <f>RANK(Table1[[#This Row],[Quality_score_index]],Table1[Quality_score_index],0)</f>
        <v>886</v>
      </c>
      <c r="R128" s="1">
        <f>Table1[[#This Row],[total sulfur dioxide]]-Table1[[#This Row],[free sulfur dioxide]]</f>
        <v>9</v>
      </c>
      <c r="S128" s="1" t="str">
        <f>IF(AND(Table1[[#This Row],[pH]]&gt;=3.2,Table1[[#This Row],[alcohol]]&gt;=10),"White wine","Red wine")</f>
        <v>White wine</v>
      </c>
    </row>
    <row r="129" spans="1:19" x14ac:dyDescent="0.3">
      <c r="A129" s="13">
        <v>128</v>
      </c>
      <c r="B129" s="1">
        <v>8.1</v>
      </c>
      <c r="C129" s="1">
        <v>1.33</v>
      </c>
      <c r="D129" s="1">
        <v>0</v>
      </c>
      <c r="E129" s="1">
        <v>1.8</v>
      </c>
      <c r="F129" s="1">
        <v>8.2000000000000003E-2</v>
      </c>
      <c r="G129" s="1">
        <v>3</v>
      </c>
      <c r="H129" s="1">
        <v>12</v>
      </c>
      <c r="I129" s="1">
        <v>0.99639999999999995</v>
      </c>
      <c r="J129" s="1">
        <v>3.54</v>
      </c>
      <c r="K129" s="1">
        <v>0.48</v>
      </c>
      <c r="L129" s="1">
        <v>10.9</v>
      </c>
      <c r="M129" s="2">
        <v>5</v>
      </c>
      <c r="N129" s="2" t="str" cm="1">
        <f t="array" ref="N129">_xlfn.IFS(Table1[[#This Row],[quality]]&lt;=4,"Low",Table1[[#This Row],[quality]]&lt;=6,"Medium",Table1[[#This Row],[quality]]&gt;=7,"High")</f>
        <v>Medium</v>
      </c>
      <c r="O129" s="2" t="str">
        <f>IF(AND(Table1[[#This Row],[fixed acidity]]&gt;Sheet1!$C$4,Table1[[#This Row],[pH]]&lt;Sheet1!$K$4),"High","Normal")</f>
        <v>Normal</v>
      </c>
      <c r="P129" s="1">
        <f>(Table1[[#This Row],[alcohol]]*2)+(Table1[[#This Row],[sulphates]]*1.5)-(Table1[[#This Row],[volatile acidity]]*2)</f>
        <v>19.86</v>
      </c>
      <c r="Q129" s="1">
        <f>RANK(Table1[[#This Row],[Quality_score_index]],Table1[Quality_score_index],0)</f>
        <v>893</v>
      </c>
      <c r="R129" s="1">
        <f>Table1[[#This Row],[total sulfur dioxide]]-Table1[[#This Row],[free sulfur dioxide]]</f>
        <v>9</v>
      </c>
      <c r="S129" s="1" t="str">
        <f>IF(AND(Table1[[#This Row],[pH]]&gt;=3.2,Table1[[#This Row],[alcohol]]&gt;=10),"White wine","Red wine")</f>
        <v>White wine</v>
      </c>
    </row>
    <row r="130" spans="1:19" x14ac:dyDescent="0.3">
      <c r="A130" s="13">
        <v>129</v>
      </c>
      <c r="B130" s="1">
        <v>8</v>
      </c>
      <c r="C130" s="1">
        <v>0.59</v>
      </c>
      <c r="D130" s="1">
        <v>0.16</v>
      </c>
      <c r="E130" s="1">
        <v>1.8</v>
      </c>
      <c r="F130" s="1">
        <v>6.5000000000000002E-2</v>
      </c>
      <c r="G130" s="1">
        <v>3</v>
      </c>
      <c r="H130" s="1">
        <v>16</v>
      </c>
      <c r="I130" s="1">
        <v>0.99619999999999997</v>
      </c>
      <c r="J130" s="1">
        <v>3.42</v>
      </c>
      <c r="K130" s="1">
        <v>0.92</v>
      </c>
      <c r="L130" s="1">
        <v>10.5</v>
      </c>
      <c r="M130" s="2">
        <v>7</v>
      </c>
      <c r="N130" s="2" t="str" cm="1">
        <f t="array" ref="N130">_xlfn.IFS(Table1[[#This Row],[quality]]&lt;=4,"Low",Table1[[#This Row],[quality]]&lt;=6,"Medium",Table1[[#This Row],[quality]]&gt;=7,"High")</f>
        <v>High</v>
      </c>
      <c r="O130" s="2" t="str">
        <f>IF(AND(Table1[[#This Row],[fixed acidity]]&gt;Sheet1!$C$4,Table1[[#This Row],[pH]]&lt;Sheet1!$K$4),"High","Normal")</f>
        <v>Normal</v>
      </c>
      <c r="P130" s="1">
        <f>(Table1[[#This Row],[alcohol]]*2)+(Table1[[#This Row],[sulphates]]*1.5)-(Table1[[#This Row],[volatile acidity]]*2)</f>
        <v>21.2</v>
      </c>
      <c r="Q130" s="1">
        <f>RANK(Table1[[#This Row],[Quality_score_index]],Table1[Quality_score_index],0)</f>
        <v>602</v>
      </c>
      <c r="R130" s="1">
        <f>Table1[[#This Row],[total sulfur dioxide]]-Table1[[#This Row],[free sulfur dioxide]]</f>
        <v>13</v>
      </c>
      <c r="S130" s="1" t="str">
        <f>IF(AND(Table1[[#This Row],[pH]]&gt;=3.2,Table1[[#This Row],[alcohol]]&gt;=10),"White wine","Red wine")</f>
        <v>White wine</v>
      </c>
    </row>
    <row r="131" spans="1:19" x14ac:dyDescent="0.3">
      <c r="A131" s="13">
        <v>130</v>
      </c>
      <c r="B131" s="1">
        <v>6.1</v>
      </c>
      <c r="C131" s="1">
        <v>0.38</v>
      </c>
      <c r="D131" s="1">
        <v>0.15</v>
      </c>
      <c r="E131" s="1">
        <v>1.8</v>
      </c>
      <c r="F131" s="1">
        <v>7.1999999999999995E-2</v>
      </c>
      <c r="G131" s="1">
        <v>6</v>
      </c>
      <c r="H131" s="1">
        <v>19</v>
      </c>
      <c r="I131" s="1">
        <v>0.99550000000000005</v>
      </c>
      <c r="J131" s="1">
        <v>3.42</v>
      </c>
      <c r="K131" s="1">
        <v>0.56999999999999995</v>
      </c>
      <c r="L131" s="1">
        <v>9.4</v>
      </c>
      <c r="M131" s="2">
        <v>5</v>
      </c>
      <c r="N131" s="2" t="str" cm="1">
        <f t="array" ref="N131">_xlfn.IFS(Table1[[#This Row],[quality]]&lt;=4,"Low",Table1[[#This Row],[quality]]&lt;=6,"Medium",Table1[[#This Row],[quality]]&gt;=7,"High")</f>
        <v>Medium</v>
      </c>
      <c r="O131" s="2" t="str">
        <f>IF(AND(Table1[[#This Row],[fixed acidity]]&gt;Sheet1!$C$4,Table1[[#This Row],[pH]]&lt;Sheet1!$K$4),"High","Normal")</f>
        <v>Normal</v>
      </c>
      <c r="P131" s="1">
        <f>(Table1[[#This Row],[alcohol]]*2)+(Table1[[#This Row],[sulphates]]*1.5)-(Table1[[#This Row],[volatile acidity]]*2)</f>
        <v>18.895</v>
      </c>
      <c r="Q131" s="1">
        <f>RANK(Table1[[#This Row],[Quality_score_index]],Table1[Quality_score_index],0)</f>
        <v>1205</v>
      </c>
      <c r="R131" s="1">
        <f>Table1[[#This Row],[total sulfur dioxide]]-Table1[[#This Row],[free sulfur dioxide]]</f>
        <v>13</v>
      </c>
      <c r="S131" s="1" t="str">
        <f>IF(AND(Table1[[#This Row],[pH]]&gt;=3.2,Table1[[#This Row],[alcohol]]&gt;=10),"White wine","Red wine")</f>
        <v>Red wine</v>
      </c>
    </row>
    <row r="132" spans="1:19" x14ac:dyDescent="0.3">
      <c r="A132" s="13">
        <v>131</v>
      </c>
      <c r="B132" s="1">
        <v>8</v>
      </c>
      <c r="C132" s="1">
        <v>0.745</v>
      </c>
      <c r="D132" s="1">
        <v>0.56000000000000005</v>
      </c>
      <c r="E132" s="1">
        <v>2</v>
      </c>
      <c r="F132" s="1">
        <v>0.11799999999999999</v>
      </c>
      <c r="G132" s="1">
        <v>30</v>
      </c>
      <c r="H132" s="1">
        <v>134</v>
      </c>
      <c r="I132" s="1">
        <v>0.99680000000000002</v>
      </c>
      <c r="J132" s="1">
        <v>3.24</v>
      </c>
      <c r="K132" s="1">
        <v>0.66</v>
      </c>
      <c r="L132" s="1">
        <v>9.4</v>
      </c>
      <c r="M132" s="2">
        <v>5</v>
      </c>
      <c r="N132" s="2" t="str" cm="1">
        <f t="array" ref="N132">_xlfn.IFS(Table1[[#This Row],[quality]]&lt;=4,"Low",Table1[[#This Row],[quality]]&lt;=6,"Medium",Table1[[#This Row],[quality]]&gt;=7,"High")</f>
        <v>Medium</v>
      </c>
      <c r="O132" s="2" t="str">
        <f>IF(AND(Table1[[#This Row],[fixed acidity]]&gt;Sheet1!$C$4,Table1[[#This Row],[pH]]&lt;Sheet1!$K$4),"High","Normal")</f>
        <v>Normal</v>
      </c>
      <c r="P132" s="1">
        <f>(Table1[[#This Row],[alcohol]]*2)+(Table1[[#This Row],[sulphates]]*1.5)-(Table1[[#This Row],[volatile acidity]]*2)</f>
        <v>18.3</v>
      </c>
      <c r="Q132" s="1">
        <f>RANK(Table1[[#This Row],[Quality_score_index]],Table1[Quality_score_index],0)</f>
        <v>1454</v>
      </c>
      <c r="R132" s="1">
        <f>Table1[[#This Row],[total sulfur dioxide]]-Table1[[#This Row],[free sulfur dioxide]]</f>
        <v>104</v>
      </c>
      <c r="S132" s="1" t="str">
        <f>IF(AND(Table1[[#This Row],[pH]]&gt;=3.2,Table1[[#This Row],[alcohol]]&gt;=10),"White wine","Red wine")</f>
        <v>Red wine</v>
      </c>
    </row>
    <row r="133" spans="1:19" x14ac:dyDescent="0.3">
      <c r="A133" s="13">
        <v>132</v>
      </c>
      <c r="B133" s="1">
        <v>5.6</v>
      </c>
      <c r="C133" s="1">
        <v>0.5</v>
      </c>
      <c r="D133" s="1">
        <v>0.09</v>
      </c>
      <c r="E133" s="1">
        <v>2.2999999999999998</v>
      </c>
      <c r="F133" s="1">
        <v>4.9000000000000002E-2</v>
      </c>
      <c r="G133" s="1">
        <v>17</v>
      </c>
      <c r="H133" s="1">
        <v>99</v>
      </c>
      <c r="I133" s="1">
        <v>0.99370000000000003</v>
      </c>
      <c r="J133" s="1">
        <v>3.63</v>
      </c>
      <c r="K133" s="1">
        <v>0.63</v>
      </c>
      <c r="L133" s="1">
        <v>13</v>
      </c>
      <c r="M133" s="2">
        <v>5</v>
      </c>
      <c r="N133" s="2" t="str" cm="1">
        <f t="array" ref="N133">_xlfn.IFS(Table1[[#This Row],[quality]]&lt;=4,"Low",Table1[[#This Row],[quality]]&lt;=6,"Medium",Table1[[#This Row],[quality]]&gt;=7,"High")</f>
        <v>Medium</v>
      </c>
      <c r="O133" s="2" t="str">
        <f>IF(AND(Table1[[#This Row],[fixed acidity]]&gt;Sheet1!$C$4,Table1[[#This Row],[pH]]&lt;Sheet1!$K$4),"High","Normal")</f>
        <v>Normal</v>
      </c>
      <c r="P133" s="1">
        <f>(Table1[[#This Row],[alcohol]]*2)+(Table1[[#This Row],[sulphates]]*1.5)-(Table1[[#This Row],[volatile acidity]]*2)</f>
        <v>25.945</v>
      </c>
      <c r="Q133" s="1">
        <f>RANK(Table1[[#This Row],[Quality_score_index]],Table1[Quality_score_index],0)</f>
        <v>35</v>
      </c>
      <c r="R133" s="1">
        <f>Table1[[#This Row],[total sulfur dioxide]]-Table1[[#This Row],[free sulfur dioxide]]</f>
        <v>82</v>
      </c>
      <c r="S133" s="1" t="str">
        <f>IF(AND(Table1[[#This Row],[pH]]&gt;=3.2,Table1[[#This Row],[alcohol]]&gt;=10),"White wine","Red wine")</f>
        <v>White wine</v>
      </c>
    </row>
    <row r="134" spans="1:19" x14ac:dyDescent="0.3">
      <c r="A134" s="13">
        <v>133</v>
      </c>
      <c r="B134" s="1">
        <v>5.6</v>
      </c>
      <c r="C134" s="1">
        <v>0.5</v>
      </c>
      <c r="D134" s="1">
        <v>0.09</v>
      </c>
      <c r="E134" s="1">
        <v>2.2999999999999998</v>
      </c>
      <c r="F134" s="1">
        <v>4.9000000000000002E-2</v>
      </c>
      <c r="G134" s="1">
        <v>17</v>
      </c>
      <c r="H134" s="1">
        <v>99</v>
      </c>
      <c r="I134" s="1">
        <v>0.99370000000000003</v>
      </c>
      <c r="J134" s="1">
        <v>3.63</v>
      </c>
      <c r="K134" s="1">
        <v>0.63</v>
      </c>
      <c r="L134" s="1">
        <v>13</v>
      </c>
      <c r="M134" s="2">
        <v>5</v>
      </c>
      <c r="N134" s="2" t="str" cm="1">
        <f t="array" ref="N134">_xlfn.IFS(Table1[[#This Row],[quality]]&lt;=4,"Low",Table1[[#This Row],[quality]]&lt;=6,"Medium",Table1[[#This Row],[quality]]&gt;=7,"High")</f>
        <v>Medium</v>
      </c>
      <c r="O134" s="2" t="str">
        <f>IF(AND(Table1[[#This Row],[fixed acidity]]&gt;Sheet1!$C$4,Table1[[#This Row],[pH]]&lt;Sheet1!$K$4),"High","Normal")</f>
        <v>Normal</v>
      </c>
      <c r="P134" s="1">
        <f>(Table1[[#This Row],[alcohol]]*2)+(Table1[[#This Row],[sulphates]]*1.5)-(Table1[[#This Row],[volatile acidity]]*2)</f>
        <v>25.945</v>
      </c>
      <c r="Q134" s="1">
        <f>RANK(Table1[[#This Row],[Quality_score_index]],Table1[Quality_score_index],0)</f>
        <v>35</v>
      </c>
      <c r="R134" s="1">
        <f>Table1[[#This Row],[total sulfur dioxide]]-Table1[[#This Row],[free sulfur dioxide]]</f>
        <v>82</v>
      </c>
      <c r="S134" s="1" t="str">
        <f>IF(AND(Table1[[#This Row],[pH]]&gt;=3.2,Table1[[#This Row],[alcohol]]&gt;=10),"White wine","Red wine")</f>
        <v>White wine</v>
      </c>
    </row>
    <row r="135" spans="1:19" x14ac:dyDescent="0.3">
      <c r="A135" s="13">
        <v>134</v>
      </c>
      <c r="B135" s="1">
        <v>6.6</v>
      </c>
      <c r="C135" s="1">
        <v>0.5</v>
      </c>
      <c r="D135" s="1">
        <v>0.01</v>
      </c>
      <c r="E135" s="1">
        <v>1.5</v>
      </c>
      <c r="F135" s="1">
        <v>0.06</v>
      </c>
      <c r="G135" s="1">
        <v>17</v>
      </c>
      <c r="H135" s="1">
        <v>26</v>
      </c>
      <c r="I135" s="1">
        <v>0.99519999999999997</v>
      </c>
      <c r="J135" s="1">
        <v>3.4</v>
      </c>
      <c r="K135" s="1">
        <v>0.57999999999999996</v>
      </c>
      <c r="L135" s="1">
        <v>9.8000000000000007</v>
      </c>
      <c r="M135" s="2">
        <v>6</v>
      </c>
      <c r="N135" s="2" t="str" cm="1">
        <f t="array" ref="N135">_xlfn.IFS(Table1[[#This Row],[quality]]&lt;=4,"Low",Table1[[#This Row],[quality]]&lt;=6,"Medium",Table1[[#This Row],[quality]]&gt;=7,"High")</f>
        <v>Medium</v>
      </c>
      <c r="O135" s="2" t="str">
        <f>IF(AND(Table1[[#This Row],[fixed acidity]]&gt;Sheet1!$C$4,Table1[[#This Row],[pH]]&lt;Sheet1!$K$4),"High","Normal")</f>
        <v>Normal</v>
      </c>
      <c r="P135" s="1">
        <f>(Table1[[#This Row],[alcohol]]*2)+(Table1[[#This Row],[sulphates]]*1.5)-(Table1[[#This Row],[volatile acidity]]*2)</f>
        <v>19.470000000000002</v>
      </c>
      <c r="Q135" s="1">
        <f>RANK(Table1[[#This Row],[Quality_score_index]],Table1[Quality_score_index],0)</f>
        <v>988</v>
      </c>
      <c r="R135" s="1">
        <f>Table1[[#This Row],[total sulfur dioxide]]-Table1[[#This Row],[free sulfur dioxide]]</f>
        <v>9</v>
      </c>
      <c r="S135" s="1" t="str">
        <f>IF(AND(Table1[[#This Row],[pH]]&gt;=3.2,Table1[[#This Row],[alcohol]]&gt;=10),"White wine","Red wine")</f>
        <v>Red wine</v>
      </c>
    </row>
    <row r="136" spans="1:19" x14ac:dyDescent="0.3">
      <c r="A136" s="13">
        <v>135</v>
      </c>
      <c r="B136" s="1">
        <v>7.9</v>
      </c>
      <c r="C136" s="1">
        <v>1.04</v>
      </c>
      <c r="D136" s="1">
        <v>0.05</v>
      </c>
      <c r="E136" s="1">
        <v>2.2000000000000002</v>
      </c>
      <c r="F136" s="1">
        <v>8.4000000000000005E-2</v>
      </c>
      <c r="G136" s="1">
        <v>13</v>
      </c>
      <c r="H136" s="1">
        <v>29</v>
      </c>
      <c r="I136" s="1">
        <v>0.99590000000000001</v>
      </c>
      <c r="J136" s="1">
        <v>3.22</v>
      </c>
      <c r="K136" s="1">
        <v>0.55000000000000004</v>
      </c>
      <c r="L136" s="1">
        <v>9.9</v>
      </c>
      <c r="M136" s="2">
        <v>6</v>
      </c>
      <c r="N136" s="2" t="str" cm="1">
        <f t="array" ref="N136">_xlfn.IFS(Table1[[#This Row],[quality]]&lt;=4,"Low",Table1[[#This Row],[quality]]&lt;=6,"Medium",Table1[[#This Row],[quality]]&gt;=7,"High")</f>
        <v>Medium</v>
      </c>
      <c r="O136" s="2" t="str">
        <f>IF(AND(Table1[[#This Row],[fixed acidity]]&gt;Sheet1!$C$4,Table1[[#This Row],[pH]]&lt;Sheet1!$K$4),"High","Normal")</f>
        <v>Normal</v>
      </c>
      <c r="P136" s="1">
        <f>(Table1[[#This Row],[alcohol]]*2)+(Table1[[#This Row],[sulphates]]*1.5)-(Table1[[#This Row],[volatile acidity]]*2)</f>
        <v>18.545000000000002</v>
      </c>
      <c r="Q136" s="1">
        <f>RANK(Table1[[#This Row],[Quality_score_index]],Table1[Quality_score_index],0)</f>
        <v>1362</v>
      </c>
      <c r="R136" s="1">
        <f>Table1[[#This Row],[total sulfur dioxide]]-Table1[[#This Row],[free sulfur dioxide]]</f>
        <v>16</v>
      </c>
      <c r="S136" s="1" t="str">
        <f>IF(AND(Table1[[#This Row],[pH]]&gt;=3.2,Table1[[#This Row],[alcohol]]&gt;=10),"White wine","Red wine")</f>
        <v>Red wine</v>
      </c>
    </row>
    <row r="137" spans="1:19" x14ac:dyDescent="0.3">
      <c r="A137" s="13">
        <v>136</v>
      </c>
      <c r="B137" s="1">
        <v>8.4</v>
      </c>
      <c r="C137" s="1">
        <v>0.745</v>
      </c>
      <c r="D137" s="1">
        <v>0.11</v>
      </c>
      <c r="E137" s="1">
        <v>1.9</v>
      </c>
      <c r="F137" s="1">
        <v>0.09</v>
      </c>
      <c r="G137" s="1">
        <v>16</v>
      </c>
      <c r="H137" s="1">
        <v>63</v>
      </c>
      <c r="I137" s="1">
        <v>0.99650000000000005</v>
      </c>
      <c r="J137" s="1">
        <v>3.19</v>
      </c>
      <c r="K137" s="1">
        <v>0.82</v>
      </c>
      <c r="L137" s="1">
        <v>9.6</v>
      </c>
      <c r="M137" s="2">
        <v>5</v>
      </c>
      <c r="N137" s="2" t="str" cm="1">
        <f t="array" ref="N137">_xlfn.IFS(Table1[[#This Row],[quality]]&lt;=4,"Low",Table1[[#This Row],[quality]]&lt;=6,"Medium",Table1[[#This Row],[quality]]&gt;=7,"High")</f>
        <v>Medium</v>
      </c>
      <c r="O137" s="2" t="str">
        <f>IF(AND(Table1[[#This Row],[fixed acidity]]&gt;Sheet1!$C$4,Table1[[#This Row],[pH]]&lt;Sheet1!$K$4),"High","Normal")</f>
        <v>High</v>
      </c>
      <c r="P137" s="1">
        <f>(Table1[[#This Row],[alcohol]]*2)+(Table1[[#This Row],[sulphates]]*1.5)-(Table1[[#This Row],[volatile acidity]]*2)</f>
        <v>18.940000000000001</v>
      </c>
      <c r="Q137" s="1">
        <f>RANK(Table1[[#This Row],[Quality_score_index]],Table1[Quality_score_index],0)</f>
        <v>1184</v>
      </c>
      <c r="R137" s="1">
        <f>Table1[[#This Row],[total sulfur dioxide]]-Table1[[#This Row],[free sulfur dioxide]]</f>
        <v>47</v>
      </c>
      <c r="S137" s="1" t="str">
        <f>IF(AND(Table1[[#This Row],[pH]]&gt;=3.2,Table1[[#This Row],[alcohol]]&gt;=10),"White wine","Red wine")</f>
        <v>Red wine</v>
      </c>
    </row>
    <row r="138" spans="1:19" x14ac:dyDescent="0.3">
      <c r="A138" s="13">
        <v>137</v>
      </c>
      <c r="B138" s="1">
        <v>8.3000000000000007</v>
      </c>
      <c r="C138" s="1">
        <v>0.71499999999999997</v>
      </c>
      <c r="D138" s="1">
        <v>0.15</v>
      </c>
      <c r="E138" s="1">
        <v>1.8</v>
      </c>
      <c r="F138" s="1">
        <v>8.8999999999999996E-2</v>
      </c>
      <c r="G138" s="1">
        <v>10</v>
      </c>
      <c r="H138" s="1">
        <v>52</v>
      </c>
      <c r="I138" s="1">
        <v>0.99680000000000002</v>
      </c>
      <c r="J138" s="1">
        <v>3.23</v>
      </c>
      <c r="K138" s="1">
        <v>0.77</v>
      </c>
      <c r="L138" s="1">
        <v>9.5</v>
      </c>
      <c r="M138" s="2">
        <v>5</v>
      </c>
      <c r="N138" s="2" t="str" cm="1">
        <f t="array" ref="N138">_xlfn.IFS(Table1[[#This Row],[quality]]&lt;=4,"Low",Table1[[#This Row],[quality]]&lt;=6,"Medium",Table1[[#This Row],[quality]]&gt;=7,"High")</f>
        <v>Medium</v>
      </c>
      <c r="O138" s="2" t="str">
        <f>IF(AND(Table1[[#This Row],[fixed acidity]]&gt;Sheet1!$C$4,Table1[[#This Row],[pH]]&lt;Sheet1!$K$4),"High","Normal")</f>
        <v>Normal</v>
      </c>
      <c r="P138" s="1">
        <f>(Table1[[#This Row],[alcohol]]*2)+(Table1[[#This Row],[sulphates]]*1.5)-(Table1[[#This Row],[volatile acidity]]*2)</f>
        <v>18.725000000000001</v>
      </c>
      <c r="Q138" s="1">
        <f>RANK(Table1[[#This Row],[Quality_score_index]],Table1[Quality_score_index],0)</f>
        <v>1274</v>
      </c>
      <c r="R138" s="1">
        <f>Table1[[#This Row],[total sulfur dioxide]]-Table1[[#This Row],[free sulfur dioxide]]</f>
        <v>42</v>
      </c>
      <c r="S138" s="1" t="str">
        <f>IF(AND(Table1[[#This Row],[pH]]&gt;=3.2,Table1[[#This Row],[alcohol]]&gt;=10),"White wine","Red wine")</f>
        <v>Red wine</v>
      </c>
    </row>
    <row r="139" spans="1:19" x14ac:dyDescent="0.3">
      <c r="A139" s="13">
        <v>138</v>
      </c>
      <c r="B139" s="1">
        <v>7.2</v>
      </c>
      <c r="C139" s="1">
        <v>0.41499999999999998</v>
      </c>
      <c r="D139" s="1">
        <v>0.36</v>
      </c>
      <c r="E139" s="1">
        <v>2</v>
      </c>
      <c r="F139" s="1">
        <v>8.1000000000000003E-2</v>
      </c>
      <c r="G139" s="1">
        <v>13</v>
      </c>
      <c r="H139" s="1">
        <v>45</v>
      </c>
      <c r="I139" s="1">
        <v>0.99719999999999998</v>
      </c>
      <c r="J139" s="1">
        <v>3.48</v>
      </c>
      <c r="K139" s="1">
        <v>0.64</v>
      </c>
      <c r="L139" s="1">
        <v>9.1999999999999993</v>
      </c>
      <c r="M139" s="2">
        <v>5</v>
      </c>
      <c r="N139" s="2" t="str" cm="1">
        <f t="array" ref="N139">_xlfn.IFS(Table1[[#This Row],[quality]]&lt;=4,"Low",Table1[[#This Row],[quality]]&lt;=6,"Medium",Table1[[#This Row],[quality]]&gt;=7,"High")</f>
        <v>Medium</v>
      </c>
      <c r="O139" s="2" t="str">
        <f>IF(AND(Table1[[#This Row],[fixed acidity]]&gt;Sheet1!$C$4,Table1[[#This Row],[pH]]&lt;Sheet1!$K$4),"High","Normal")</f>
        <v>Normal</v>
      </c>
      <c r="P139" s="1">
        <f>(Table1[[#This Row],[alcohol]]*2)+(Table1[[#This Row],[sulphates]]*1.5)-(Table1[[#This Row],[volatile acidity]]*2)</f>
        <v>18.53</v>
      </c>
      <c r="Q139" s="1">
        <f>RANK(Table1[[#This Row],[Quality_score_index]],Table1[Quality_score_index],0)</f>
        <v>1368</v>
      </c>
      <c r="R139" s="1">
        <f>Table1[[#This Row],[total sulfur dioxide]]-Table1[[#This Row],[free sulfur dioxide]]</f>
        <v>32</v>
      </c>
      <c r="S139" s="1" t="str">
        <f>IF(AND(Table1[[#This Row],[pH]]&gt;=3.2,Table1[[#This Row],[alcohol]]&gt;=10),"White wine","Red wine")</f>
        <v>Red wine</v>
      </c>
    </row>
    <row r="140" spans="1:19" x14ac:dyDescent="0.3">
      <c r="A140" s="13">
        <v>139</v>
      </c>
      <c r="B140" s="1">
        <v>7.8</v>
      </c>
      <c r="C140" s="1">
        <v>0.56000000000000005</v>
      </c>
      <c r="D140" s="1">
        <v>0.19</v>
      </c>
      <c r="E140" s="1">
        <v>2.1</v>
      </c>
      <c r="F140" s="1">
        <v>8.1000000000000003E-2</v>
      </c>
      <c r="G140" s="1">
        <v>15</v>
      </c>
      <c r="H140" s="1">
        <v>105</v>
      </c>
      <c r="I140" s="1">
        <v>0.99619999999999997</v>
      </c>
      <c r="J140" s="1">
        <v>3.33</v>
      </c>
      <c r="K140" s="1">
        <v>0.54</v>
      </c>
      <c r="L140" s="1">
        <v>9.5</v>
      </c>
      <c r="M140" s="2">
        <v>5</v>
      </c>
      <c r="N140" s="2" t="str" cm="1">
        <f t="array" ref="N140">_xlfn.IFS(Table1[[#This Row],[quality]]&lt;=4,"Low",Table1[[#This Row],[quality]]&lt;=6,"Medium",Table1[[#This Row],[quality]]&gt;=7,"High")</f>
        <v>Medium</v>
      </c>
      <c r="O140" s="2" t="str">
        <f>IF(AND(Table1[[#This Row],[fixed acidity]]&gt;Sheet1!$C$4,Table1[[#This Row],[pH]]&lt;Sheet1!$K$4),"High","Normal")</f>
        <v>Normal</v>
      </c>
      <c r="P140" s="1">
        <f>(Table1[[#This Row],[alcohol]]*2)+(Table1[[#This Row],[sulphates]]*1.5)-(Table1[[#This Row],[volatile acidity]]*2)</f>
        <v>18.689999999999998</v>
      </c>
      <c r="Q140" s="1">
        <f>RANK(Table1[[#This Row],[Quality_score_index]],Table1[Quality_score_index],0)</f>
        <v>1297</v>
      </c>
      <c r="R140" s="1">
        <f>Table1[[#This Row],[total sulfur dioxide]]-Table1[[#This Row],[free sulfur dioxide]]</f>
        <v>90</v>
      </c>
      <c r="S140" s="1" t="str">
        <f>IF(AND(Table1[[#This Row],[pH]]&gt;=3.2,Table1[[#This Row],[alcohol]]&gt;=10),"White wine","Red wine")</f>
        <v>Red wine</v>
      </c>
    </row>
    <row r="141" spans="1:19" x14ac:dyDescent="0.3">
      <c r="A141" s="13">
        <v>140</v>
      </c>
      <c r="B141" s="1">
        <v>7.8</v>
      </c>
      <c r="C141" s="1">
        <v>0.56000000000000005</v>
      </c>
      <c r="D141" s="1">
        <v>0.19</v>
      </c>
      <c r="E141" s="1">
        <v>2</v>
      </c>
      <c r="F141" s="1">
        <v>8.1000000000000003E-2</v>
      </c>
      <c r="G141" s="1">
        <v>17</v>
      </c>
      <c r="H141" s="1">
        <v>108</v>
      </c>
      <c r="I141" s="1">
        <v>0.99619999999999997</v>
      </c>
      <c r="J141" s="1">
        <v>3.32</v>
      </c>
      <c r="K141" s="1">
        <v>0.54</v>
      </c>
      <c r="L141" s="1">
        <v>9.5</v>
      </c>
      <c r="M141" s="2">
        <v>5</v>
      </c>
      <c r="N141" s="2" t="str" cm="1">
        <f t="array" ref="N141">_xlfn.IFS(Table1[[#This Row],[quality]]&lt;=4,"Low",Table1[[#This Row],[quality]]&lt;=6,"Medium",Table1[[#This Row],[quality]]&gt;=7,"High")</f>
        <v>Medium</v>
      </c>
      <c r="O141" s="2" t="str">
        <f>IF(AND(Table1[[#This Row],[fixed acidity]]&gt;Sheet1!$C$4,Table1[[#This Row],[pH]]&lt;Sheet1!$K$4),"High","Normal")</f>
        <v>Normal</v>
      </c>
      <c r="P141" s="1">
        <f>(Table1[[#This Row],[alcohol]]*2)+(Table1[[#This Row],[sulphates]]*1.5)-(Table1[[#This Row],[volatile acidity]]*2)</f>
        <v>18.689999999999998</v>
      </c>
      <c r="Q141" s="1">
        <f>RANK(Table1[[#This Row],[Quality_score_index]],Table1[Quality_score_index],0)</f>
        <v>1297</v>
      </c>
      <c r="R141" s="1">
        <f>Table1[[#This Row],[total sulfur dioxide]]-Table1[[#This Row],[free sulfur dioxide]]</f>
        <v>91</v>
      </c>
      <c r="S141" s="1" t="str">
        <f>IF(AND(Table1[[#This Row],[pH]]&gt;=3.2,Table1[[#This Row],[alcohol]]&gt;=10),"White wine","Red wine")</f>
        <v>Red wine</v>
      </c>
    </row>
    <row r="142" spans="1:19" x14ac:dyDescent="0.3">
      <c r="A142" s="13">
        <v>141</v>
      </c>
      <c r="B142" s="1">
        <v>8.4</v>
      </c>
      <c r="C142" s="1">
        <v>0.745</v>
      </c>
      <c r="D142" s="1">
        <v>0.11</v>
      </c>
      <c r="E142" s="1">
        <v>1.9</v>
      </c>
      <c r="F142" s="1">
        <v>0.09</v>
      </c>
      <c r="G142" s="1">
        <v>16</v>
      </c>
      <c r="H142" s="1">
        <v>63</v>
      </c>
      <c r="I142" s="1">
        <v>0.99650000000000005</v>
      </c>
      <c r="J142" s="1">
        <v>3.19</v>
      </c>
      <c r="K142" s="1">
        <v>0.82</v>
      </c>
      <c r="L142" s="1">
        <v>9.6</v>
      </c>
      <c r="M142" s="2">
        <v>5</v>
      </c>
      <c r="N142" s="2" t="str" cm="1">
        <f t="array" ref="N142">_xlfn.IFS(Table1[[#This Row],[quality]]&lt;=4,"Low",Table1[[#This Row],[quality]]&lt;=6,"Medium",Table1[[#This Row],[quality]]&gt;=7,"High")</f>
        <v>Medium</v>
      </c>
      <c r="O142" s="2" t="str">
        <f>IF(AND(Table1[[#This Row],[fixed acidity]]&gt;Sheet1!$C$4,Table1[[#This Row],[pH]]&lt;Sheet1!$K$4),"High","Normal")</f>
        <v>High</v>
      </c>
      <c r="P142" s="1">
        <f>(Table1[[#This Row],[alcohol]]*2)+(Table1[[#This Row],[sulphates]]*1.5)-(Table1[[#This Row],[volatile acidity]]*2)</f>
        <v>18.940000000000001</v>
      </c>
      <c r="Q142" s="1">
        <f>RANK(Table1[[#This Row],[Quality_score_index]],Table1[Quality_score_index],0)</f>
        <v>1184</v>
      </c>
      <c r="R142" s="1">
        <f>Table1[[#This Row],[total sulfur dioxide]]-Table1[[#This Row],[free sulfur dioxide]]</f>
        <v>47</v>
      </c>
      <c r="S142" s="1" t="str">
        <f>IF(AND(Table1[[#This Row],[pH]]&gt;=3.2,Table1[[#This Row],[alcohol]]&gt;=10),"White wine","Red wine")</f>
        <v>Red wine</v>
      </c>
    </row>
    <row r="143" spans="1:19" x14ac:dyDescent="0.3">
      <c r="A143" s="13">
        <v>142</v>
      </c>
      <c r="B143" s="1">
        <v>8.3000000000000007</v>
      </c>
      <c r="C143" s="1">
        <v>0.71499999999999997</v>
      </c>
      <c r="D143" s="1">
        <v>0.15</v>
      </c>
      <c r="E143" s="1">
        <v>1.8</v>
      </c>
      <c r="F143" s="1">
        <v>8.8999999999999996E-2</v>
      </c>
      <c r="G143" s="1">
        <v>10</v>
      </c>
      <c r="H143" s="1">
        <v>52</v>
      </c>
      <c r="I143" s="1">
        <v>0.99680000000000002</v>
      </c>
      <c r="J143" s="1">
        <v>3.23</v>
      </c>
      <c r="K143" s="1">
        <v>0.77</v>
      </c>
      <c r="L143" s="1">
        <v>9.5</v>
      </c>
      <c r="M143" s="2">
        <v>5</v>
      </c>
      <c r="N143" s="2" t="str" cm="1">
        <f t="array" ref="N143">_xlfn.IFS(Table1[[#This Row],[quality]]&lt;=4,"Low",Table1[[#This Row],[quality]]&lt;=6,"Medium",Table1[[#This Row],[quality]]&gt;=7,"High")</f>
        <v>Medium</v>
      </c>
      <c r="O143" s="2" t="str">
        <f>IF(AND(Table1[[#This Row],[fixed acidity]]&gt;Sheet1!$C$4,Table1[[#This Row],[pH]]&lt;Sheet1!$K$4),"High","Normal")</f>
        <v>Normal</v>
      </c>
      <c r="P143" s="1">
        <f>(Table1[[#This Row],[alcohol]]*2)+(Table1[[#This Row],[sulphates]]*1.5)-(Table1[[#This Row],[volatile acidity]]*2)</f>
        <v>18.725000000000001</v>
      </c>
      <c r="Q143" s="1">
        <f>RANK(Table1[[#This Row],[Quality_score_index]],Table1[Quality_score_index],0)</f>
        <v>1274</v>
      </c>
      <c r="R143" s="1">
        <f>Table1[[#This Row],[total sulfur dioxide]]-Table1[[#This Row],[free sulfur dioxide]]</f>
        <v>42</v>
      </c>
      <c r="S143" s="1" t="str">
        <f>IF(AND(Table1[[#This Row],[pH]]&gt;=3.2,Table1[[#This Row],[alcohol]]&gt;=10),"White wine","Red wine")</f>
        <v>Red wine</v>
      </c>
    </row>
    <row r="144" spans="1:19" x14ac:dyDescent="0.3">
      <c r="A144" s="13">
        <v>143</v>
      </c>
      <c r="B144" s="1">
        <v>5.2</v>
      </c>
      <c r="C144" s="1">
        <v>0.34</v>
      </c>
      <c r="D144" s="1">
        <v>0</v>
      </c>
      <c r="E144" s="1">
        <v>1.8</v>
      </c>
      <c r="F144" s="1">
        <v>0.05</v>
      </c>
      <c r="G144" s="1">
        <v>27</v>
      </c>
      <c r="H144" s="1">
        <v>63</v>
      </c>
      <c r="I144" s="1">
        <v>0.99160000000000004</v>
      </c>
      <c r="J144" s="1">
        <v>3.68</v>
      </c>
      <c r="K144" s="1">
        <v>0.79</v>
      </c>
      <c r="L144" s="1">
        <v>14</v>
      </c>
      <c r="M144" s="2">
        <v>6</v>
      </c>
      <c r="N144" s="2" t="str" cm="1">
        <f t="array" ref="N144">_xlfn.IFS(Table1[[#This Row],[quality]]&lt;=4,"Low",Table1[[#This Row],[quality]]&lt;=6,"Medium",Table1[[#This Row],[quality]]&gt;=7,"High")</f>
        <v>Medium</v>
      </c>
      <c r="O144" s="2" t="str">
        <f>IF(AND(Table1[[#This Row],[fixed acidity]]&gt;Sheet1!$C$4,Table1[[#This Row],[pH]]&lt;Sheet1!$K$4),"High","Normal")</f>
        <v>Normal</v>
      </c>
      <c r="P144" s="1">
        <f>(Table1[[#This Row],[alcohol]]*2)+(Table1[[#This Row],[sulphates]]*1.5)-(Table1[[#This Row],[volatile acidity]]*2)</f>
        <v>28.504999999999999</v>
      </c>
      <c r="Q144" s="1">
        <f>RANK(Table1[[#This Row],[Quality_score_index]],Table1[Quality_score_index],0)</f>
        <v>2</v>
      </c>
      <c r="R144" s="1">
        <f>Table1[[#This Row],[total sulfur dioxide]]-Table1[[#This Row],[free sulfur dioxide]]</f>
        <v>36</v>
      </c>
      <c r="S144" s="1" t="str">
        <f>IF(AND(Table1[[#This Row],[pH]]&gt;=3.2,Table1[[#This Row],[alcohol]]&gt;=10),"White wine","Red wine")</f>
        <v>White wine</v>
      </c>
    </row>
    <row r="145" spans="1:19" x14ac:dyDescent="0.3">
      <c r="A145" s="13">
        <v>144</v>
      </c>
      <c r="B145" s="1">
        <v>6.3</v>
      </c>
      <c r="C145" s="1">
        <v>0.39</v>
      </c>
      <c r="D145" s="1">
        <v>0.08</v>
      </c>
      <c r="E145" s="1">
        <v>1.7</v>
      </c>
      <c r="F145" s="1">
        <v>6.6000000000000003E-2</v>
      </c>
      <c r="G145" s="1">
        <v>3</v>
      </c>
      <c r="H145" s="1">
        <v>20</v>
      </c>
      <c r="I145" s="1">
        <v>0.99539999999999995</v>
      </c>
      <c r="J145" s="1">
        <v>3.34</v>
      </c>
      <c r="K145" s="1">
        <v>0.57999999999999996</v>
      </c>
      <c r="L145" s="1">
        <v>9.4</v>
      </c>
      <c r="M145" s="2">
        <v>5</v>
      </c>
      <c r="N145" s="2" t="str" cm="1">
        <f t="array" ref="N145">_xlfn.IFS(Table1[[#This Row],[quality]]&lt;=4,"Low",Table1[[#This Row],[quality]]&lt;=6,"Medium",Table1[[#This Row],[quality]]&gt;=7,"High")</f>
        <v>Medium</v>
      </c>
      <c r="O145" s="2" t="str">
        <f>IF(AND(Table1[[#This Row],[fixed acidity]]&gt;Sheet1!$C$4,Table1[[#This Row],[pH]]&lt;Sheet1!$K$4),"High","Normal")</f>
        <v>Normal</v>
      </c>
      <c r="P145" s="1">
        <f>(Table1[[#This Row],[alcohol]]*2)+(Table1[[#This Row],[sulphates]]*1.5)-(Table1[[#This Row],[volatile acidity]]*2)</f>
        <v>18.89</v>
      </c>
      <c r="Q145" s="1">
        <f>RANK(Table1[[#This Row],[Quality_score_index]],Table1[Quality_score_index],0)</f>
        <v>1208</v>
      </c>
      <c r="R145" s="1">
        <f>Table1[[#This Row],[total sulfur dioxide]]-Table1[[#This Row],[free sulfur dioxide]]</f>
        <v>17</v>
      </c>
      <c r="S145" s="1" t="str">
        <f>IF(AND(Table1[[#This Row],[pH]]&gt;=3.2,Table1[[#This Row],[alcohol]]&gt;=10),"White wine","Red wine")</f>
        <v>Red wine</v>
      </c>
    </row>
    <row r="146" spans="1:19" x14ac:dyDescent="0.3">
      <c r="A146" s="13">
        <v>145</v>
      </c>
      <c r="B146" s="1">
        <v>5.2</v>
      </c>
      <c r="C146" s="1">
        <v>0.34</v>
      </c>
      <c r="D146" s="1">
        <v>0</v>
      </c>
      <c r="E146" s="1">
        <v>1.8</v>
      </c>
      <c r="F146" s="1">
        <v>0.05</v>
      </c>
      <c r="G146" s="1">
        <v>27</v>
      </c>
      <c r="H146" s="1">
        <v>63</v>
      </c>
      <c r="I146" s="1">
        <v>0.99160000000000004</v>
      </c>
      <c r="J146" s="1">
        <v>3.68</v>
      </c>
      <c r="K146" s="1">
        <v>0.79</v>
      </c>
      <c r="L146" s="1">
        <v>14</v>
      </c>
      <c r="M146" s="2">
        <v>6</v>
      </c>
      <c r="N146" s="2" t="str" cm="1">
        <f t="array" ref="N146">_xlfn.IFS(Table1[[#This Row],[quality]]&lt;=4,"Low",Table1[[#This Row],[quality]]&lt;=6,"Medium",Table1[[#This Row],[quality]]&gt;=7,"High")</f>
        <v>Medium</v>
      </c>
      <c r="O146" s="2" t="str">
        <f>IF(AND(Table1[[#This Row],[fixed acidity]]&gt;Sheet1!$C$4,Table1[[#This Row],[pH]]&lt;Sheet1!$K$4),"High","Normal")</f>
        <v>Normal</v>
      </c>
      <c r="P146" s="1">
        <f>(Table1[[#This Row],[alcohol]]*2)+(Table1[[#This Row],[sulphates]]*1.5)-(Table1[[#This Row],[volatile acidity]]*2)</f>
        <v>28.504999999999999</v>
      </c>
      <c r="Q146" s="1">
        <f>RANK(Table1[[#This Row],[Quality_score_index]],Table1[Quality_score_index],0)</f>
        <v>2</v>
      </c>
      <c r="R146" s="1">
        <f>Table1[[#This Row],[total sulfur dioxide]]-Table1[[#This Row],[free sulfur dioxide]]</f>
        <v>36</v>
      </c>
      <c r="S146" s="1" t="str">
        <f>IF(AND(Table1[[#This Row],[pH]]&gt;=3.2,Table1[[#This Row],[alcohol]]&gt;=10),"White wine","Red wine")</f>
        <v>White wine</v>
      </c>
    </row>
    <row r="147" spans="1:19" x14ac:dyDescent="0.3">
      <c r="A147" s="13">
        <v>146</v>
      </c>
      <c r="B147" s="1">
        <v>8.1</v>
      </c>
      <c r="C147" s="1">
        <v>0.67</v>
      </c>
      <c r="D147" s="1">
        <v>0.55000000000000004</v>
      </c>
      <c r="E147" s="1">
        <v>1.8</v>
      </c>
      <c r="F147" s="1">
        <v>0.11700000000000001</v>
      </c>
      <c r="G147" s="1">
        <v>32</v>
      </c>
      <c r="H147" s="1">
        <v>141</v>
      </c>
      <c r="I147" s="1">
        <v>0.99680000000000002</v>
      </c>
      <c r="J147" s="1">
        <v>3.17</v>
      </c>
      <c r="K147" s="1">
        <v>0.62</v>
      </c>
      <c r="L147" s="1">
        <v>9.4</v>
      </c>
      <c r="M147" s="2">
        <v>5</v>
      </c>
      <c r="N147" s="2" t="str" cm="1">
        <f t="array" ref="N147">_xlfn.IFS(Table1[[#This Row],[quality]]&lt;=4,"Low",Table1[[#This Row],[quality]]&lt;=6,"Medium",Table1[[#This Row],[quality]]&gt;=7,"High")</f>
        <v>Medium</v>
      </c>
      <c r="O147" s="2" t="str">
        <f>IF(AND(Table1[[#This Row],[fixed acidity]]&gt;Sheet1!$C$4,Table1[[#This Row],[pH]]&lt;Sheet1!$K$4),"High","Normal")</f>
        <v>Normal</v>
      </c>
      <c r="P147" s="1">
        <f>(Table1[[#This Row],[alcohol]]*2)+(Table1[[#This Row],[sulphates]]*1.5)-(Table1[[#This Row],[volatile acidity]]*2)</f>
        <v>18.39</v>
      </c>
      <c r="Q147" s="1">
        <f>RANK(Table1[[#This Row],[Quality_score_index]],Table1[Quality_score_index],0)</f>
        <v>1420</v>
      </c>
      <c r="R147" s="1">
        <f>Table1[[#This Row],[total sulfur dioxide]]-Table1[[#This Row],[free sulfur dioxide]]</f>
        <v>109</v>
      </c>
      <c r="S147" s="1" t="str">
        <f>IF(AND(Table1[[#This Row],[pH]]&gt;=3.2,Table1[[#This Row],[alcohol]]&gt;=10),"White wine","Red wine")</f>
        <v>Red wine</v>
      </c>
    </row>
    <row r="148" spans="1:19" x14ac:dyDescent="0.3">
      <c r="A148" s="13">
        <v>147</v>
      </c>
      <c r="B148" s="1">
        <v>5.8</v>
      </c>
      <c r="C148" s="1">
        <v>0.68</v>
      </c>
      <c r="D148" s="1">
        <v>0.02</v>
      </c>
      <c r="E148" s="1">
        <v>1.8</v>
      </c>
      <c r="F148" s="1">
        <v>8.6999999999999994E-2</v>
      </c>
      <c r="G148" s="1">
        <v>21</v>
      </c>
      <c r="H148" s="1">
        <v>94</v>
      </c>
      <c r="I148" s="1">
        <v>0.99439999999999995</v>
      </c>
      <c r="J148" s="1">
        <v>3.54</v>
      </c>
      <c r="K148" s="1">
        <v>0.52</v>
      </c>
      <c r="L148" s="1">
        <v>10</v>
      </c>
      <c r="M148" s="2">
        <v>5</v>
      </c>
      <c r="N148" s="2" t="str" cm="1">
        <f t="array" ref="N148">_xlfn.IFS(Table1[[#This Row],[quality]]&lt;=4,"Low",Table1[[#This Row],[quality]]&lt;=6,"Medium",Table1[[#This Row],[quality]]&gt;=7,"High")</f>
        <v>Medium</v>
      </c>
      <c r="O148" s="2" t="str">
        <f>IF(AND(Table1[[#This Row],[fixed acidity]]&gt;Sheet1!$C$4,Table1[[#This Row],[pH]]&lt;Sheet1!$K$4),"High","Normal")</f>
        <v>Normal</v>
      </c>
      <c r="P148" s="1">
        <f>(Table1[[#This Row],[alcohol]]*2)+(Table1[[#This Row],[sulphates]]*1.5)-(Table1[[#This Row],[volatile acidity]]*2)</f>
        <v>19.420000000000002</v>
      </c>
      <c r="Q148" s="1">
        <f>RANK(Table1[[#This Row],[Quality_score_index]],Table1[Quality_score_index],0)</f>
        <v>999</v>
      </c>
      <c r="R148" s="1">
        <f>Table1[[#This Row],[total sulfur dioxide]]-Table1[[#This Row],[free sulfur dioxide]]</f>
        <v>73</v>
      </c>
      <c r="S148" s="1" t="str">
        <f>IF(AND(Table1[[#This Row],[pH]]&gt;=3.2,Table1[[#This Row],[alcohol]]&gt;=10),"White wine","Red wine")</f>
        <v>White wine</v>
      </c>
    </row>
    <row r="149" spans="1:19" x14ac:dyDescent="0.3">
      <c r="A149" s="13">
        <v>148</v>
      </c>
      <c r="B149" s="1">
        <v>7.6</v>
      </c>
      <c r="C149" s="1">
        <v>0.49</v>
      </c>
      <c r="D149" s="1">
        <v>0.26</v>
      </c>
      <c r="E149" s="1">
        <v>1.6</v>
      </c>
      <c r="F149" s="1">
        <v>0.23599999999999999</v>
      </c>
      <c r="G149" s="1">
        <v>10</v>
      </c>
      <c r="H149" s="1">
        <v>88</v>
      </c>
      <c r="I149" s="1">
        <v>0.99680000000000002</v>
      </c>
      <c r="J149" s="1">
        <v>3.11</v>
      </c>
      <c r="K149" s="1">
        <v>0.8</v>
      </c>
      <c r="L149" s="1">
        <v>9.3000000000000007</v>
      </c>
      <c r="M149" s="2">
        <v>5</v>
      </c>
      <c r="N149" s="2" t="str" cm="1">
        <f t="array" ref="N149">_xlfn.IFS(Table1[[#This Row],[quality]]&lt;=4,"Low",Table1[[#This Row],[quality]]&lt;=6,"Medium",Table1[[#This Row],[quality]]&gt;=7,"High")</f>
        <v>Medium</v>
      </c>
      <c r="O149" s="2" t="str">
        <f>IF(AND(Table1[[#This Row],[fixed acidity]]&gt;Sheet1!$C$4,Table1[[#This Row],[pH]]&lt;Sheet1!$K$4),"High","Normal")</f>
        <v>Normal</v>
      </c>
      <c r="P149" s="1">
        <f>(Table1[[#This Row],[alcohol]]*2)+(Table1[[#This Row],[sulphates]]*1.5)-(Table1[[#This Row],[volatile acidity]]*2)</f>
        <v>18.82</v>
      </c>
      <c r="Q149" s="1">
        <f>RANK(Table1[[#This Row],[Quality_score_index]],Table1[Quality_score_index],0)</f>
        <v>1240</v>
      </c>
      <c r="R149" s="1">
        <f>Table1[[#This Row],[total sulfur dioxide]]-Table1[[#This Row],[free sulfur dioxide]]</f>
        <v>78</v>
      </c>
      <c r="S149" s="1" t="str">
        <f>IF(AND(Table1[[#This Row],[pH]]&gt;=3.2,Table1[[#This Row],[alcohol]]&gt;=10),"White wine","Red wine")</f>
        <v>Red wine</v>
      </c>
    </row>
    <row r="150" spans="1:19" x14ac:dyDescent="0.3">
      <c r="A150" s="13">
        <v>149</v>
      </c>
      <c r="B150" s="1">
        <v>6.9</v>
      </c>
      <c r="C150" s="1">
        <v>0.49</v>
      </c>
      <c r="D150" s="1">
        <v>0.1</v>
      </c>
      <c r="E150" s="1">
        <v>2.2999999999999998</v>
      </c>
      <c r="F150" s="1">
        <v>7.3999999999999996E-2</v>
      </c>
      <c r="G150" s="1">
        <v>12</v>
      </c>
      <c r="H150" s="1">
        <v>30</v>
      </c>
      <c r="I150" s="1">
        <v>0.99590000000000001</v>
      </c>
      <c r="J150" s="1">
        <v>3.42</v>
      </c>
      <c r="K150" s="1">
        <v>0.57999999999999996</v>
      </c>
      <c r="L150" s="1">
        <v>10.199999999999999</v>
      </c>
      <c r="M150" s="2">
        <v>6</v>
      </c>
      <c r="N150" s="2" t="str" cm="1">
        <f t="array" ref="N150">_xlfn.IFS(Table1[[#This Row],[quality]]&lt;=4,"Low",Table1[[#This Row],[quality]]&lt;=6,"Medium",Table1[[#This Row],[quality]]&gt;=7,"High")</f>
        <v>Medium</v>
      </c>
      <c r="O150" s="2" t="str">
        <f>IF(AND(Table1[[#This Row],[fixed acidity]]&gt;Sheet1!$C$4,Table1[[#This Row],[pH]]&lt;Sheet1!$K$4),"High","Normal")</f>
        <v>Normal</v>
      </c>
      <c r="P150" s="1">
        <f>(Table1[[#This Row],[alcohol]]*2)+(Table1[[#This Row],[sulphates]]*1.5)-(Table1[[#This Row],[volatile acidity]]*2)</f>
        <v>20.29</v>
      </c>
      <c r="Q150" s="1">
        <f>RANK(Table1[[#This Row],[Quality_score_index]],Table1[Quality_score_index],0)</f>
        <v>795</v>
      </c>
      <c r="R150" s="1">
        <f>Table1[[#This Row],[total sulfur dioxide]]-Table1[[#This Row],[free sulfur dioxide]]</f>
        <v>18</v>
      </c>
      <c r="S150" s="1" t="str">
        <f>IF(AND(Table1[[#This Row],[pH]]&gt;=3.2,Table1[[#This Row],[alcohol]]&gt;=10),"White wine","Red wine")</f>
        <v>White wine</v>
      </c>
    </row>
    <row r="151" spans="1:19" x14ac:dyDescent="0.3">
      <c r="A151" s="13">
        <v>150</v>
      </c>
      <c r="B151" s="1">
        <v>8.1999999999999993</v>
      </c>
      <c r="C151" s="1">
        <v>0.4</v>
      </c>
      <c r="D151" s="1">
        <v>0.44</v>
      </c>
      <c r="E151" s="1">
        <v>2.8</v>
      </c>
      <c r="F151" s="1">
        <v>8.8999999999999996E-2</v>
      </c>
      <c r="G151" s="1">
        <v>11</v>
      </c>
      <c r="H151" s="1">
        <v>43</v>
      </c>
      <c r="I151" s="1">
        <v>0.99750000000000005</v>
      </c>
      <c r="J151" s="1">
        <v>3.53</v>
      </c>
      <c r="K151" s="1">
        <v>0.61</v>
      </c>
      <c r="L151" s="1">
        <v>10.5</v>
      </c>
      <c r="M151" s="2">
        <v>6</v>
      </c>
      <c r="N151" s="2" t="str" cm="1">
        <f t="array" ref="N151">_xlfn.IFS(Table1[[#This Row],[quality]]&lt;=4,"Low",Table1[[#This Row],[quality]]&lt;=6,"Medium",Table1[[#This Row],[quality]]&gt;=7,"High")</f>
        <v>Medium</v>
      </c>
      <c r="O151" s="2" t="str">
        <f>IF(AND(Table1[[#This Row],[fixed acidity]]&gt;Sheet1!$C$4,Table1[[#This Row],[pH]]&lt;Sheet1!$K$4),"High","Normal")</f>
        <v>Normal</v>
      </c>
      <c r="P151" s="1">
        <f>(Table1[[#This Row],[alcohol]]*2)+(Table1[[#This Row],[sulphates]]*1.5)-(Table1[[#This Row],[volatile acidity]]*2)</f>
        <v>21.114999999999998</v>
      </c>
      <c r="Q151" s="1">
        <f>RANK(Table1[[#This Row],[Quality_score_index]],Table1[Quality_score_index],0)</f>
        <v>629</v>
      </c>
      <c r="R151" s="1">
        <f>Table1[[#This Row],[total sulfur dioxide]]-Table1[[#This Row],[free sulfur dioxide]]</f>
        <v>32</v>
      </c>
      <c r="S151" s="1" t="str">
        <f>IF(AND(Table1[[#This Row],[pH]]&gt;=3.2,Table1[[#This Row],[alcohol]]&gt;=10),"White wine","Red wine")</f>
        <v>White wine</v>
      </c>
    </row>
    <row r="152" spans="1:19" x14ac:dyDescent="0.3">
      <c r="A152" s="13">
        <v>151</v>
      </c>
      <c r="B152" s="1">
        <v>7.3</v>
      </c>
      <c r="C152" s="1">
        <v>0.33</v>
      </c>
      <c r="D152" s="1">
        <v>0.47</v>
      </c>
      <c r="E152" s="1">
        <v>2.1</v>
      </c>
      <c r="F152" s="1">
        <v>7.6999999999999999E-2</v>
      </c>
      <c r="G152" s="1">
        <v>5</v>
      </c>
      <c r="H152" s="1">
        <v>11</v>
      </c>
      <c r="I152" s="1">
        <v>0.99580000000000002</v>
      </c>
      <c r="J152" s="1">
        <v>3.33</v>
      </c>
      <c r="K152" s="1">
        <v>0.53</v>
      </c>
      <c r="L152" s="1">
        <v>10.3</v>
      </c>
      <c r="M152" s="2">
        <v>6</v>
      </c>
      <c r="N152" s="2" t="str" cm="1">
        <f t="array" ref="N152">_xlfn.IFS(Table1[[#This Row],[quality]]&lt;=4,"Low",Table1[[#This Row],[quality]]&lt;=6,"Medium",Table1[[#This Row],[quality]]&gt;=7,"High")</f>
        <v>Medium</v>
      </c>
      <c r="O152" s="2" t="str">
        <f>IF(AND(Table1[[#This Row],[fixed acidity]]&gt;Sheet1!$C$4,Table1[[#This Row],[pH]]&lt;Sheet1!$K$4),"High","Normal")</f>
        <v>Normal</v>
      </c>
      <c r="P152" s="1">
        <f>(Table1[[#This Row],[alcohol]]*2)+(Table1[[#This Row],[sulphates]]*1.5)-(Table1[[#This Row],[volatile acidity]]*2)</f>
        <v>20.735000000000003</v>
      </c>
      <c r="Q152" s="1">
        <f>RANK(Table1[[#This Row],[Quality_score_index]],Table1[Quality_score_index],0)</f>
        <v>719</v>
      </c>
      <c r="R152" s="1">
        <f>Table1[[#This Row],[total sulfur dioxide]]-Table1[[#This Row],[free sulfur dioxide]]</f>
        <v>6</v>
      </c>
      <c r="S152" s="1" t="str">
        <f>IF(AND(Table1[[#This Row],[pH]]&gt;=3.2,Table1[[#This Row],[alcohol]]&gt;=10),"White wine","Red wine")</f>
        <v>White wine</v>
      </c>
    </row>
    <row r="153" spans="1:19" x14ac:dyDescent="0.3">
      <c r="A153" s="13">
        <v>152</v>
      </c>
      <c r="B153" s="1">
        <v>9.1999999999999993</v>
      </c>
      <c r="C153" s="1">
        <v>0.52</v>
      </c>
      <c r="D153" s="1">
        <v>1</v>
      </c>
      <c r="E153" s="1">
        <v>3.4</v>
      </c>
      <c r="F153" s="1">
        <v>0.61</v>
      </c>
      <c r="G153" s="1">
        <v>32</v>
      </c>
      <c r="H153" s="1">
        <v>69</v>
      </c>
      <c r="I153" s="1">
        <v>0.99960000000000004</v>
      </c>
      <c r="J153" s="1">
        <v>2.74</v>
      </c>
      <c r="K153" s="1">
        <v>2</v>
      </c>
      <c r="L153" s="1">
        <v>9.4</v>
      </c>
      <c r="M153" s="2">
        <v>4</v>
      </c>
      <c r="N153" s="2" t="str" cm="1">
        <f t="array" ref="N153">_xlfn.IFS(Table1[[#This Row],[quality]]&lt;=4,"Low",Table1[[#This Row],[quality]]&lt;=6,"Medium",Table1[[#This Row],[quality]]&gt;=7,"High")</f>
        <v>Low</v>
      </c>
      <c r="O153" s="2" t="str">
        <f>IF(AND(Table1[[#This Row],[fixed acidity]]&gt;Sheet1!$C$4,Table1[[#This Row],[pH]]&lt;Sheet1!$K$4),"High","Normal")</f>
        <v>High</v>
      </c>
      <c r="P153" s="1">
        <f>(Table1[[#This Row],[alcohol]]*2)+(Table1[[#This Row],[sulphates]]*1.5)-(Table1[[#This Row],[volatile acidity]]*2)</f>
        <v>20.76</v>
      </c>
      <c r="Q153" s="1">
        <f>RANK(Table1[[#This Row],[Quality_score_index]],Table1[Quality_score_index],0)</f>
        <v>713</v>
      </c>
      <c r="R153" s="1">
        <f>Table1[[#This Row],[total sulfur dioxide]]-Table1[[#This Row],[free sulfur dioxide]]</f>
        <v>37</v>
      </c>
      <c r="S153" s="1" t="str">
        <f>IF(AND(Table1[[#This Row],[pH]]&gt;=3.2,Table1[[#This Row],[alcohol]]&gt;=10),"White wine","Red wine")</f>
        <v>Red wine</v>
      </c>
    </row>
    <row r="154" spans="1:19" x14ac:dyDescent="0.3">
      <c r="A154" s="13">
        <v>153</v>
      </c>
      <c r="B154" s="1">
        <v>7.5</v>
      </c>
      <c r="C154" s="1">
        <v>0.6</v>
      </c>
      <c r="D154" s="1">
        <v>0.03</v>
      </c>
      <c r="E154" s="1">
        <v>1.8</v>
      </c>
      <c r="F154" s="1">
        <v>9.5000000000000001E-2</v>
      </c>
      <c r="G154" s="1">
        <v>25</v>
      </c>
      <c r="H154" s="1">
        <v>99</v>
      </c>
      <c r="I154" s="1">
        <v>0.995</v>
      </c>
      <c r="J154" s="1">
        <v>3.35</v>
      </c>
      <c r="K154" s="1">
        <v>0.54</v>
      </c>
      <c r="L154" s="1">
        <v>10.1</v>
      </c>
      <c r="M154" s="2">
        <v>5</v>
      </c>
      <c r="N154" s="2" t="str" cm="1">
        <f t="array" ref="N154">_xlfn.IFS(Table1[[#This Row],[quality]]&lt;=4,"Low",Table1[[#This Row],[quality]]&lt;=6,"Medium",Table1[[#This Row],[quality]]&gt;=7,"High")</f>
        <v>Medium</v>
      </c>
      <c r="O154" s="2" t="str">
        <f>IF(AND(Table1[[#This Row],[fixed acidity]]&gt;Sheet1!$C$4,Table1[[#This Row],[pH]]&lt;Sheet1!$K$4),"High","Normal")</f>
        <v>Normal</v>
      </c>
      <c r="P154" s="1">
        <f>(Table1[[#This Row],[alcohol]]*2)+(Table1[[#This Row],[sulphates]]*1.5)-(Table1[[#This Row],[volatile acidity]]*2)</f>
        <v>19.809999999999999</v>
      </c>
      <c r="Q154" s="1">
        <f>RANK(Table1[[#This Row],[Quality_score_index]],Table1[Quality_score_index],0)</f>
        <v>903</v>
      </c>
      <c r="R154" s="1">
        <f>Table1[[#This Row],[total sulfur dioxide]]-Table1[[#This Row],[free sulfur dioxide]]</f>
        <v>74</v>
      </c>
      <c r="S154" s="1" t="str">
        <f>IF(AND(Table1[[#This Row],[pH]]&gt;=3.2,Table1[[#This Row],[alcohol]]&gt;=10),"White wine","Red wine")</f>
        <v>White wine</v>
      </c>
    </row>
    <row r="155" spans="1:19" x14ac:dyDescent="0.3">
      <c r="A155" s="13">
        <v>154</v>
      </c>
      <c r="B155" s="1">
        <v>7.5</v>
      </c>
      <c r="C155" s="1">
        <v>0.6</v>
      </c>
      <c r="D155" s="1">
        <v>0.03</v>
      </c>
      <c r="E155" s="1">
        <v>1.8</v>
      </c>
      <c r="F155" s="1">
        <v>9.5000000000000001E-2</v>
      </c>
      <c r="G155" s="1">
        <v>25</v>
      </c>
      <c r="H155" s="1">
        <v>99</v>
      </c>
      <c r="I155" s="1">
        <v>0.995</v>
      </c>
      <c r="J155" s="1">
        <v>3.35</v>
      </c>
      <c r="K155" s="1">
        <v>0.54</v>
      </c>
      <c r="L155" s="1">
        <v>10.1</v>
      </c>
      <c r="M155" s="2">
        <v>5</v>
      </c>
      <c r="N155" s="2" t="str" cm="1">
        <f t="array" ref="N155">_xlfn.IFS(Table1[[#This Row],[quality]]&lt;=4,"Low",Table1[[#This Row],[quality]]&lt;=6,"Medium",Table1[[#This Row],[quality]]&gt;=7,"High")</f>
        <v>Medium</v>
      </c>
      <c r="O155" s="2" t="str">
        <f>IF(AND(Table1[[#This Row],[fixed acidity]]&gt;Sheet1!$C$4,Table1[[#This Row],[pH]]&lt;Sheet1!$K$4),"High","Normal")</f>
        <v>Normal</v>
      </c>
      <c r="P155" s="1">
        <f>(Table1[[#This Row],[alcohol]]*2)+(Table1[[#This Row],[sulphates]]*1.5)-(Table1[[#This Row],[volatile acidity]]*2)</f>
        <v>19.809999999999999</v>
      </c>
      <c r="Q155" s="1">
        <f>RANK(Table1[[#This Row],[Quality_score_index]],Table1[Quality_score_index],0)</f>
        <v>903</v>
      </c>
      <c r="R155" s="1">
        <f>Table1[[#This Row],[total sulfur dioxide]]-Table1[[#This Row],[free sulfur dioxide]]</f>
        <v>74</v>
      </c>
      <c r="S155" s="1" t="str">
        <f>IF(AND(Table1[[#This Row],[pH]]&gt;=3.2,Table1[[#This Row],[alcohol]]&gt;=10),"White wine","Red wine")</f>
        <v>White wine</v>
      </c>
    </row>
    <row r="156" spans="1:19" x14ac:dyDescent="0.3">
      <c r="A156" s="13">
        <v>155</v>
      </c>
      <c r="B156" s="1">
        <v>7.1</v>
      </c>
      <c r="C156" s="1">
        <v>0.43</v>
      </c>
      <c r="D156" s="1">
        <v>0.42</v>
      </c>
      <c r="E156" s="1">
        <v>5.5</v>
      </c>
      <c r="F156" s="1">
        <v>7.0000000000000007E-2</v>
      </c>
      <c r="G156" s="1">
        <v>29</v>
      </c>
      <c r="H156" s="1">
        <v>129</v>
      </c>
      <c r="I156" s="1">
        <v>0.99729999999999996</v>
      </c>
      <c r="J156" s="1">
        <v>3.42</v>
      </c>
      <c r="K156" s="1">
        <v>0.72</v>
      </c>
      <c r="L156" s="1">
        <v>10.5</v>
      </c>
      <c r="M156" s="2">
        <v>5</v>
      </c>
      <c r="N156" s="2" t="str" cm="1">
        <f t="array" ref="N156">_xlfn.IFS(Table1[[#This Row],[quality]]&lt;=4,"Low",Table1[[#This Row],[quality]]&lt;=6,"Medium",Table1[[#This Row],[quality]]&gt;=7,"High")</f>
        <v>Medium</v>
      </c>
      <c r="O156" s="2" t="str">
        <f>IF(AND(Table1[[#This Row],[fixed acidity]]&gt;Sheet1!$C$4,Table1[[#This Row],[pH]]&lt;Sheet1!$K$4),"High","Normal")</f>
        <v>Normal</v>
      </c>
      <c r="P156" s="1">
        <f>(Table1[[#This Row],[alcohol]]*2)+(Table1[[#This Row],[sulphates]]*1.5)-(Table1[[#This Row],[volatile acidity]]*2)</f>
        <v>21.22</v>
      </c>
      <c r="Q156" s="1">
        <f>RANK(Table1[[#This Row],[Quality_score_index]],Table1[Quality_score_index],0)</f>
        <v>595</v>
      </c>
      <c r="R156" s="1">
        <f>Table1[[#This Row],[total sulfur dioxide]]-Table1[[#This Row],[free sulfur dioxide]]</f>
        <v>100</v>
      </c>
      <c r="S156" s="1" t="str">
        <f>IF(AND(Table1[[#This Row],[pH]]&gt;=3.2,Table1[[#This Row],[alcohol]]&gt;=10),"White wine","Red wine")</f>
        <v>White wine</v>
      </c>
    </row>
    <row r="157" spans="1:19" x14ac:dyDescent="0.3">
      <c r="A157" s="13">
        <v>156</v>
      </c>
      <c r="B157" s="1">
        <v>7.1</v>
      </c>
      <c r="C157" s="1">
        <v>0.43</v>
      </c>
      <c r="D157" s="1">
        <v>0.42</v>
      </c>
      <c r="E157" s="1">
        <v>5.5</v>
      </c>
      <c r="F157" s="1">
        <v>7.0999999999999994E-2</v>
      </c>
      <c r="G157" s="1">
        <v>28</v>
      </c>
      <c r="H157" s="1">
        <v>128</v>
      </c>
      <c r="I157" s="1">
        <v>0.99729999999999996</v>
      </c>
      <c r="J157" s="1">
        <v>3.42</v>
      </c>
      <c r="K157" s="1">
        <v>0.71</v>
      </c>
      <c r="L157" s="1">
        <v>10.5</v>
      </c>
      <c r="M157" s="2">
        <v>5</v>
      </c>
      <c r="N157" s="2" t="str" cm="1">
        <f t="array" ref="N157">_xlfn.IFS(Table1[[#This Row],[quality]]&lt;=4,"Low",Table1[[#This Row],[quality]]&lt;=6,"Medium",Table1[[#This Row],[quality]]&gt;=7,"High")</f>
        <v>Medium</v>
      </c>
      <c r="O157" s="2" t="str">
        <f>IF(AND(Table1[[#This Row],[fixed acidity]]&gt;Sheet1!$C$4,Table1[[#This Row],[pH]]&lt;Sheet1!$K$4),"High","Normal")</f>
        <v>Normal</v>
      </c>
      <c r="P157" s="1">
        <f>(Table1[[#This Row],[alcohol]]*2)+(Table1[[#This Row],[sulphates]]*1.5)-(Table1[[#This Row],[volatile acidity]]*2)</f>
        <v>21.205000000000002</v>
      </c>
      <c r="Q157" s="1">
        <f>RANK(Table1[[#This Row],[Quality_score_index]],Table1[Quality_score_index],0)</f>
        <v>600</v>
      </c>
      <c r="R157" s="1">
        <f>Table1[[#This Row],[total sulfur dioxide]]-Table1[[#This Row],[free sulfur dioxide]]</f>
        <v>100</v>
      </c>
      <c r="S157" s="1" t="str">
        <f>IF(AND(Table1[[#This Row],[pH]]&gt;=3.2,Table1[[#This Row],[alcohol]]&gt;=10),"White wine","Red wine")</f>
        <v>White wine</v>
      </c>
    </row>
    <row r="158" spans="1:19" x14ac:dyDescent="0.3">
      <c r="A158" s="13">
        <v>157</v>
      </c>
      <c r="B158" s="1">
        <v>7.1</v>
      </c>
      <c r="C158" s="1">
        <v>0.43</v>
      </c>
      <c r="D158" s="1">
        <v>0.42</v>
      </c>
      <c r="E158" s="1">
        <v>5.5</v>
      </c>
      <c r="F158" s="1">
        <v>7.0000000000000007E-2</v>
      </c>
      <c r="G158" s="1">
        <v>29</v>
      </c>
      <c r="H158" s="1">
        <v>129</v>
      </c>
      <c r="I158" s="1">
        <v>0.99729999999999996</v>
      </c>
      <c r="J158" s="1">
        <v>3.42</v>
      </c>
      <c r="K158" s="1">
        <v>0.72</v>
      </c>
      <c r="L158" s="1">
        <v>10.5</v>
      </c>
      <c r="M158" s="2">
        <v>5</v>
      </c>
      <c r="N158" s="2" t="str" cm="1">
        <f t="array" ref="N158">_xlfn.IFS(Table1[[#This Row],[quality]]&lt;=4,"Low",Table1[[#This Row],[quality]]&lt;=6,"Medium",Table1[[#This Row],[quality]]&gt;=7,"High")</f>
        <v>Medium</v>
      </c>
      <c r="O158" s="2" t="str">
        <f>IF(AND(Table1[[#This Row],[fixed acidity]]&gt;Sheet1!$C$4,Table1[[#This Row],[pH]]&lt;Sheet1!$K$4),"High","Normal")</f>
        <v>Normal</v>
      </c>
      <c r="P158" s="1">
        <f>(Table1[[#This Row],[alcohol]]*2)+(Table1[[#This Row],[sulphates]]*1.5)-(Table1[[#This Row],[volatile acidity]]*2)</f>
        <v>21.22</v>
      </c>
      <c r="Q158" s="1">
        <f>RANK(Table1[[#This Row],[Quality_score_index]],Table1[Quality_score_index],0)</f>
        <v>595</v>
      </c>
      <c r="R158" s="1">
        <f>Table1[[#This Row],[total sulfur dioxide]]-Table1[[#This Row],[free sulfur dioxide]]</f>
        <v>100</v>
      </c>
      <c r="S158" s="1" t="str">
        <f>IF(AND(Table1[[#This Row],[pH]]&gt;=3.2,Table1[[#This Row],[alcohol]]&gt;=10),"White wine","Red wine")</f>
        <v>White wine</v>
      </c>
    </row>
    <row r="159" spans="1:19" x14ac:dyDescent="0.3">
      <c r="A159" s="13">
        <v>158</v>
      </c>
      <c r="B159" s="1">
        <v>7.1</v>
      </c>
      <c r="C159" s="1">
        <v>0.43</v>
      </c>
      <c r="D159" s="1">
        <v>0.42</v>
      </c>
      <c r="E159" s="1">
        <v>5.5</v>
      </c>
      <c r="F159" s="1">
        <v>7.0999999999999994E-2</v>
      </c>
      <c r="G159" s="1">
        <v>28</v>
      </c>
      <c r="H159" s="1">
        <v>128</v>
      </c>
      <c r="I159" s="1">
        <v>0.99729999999999996</v>
      </c>
      <c r="J159" s="1">
        <v>3.42</v>
      </c>
      <c r="K159" s="1">
        <v>0.71</v>
      </c>
      <c r="L159" s="1">
        <v>10.5</v>
      </c>
      <c r="M159" s="2">
        <v>5</v>
      </c>
      <c r="N159" s="2" t="str" cm="1">
        <f t="array" ref="N159">_xlfn.IFS(Table1[[#This Row],[quality]]&lt;=4,"Low",Table1[[#This Row],[quality]]&lt;=6,"Medium",Table1[[#This Row],[quality]]&gt;=7,"High")</f>
        <v>Medium</v>
      </c>
      <c r="O159" s="2" t="str">
        <f>IF(AND(Table1[[#This Row],[fixed acidity]]&gt;Sheet1!$C$4,Table1[[#This Row],[pH]]&lt;Sheet1!$K$4),"High","Normal")</f>
        <v>Normal</v>
      </c>
      <c r="P159" s="1">
        <f>(Table1[[#This Row],[alcohol]]*2)+(Table1[[#This Row],[sulphates]]*1.5)-(Table1[[#This Row],[volatile acidity]]*2)</f>
        <v>21.205000000000002</v>
      </c>
      <c r="Q159" s="1">
        <f>RANK(Table1[[#This Row],[Quality_score_index]],Table1[Quality_score_index],0)</f>
        <v>600</v>
      </c>
      <c r="R159" s="1">
        <f>Table1[[#This Row],[total sulfur dioxide]]-Table1[[#This Row],[free sulfur dioxide]]</f>
        <v>100</v>
      </c>
      <c r="S159" s="1" t="str">
        <f>IF(AND(Table1[[#This Row],[pH]]&gt;=3.2,Table1[[#This Row],[alcohol]]&gt;=10),"White wine","Red wine")</f>
        <v>White wine</v>
      </c>
    </row>
    <row r="160" spans="1:19" x14ac:dyDescent="0.3">
      <c r="A160" s="13">
        <v>159</v>
      </c>
      <c r="B160" s="1">
        <v>7.1</v>
      </c>
      <c r="C160" s="1">
        <v>0.68</v>
      </c>
      <c r="D160" s="1">
        <v>0</v>
      </c>
      <c r="E160" s="1">
        <v>2.2000000000000002</v>
      </c>
      <c r="F160" s="1">
        <v>7.2999999999999995E-2</v>
      </c>
      <c r="G160" s="1">
        <v>12</v>
      </c>
      <c r="H160" s="1">
        <v>22</v>
      </c>
      <c r="I160" s="1">
        <v>0.99690000000000001</v>
      </c>
      <c r="J160" s="1">
        <v>3.48</v>
      </c>
      <c r="K160" s="1">
        <v>0.5</v>
      </c>
      <c r="L160" s="1">
        <v>9.3000000000000007</v>
      </c>
      <c r="M160" s="2">
        <v>5</v>
      </c>
      <c r="N160" s="2" t="str" cm="1">
        <f t="array" ref="N160">_xlfn.IFS(Table1[[#This Row],[quality]]&lt;=4,"Low",Table1[[#This Row],[quality]]&lt;=6,"Medium",Table1[[#This Row],[quality]]&gt;=7,"High")</f>
        <v>Medium</v>
      </c>
      <c r="O160" s="2" t="str">
        <f>IF(AND(Table1[[#This Row],[fixed acidity]]&gt;Sheet1!$C$4,Table1[[#This Row],[pH]]&lt;Sheet1!$K$4),"High","Normal")</f>
        <v>Normal</v>
      </c>
      <c r="P160" s="1">
        <f>(Table1[[#This Row],[alcohol]]*2)+(Table1[[#This Row],[sulphates]]*1.5)-(Table1[[#This Row],[volatile acidity]]*2)</f>
        <v>17.990000000000002</v>
      </c>
      <c r="Q160" s="1">
        <f>RANK(Table1[[#This Row],[Quality_score_index]],Table1[Quality_score_index],0)</f>
        <v>1522</v>
      </c>
      <c r="R160" s="1">
        <f>Table1[[#This Row],[total sulfur dioxide]]-Table1[[#This Row],[free sulfur dioxide]]</f>
        <v>10</v>
      </c>
      <c r="S160" s="1" t="str">
        <f>IF(AND(Table1[[#This Row],[pH]]&gt;=3.2,Table1[[#This Row],[alcohol]]&gt;=10),"White wine","Red wine")</f>
        <v>Red wine</v>
      </c>
    </row>
    <row r="161" spans="1:19" x14ac:dyDescent="0.3">
      <c r="A161" s="13">
        <v>160</v>
      </c>
      <c r="B161" s="1">
        <v>6.8</v>
      </c>
      <c r="C161" s="1">
        <v>0.6</v>
      </c>
      <c r="D161" s="1">
        <v>0.18</v>
      </c>
      <c r="E161" s="1">
        <v>1.9</v>
      </c>
      <c r="F161" s="1">
        <v>7.9000000000000001E-2</v>
      </c>
      <c r="G161" s="1">
        <v>18</v>
      </c>
      <c r="H161" s="1">
        <v>86</v>
      </c>
      <c r="I161" s="1">
        <v>0.99680000000000002</v>
      </c>
      <c r="J161" s="1">
        <v>3.59</v>
      </c>
      <c r="K161" s="1">
        <v>0.56999999999999995</v>
      </c>
      <c r="L161" s="1">
        <v>9.3000000000000007</v>
      </c>
      <c r="M161" s="2">
        <v>6</v>
      </c>
      <c r="N161" s="2" t="str" cm="1">
        <f t="array" ref="N161">_xlfn.IFS(Table1[[#This Row],[quality]]&lt;=4,"Low",Table1[[#This Row],[quality]]&lt;=6,"Medium",Table1[[#This Row],[quality]]&gt;=7,"High")</f>
        <v>Medium</v>
      </c>
      <c r="O161" s="2" t="str">
        <f>IF(AND(Table1[[#This Row],[fixed acidity]]&gt;Sheet1!$C$4,Table1[[#This Row],[pH]]&lt;Sheet1!$K$4),"High","Normal")</f>
        <v>Normal</v>
      </c>
      <c r="P161" s="1">
        <f>(Table1[[#This Row],[alcohol]]*2)+(Table1[[#This Row],[sulphates]]*1.5)-(Table1[[#This Row],[volatile acidity]]*2)</f>
        <v>18.255000000000003</v>
      </c>
      <c r="Q161" s="1">
        <f>RANK(Table1[[#This Row],[Quality_score_index]],Table1[Quality_score_index],0)</f>
        <v>1464</v>
      </c>
      <c r="R161" s="1">
        <f>Table1[[#This Row],[total sulfur dioxide]]-Table1[[#This Row],[free sulfur dioxide]]</f>
        <v>68</v>
      </c>
      <c r="S161" s="1" t="str">
        <f>IF(AND(Table1[[#This Row],[pH]]&gt;=3.2,Table1[[#This Row],[alcohol]]&gt;=10),"White wine","Red wine")</f>
        <v>Red wine</v>
      </c>
    </row>
    <row r="162" spans="1:19" x14ac:dyDescent="0.3">
      <c r="A162" s="13">
        <v>161</v>
      </c>
      <c r="B162" s="1">
        <v>7.6</v>
      </c>
      <c r="C162" s="1">
        <v>0.95</v>
      </c>
      <c r="D162" s="1">
        <v>0.03</v>
      </c>
      <c r="E162" s="1">
        <v>2</v>
      </c>
      <c r="F162" s="1">
        <v>0.09</v>
      </c>
      <c r="G162" s="1">
        <v>7</v>
      </c>
      <c r="H162" s="1">
        <v>20</v>
      </c>
      <c r="I162" s="1">
        <v>0.99590000000000001</v>
      </c>
      <c r="J162" s="1">
        <v>3.2</v>
      </c>
      <c r="K162" s="1">
        <v>0.56000000000000005</v>
      </c>
      <c r="L162" s="1">
        <v>9.6</v>
      </c>
      <c r="M162" s="2">
        <v>5</v>
      </c>
      <c r="N162" s="2" t="str" cm="1">
        <f t="array" ref="N162">_xlfn.IFS(Table1[[#This Row],[quality]]&lt;=4,"Low",Table1[[#This Row],[quality]]&lt;=6,"Medium",Table1[[#This Row],[quality]]&gt;=7,"High")</f>
        <v>Medium</v>
      </c>
      <c r="O162" s="2" t="str">
        <f>IF(AND(Table1[[#This Row],[fixed acidity]]&gt;Sheet1!$C$4,Table1[[#This Row],[pH]]&lt;Sheet1!$K$4),"High","Normal")</f>
        <v>Normal</v>
      </c>
      <c r="P162" s="1">
        <f>(Table1[[#This Row],[alcohol]]*2)+(Table1[[#This Row],[sulphates]]*1.5)-(Table1[[#This Row],[volatile acidity]]*2)</f>
        <v>18.14</v>
      </c>
      <c r="Q162" s="1">
        <f>RANK(Table1[[#This Row],[Quality_score_index]],Table1[Quality_score_index],0)</f>
        <v>1492</v>
      </c>
      <c r="R162" s="1">
        <f>Table1[[#This Row],[total sulfur dioxide]]-Table1[[#This Row],[free sulfur dioxide]]</f>
        <v>13</v>
      </c>
      <c r="S162" s="1" t="str">
        <f>IF(AND(Table1[[#This Row],[pH]]&gt;=3.2,Table1[[#This Row],[alcohol]]&gt;=10),"White wine","Red wine")</f>
        <v>Red wine</v>
      </c>
    </row>
    <row r="163" spans="1:19" x14ac:dyDescent="0.3">
      <c r="A163" s="13">
        <v>162</v>
      </c>
      <c r="B163" s="1">
        <v>7.6</v>
      </c>
      <c r="C163" s="1">
        <v>0.68</v>
      </c>
      <c r="D163" s="1">
        <v>0.02</v>
      </c>
      <c r="E163" s="1">
        <v>1.3</v>
      </c>
      <c r="F163" s="1">
        <v>7.1999999999999995E-2</v>
      </c>
      <c r="G163" s="1">
        <v>9</v>
      </c>
      <c r="H163" s="1">
        <v>20</v>
      </c>
      <c r="I163" s="1">
        <v>0.99650000000000005</v>
      </c>
      <c r="J163" s="1">
        <v>3.17</v>
      </c>
      <c r="K163" s="1">
        <v>1.08</v>
      </c>
      <c r="L163" s="1">
        <v>9.1999999999999993</v>
      </c>
      <c r="M163" s="2">
        <v>4</v>
      </c>
      <c r="N163" s="2" t="str" cm="1">
        <f t="array" ref="N163">_xlfn.IFS(Table1[[#This Row],[quality]]&lt;=4,"Low",Table1[[#This Row],[quality]]&lt;=6,"Medium",Table1[[#This Row],[quality]]&gt;=7,"High")</f>
        <v>Low</v>
      </c>
      <c r="O163" s="2" t="str">
        <f>IF(AND(Table1[[#This Row],[fixed acidity]]&gt;Sheet1!$C$4,Table1[[#This Row],[pH]]&lt;Sheet1!$K$4),"High","Normal")</f>
        <v>Normal</v>
      </c>
      <c r="P163" s="1">
        <f>(Table1[[#This Row],[alcohol]]*2)+(Table1[[#This Row],[sulphates]]*1.5)-(Table1[[#This Row],[volatile acidity]]*2)</f>
        <v>18.66</v>
      </c>
      <c r="Q163" s="1">
        <f>RANK(Table1[[#This Row],[Quality_score_index]],Table1[Quality_score_index],0)</f>
        <v>1312</v>
      </c>
      <c r="R163" s="1">
        <f>Table1[[#This Row],[total sulfur dioxide]]-Table1[[#This Row],[free sulfur dioxide]]</f>
        <v>11</v>
      </c>
      <c r="S163" s="1" t="str">
        <f>IF(AND(Table1[[#This Row],[pH]]&gt;=3.2,Table1[[#This Row],[alcohol]]&gt;=10),"White wine","Red wine")</f>
        <v>Red wine</v>
      </c>
    </row>
    <row r="164" spans="1:19" x14ac:dyDescent="0.3">
      <c r="A164" s="13">
        <v>163</v>
      </c>
      <c r="B164" s="1">
        <v>7.8</v>
      </c>
      <c r="C164" s="1">
        <v>0.53</v>
      </c>
      <c r="D164" s="1">
        <v>0.04</v>
      </c>
      <c r="E164" s="1">
        <v>1.7</v>
      </c>
      <c r="F164" s="1">
        <v>7.5999999999999998E-2</v>
      </c>
      <c r="G164" s="1">
        <v>17</v>
      </c>
      <c r="H164" s="1">
        <v>31</v>
      </c>
      <c r="I164" s="1">
        <v>0.99639999999999995</v>
      </c>
      <c r="J164" s="1">
        <v>3.33</v>
      </c>
      <c r="K164" s="1">
        <v>0.56000000000000005</v>
      </c>
      <c r="L164" s="1">
        <v>10</v>
      </c>
      <c r="M164" s="2">
        <v>6</v>
      </c>
      <c r="N164" s="2" t="str" cm="1">
        <f t="array" ref="N164">_xlfn.IFS(Table1[[#This Row],[quality]]&lt;=4,"Low",Table1[[#This Row],[quality]]&lt;=6,"Medium",Table1[[#This Row],[quality]]&gt;=7,"High")</f>
        <v>Medium</v>
      </c>
      <c r="O164" s="2" t="str">
        <f>IF(AND(Table1[[#This Row],[fixed acidity]]&gt;Sheet1!$C$4,Table1[[#This Row],[pH]]&lt;Sheet1!$K$4),"High","Normal")</f>
        <v>Normal</v>
      </c>
      <c r="P164" s="1">
        <f>(Table1[[#This Row],[alcohol]]*2)+(Table1[[#This Row],[sulphates]]*1.5)-(Table1[[#This Row],[volatile acidity]]*2)</f>
        <v>19.78</v>
      </c>
      <c r="Q164" s="1">
        <f>RANK(Table1[[#This Row],[Quality_score_index]],Table1[Quality_score_index],0)</f>
        <v>910</v>
      </c>
      <c r="R164" s="1">
        <f>Table1[[#This Row],[total sulfur dioxide]]-Table1[[#This Row],[free sulfur dioxide]]</f>
        <v>14</v>
      </c>
      <c r="S164" s="1" t="str">
        <f>IF(AND(Table1[[#This Row],[pH]]&gt;=3.2,Table1[[#This Row],[alcohol]]&gt;=10),"White wine","Red wine")</f>
        <v>White wine</v>
      </c>
    </row>
    <row r="165" spans="1:19" x14ac:dyDescent="0.3">
      <c r="A165" s="13">
        <v>164</v>
      </c>
      <c r="B165" s="1">
        <v>7.4</v>
      </c>
      <c r="C165" s="1">
        <v>0.6</v>
      </c>
      <c r="D165" s="1">
        <v>0.26</v>
      </c>
      <c r="E165" s="1">
        <v>7.3</v>
      </c>
      <c r="F165" s="1">
        <v>7.0000000000000007E-2</v>
      </c>
      <c r="G165" s="1">
        <v>36</v>
      </c>
      <c r="H165" s="1">
        <v>121</v>
      </c>
      <c r="I165" s="1">
        <v>0.99819999999999998</v>
      </c>
      <c r="J165" s="1">
        <v>3.37</v>
      </c>
      <c r="K165" s="1">
        <v>0.49</v>
      </c>
      <c r="L165" s="1">
        <v>9.4</v>
      </c>
      <c r="M165" s="2">
        <v>5</v>
      </c>
      <c r="N165" s="2" t="str" cm="1">
        <f t="array" ref="N165">_xlfn.IFS(Table1[[#This Row],[quality]]&lt;=4,"Low",Table1[[#This Row],[quality]]&lt;=6,"Medium",Table1[[#This Row],[quality]]&gt;=7,"High")</f>
        <v>Medium</v>
      </c>
      <c r="O165" s="2" t="str">
        <f>IF(AND(Table1[[#This Row],[fixed acidity]]&gt;Sheet1!$C$4,Table1[[#This Row],[pH]]&lt;Sheet1!$K$4),"High","Normal")</f>
        <v>Normal</v>
      </c>
      <c r="P165" s="1">
        <f>(Table1[[#This Row],[alcohol]]*2)+(Table1[[#This Row],[sulphates]]*1.5)-(Table1[[#This Row],[volatile acidity]]*2)</f>
        <v>18.335000000000001</v>
      </c>
      <c r="Q165" s="1">
        <f>RANK(Table1[[#This Row],[Quality_score_index]],Table1[Quality_score_index],0)</f>
        <v>1444</v>
      </c>
      <c r="R165" s="1">
        <f>Table1[[#This Row],[total sulfur dioxide]]-Table1[[#This Row],[free sulfur dioxide]]</f>
        <v>85</v>
      </c>
      <c r="S165" s="1" t="str">
        <f>IF(AND(Table1[[#This Row],[pH]]&gt;=3.2,Table1[[#This Row],[alcohol]]&gt;=10),"White wine","Red wine")</f>
        <v>Red wine</v>
      </c>
    </row>
    <row r="166" spans="1:19" x14ac:dyDescent="0.3">
      <c r="A166" s="13">
        <v>165</v>
      </c>
      <c r="B166" s="1">
        <v>7.3</v>
      </c>
      <c r="C166" s="1">
        <v>0.59</v>
      </c>
      <c r="D166" s="1">
        <v>0.26</v>
      </c>
      <c r="E166" s="1">
        <v>7.2</v>
      </c>
      <c r="F166" s="1">
        <v>7.0000000000000007E-2</v>
      </c>
      <c r="G166" s="1">
        <v>35</v>
      </c>
      <c r="H166" s="1">
        <v>121</v>
      </c>
      <c r="I166" s="1">
        <v>0.99809999999999999</v>
      </c>
      <c r="J166" s="1">
        <v>3.37</v>
      </c>
      <c r="K166" s="1">
        <v>0.49</v>
      </c>
      <c r="L166" s="1">
        <v>9.4</v>
      </c>
      <c r="M166" s="2">
        <v>5</v>
      </c>
      <c r="N166" s="2" t="str" cm="1">
        <f t="array" ref="N166">_xlfn.IFS(Table1[[#This Row],[quality]]&lt;=4,"Low",Table1[[#This Row],[quality]]&lt;=6,"Medium",Table1[[#This Row],[quality]]&gt;=7,"High")</f>
        <v>Medium</v>
      </c>
      <c r="O166" s="2" t="str">
        <f>IF(AND(Table1[[#This Row],[fixed acidity]]&gt;Sheet1!$C$4,Table1[[#This Row],[pH]]&lt;Sheet1!$K$4),"High","Normal")</f>
        <v>Normal</v>
      </c>
      <c r="P166" s="1">
        <f>(Table1[[#This Row],[alcohol]]*2)+(Table1[[#This Row],[sulphates]]*1.5)-(Table1[[#This Row],[volatile acidity]]*2)</f>
        <v>18.355</v>
      </c>
      <c r="Q166" s="1">
        <f>RANK(Table1[[#This Row],[Quality_score_index]],Table1[Quality_score_index],0)</f>
        <v>1432</v>
      </c>
      <c r="R166" s="1">
        <f>Table1[[#This Row],[total sulfur dioxide]]-Table1[[#This Row],[free sulfur dioxide]]</f>
        <v>86</v>
      </c>
      <c r="S166" s="1" t="str">
        <f>IF(AND(Table1[[#This Row],[pH]]&gt;=3.2,Table1[[#This Row],[alcohol]]&gt;=10),"White wine","Red wine")</f>
        <v>Red wine</v>
      </c>
    </row>
    <row r="167" spans="1:19" x14ac:dyDescent="0.3">
      <c r="A167" s="13">
        <v>166</v>
      </c>
      <c r="B167" s="1">
        <v>7.8</v>
      </c>
      <c r="C167" s="1">
        <v>0.63</v>
      </c>
      <c r="D167" s="1">
        <v>0.48</v>
      </c>
      <c r="E167" s="1">
        <v>1.7</v>
      </c>
      <c r="F167" s="1">
        <v>0.1</v>
      </c>
      <c r="G167" s="1">
        <v>14</v>
      </c>
      <c r="H167" s="1">
        <v>96</v>
      </c>
      <c r="I167" s="1">
        <v>0.99609999999999999</v>
      </c>
      <c r="J167" s="1">
        <v>3.19</v>
      </c>
      <c r="K167" s="1">
        <v>0.62</v>
      </c>
      <c r="L167" s="1">
        <v>9.5</v>
      </c>
      <c r="M167" s="2">
        <v>5</v>
      </c>
      <c r="N167" s="2" t="str" cm="1">
        <f t="array" ref="N167">_xlfn.IFS(Table1[[#This Row],[quality]]&lt;=4,"Low",Table1[[#This Row],[quality]]&lt;=6,"Medium",Table1[[#This Row],[quality]]&gt;=7,"High")</f>
        <v>Medium</v>
      </c>
      <c r="O167" s="2" t="str">
        <f>IF(AND(Table1[[#This Row],[fixed acidity]]&gt;Sheet1!$C$4,Table1[[#This Row],[pH]]&lt;Sheet1!$K$4),"High","Normal")</f>
        <v>Normal</v>
      </c>
      <c r="P167" s="1">
        <f>(Table1[[#This Row],[alcohol]]*2)+(Table1[[#This Row],[sulphates]]*1.5)-(Table1[[#This Row],[volatile acidity]]*2)</f>
        <v>18.669999999999998</v>
      </c>
      <c r="Q167" s="1">
        <f>RANK(Table1[[#This Row],[Quality_score_index]],Table1[Quality_score_index],0)</f>
        <v>1308</v>
      </c>
      <c r="R167" s="1">
        <f>Table1[[#This Row],[total sulfur dioxide]]-Table1[[#This Row],[free sulfur dioxide]]</f>
        <v>82</v>
      </c>
      <c r="S167" s="1" t="str">
        <f>IF(AND(Table1[[#This Row],[pH]]&gt;=3.2,Table1[[#This Row],[alcohol]]&gt;=10),"White wine","Red wine")</f>
        <v>Red wine</v>
      </c>
    </row>
    <row r="168" spans="1:19" x14ac:dyDescent="0.3">
      <c r="A168" s="13">
        <v>167</v>
      </c>
      <c r="B168" s="1">
        <v>6.8</v>
      </c>
      <c r="C168" s="1">
        <v>0.64</v>
      </c>
      <c r="D168" s="1">
        <v>0.1</v>
      </c>
      <c r="E168" s="1">
        <v>2.1</v>
      </c>
      <c r="F168" s="1">
        <v>8.5000000000000006E-2</v>
      </c>
      <c r="G168" s="1">
        <v>18</v>
      </c>
      <c r="H168" s="1">
        <v>101</v>
      </c>
      <c r="I168" s="1">
        <v>0.99560000000000004</v>
      </c>
      <c r="J168" s="1">
        <v>3.34</v>
      </c>
      <c r="K168" s="1">
        <v>0.52</v>
      </c>
      <c r="L168" s="1">
        <v>10.199999999999999</v>
      </c>
      <c r="M168" s="2">
        <v>5</v>
      </c>
      <c r="N168" s="2" t="str" cm="1">
        <f t="array" ref="N168">_xlfn.IFS(Table1[[#This Row],[quality]]&lt;=4,"Low",Table1[[#This Row],[quality]]&lt;=6,"Medium",Table1[[#This Row],[quality]]&gt;=7,"High")</f>
        <v>Medium</v>
      </c>
      <c r="O168" s="2" t="str">
        <f>IF(AND(Table1[[#This Row],[fixed acidity]]&gt;Sheet1!$C$4,Table1[[#This Row],[pH]]&lt;Sheet1!$K$4),"High","Normal")</f>
        <v>Normal</v>
      </c>
      <c r="P168" s="1">
        <f>(Table1[[#This Row],[alcohol]]*2)+(Table1[[#This Row],[sulphates]]*1.5)-(Table1[[#This Row],[volatile acidity]]*2)</f>
        <v>19.899999999999999</v>
      </c>
      <c r="Q168" s="1">
        <f>RANK(Table1[[#This Row],[Quality_score_index]],Table1[Quality_score_index],0)</f>
        <v>880</v>
      </c>
      <c r="R168" s="1">
        <f>Table1[[#This Row],[total sulfur dioxide]]-Table1[[#This Row],[free sulfur dioxide]]</f>
        <v>83</v>
      </c>
      <c r="S168" s="1" t="str">
        <f>IF(AND(Table1[[#This Row],[pH]]&gt;=3.2,Table1[[#This Row],[alcohol]]&gt;=10),"White wine","Red wine")</f>
        <v>White wine</v>
      </c>
    </row>
    <row r="169" spans="1:19" x14ac:dyDescent="0.3">
      <c r="A169" s="13">
        <v>168</v>
      </c>
      <c r="B169" s="1">
        <v>7.3</v>
      </c>
      <c r="C169" s="1">
        <v>0.55000000000000004</v>
      </c>
      <c r="D169" s="1">
        <v>0.03</v>
      </c>
      <c r="E169" s="1">
        <v>1.6</v>
      </c>
      <c r="F169" s="1">
        <v>7.1999999999999995E-2</v>
      </c>
      <c r="G169" s="1">
        <v>17</v>
      </c>
      <c r="H169" s="1">
        <v>42</v>
      </c>
      <c r="I169" s="1">
        <v>0.99560000000000004</v>
      </c>
      <c r="J169" s="1">
        <v>3.37</v>
      </c>
      <c r="K169" s="1">
        <v>0.48</v>
      </c>
      <c r="L169" s="1">
        <v>9</v>
      </c>
      <c r="M169" s="2">
        <v>4</v>
      </c>
      <c r="N169" s="2" t="str" cm="1">
        <f t="array" ref="N169">_xlfn.IFS(Table1[[#This Row],[quality]]&lt;=4,"Low",Table1[[#This Row],[quality]]&lt;=6,"Medium",Table1[[#This Row],[quality]]&gt;=7,"High")</f>
        <v>Low</v>
      </c>
      <c r="O169" s="2" t="str">
        <f>IF(AND(Table1[[#This Row],[fixed acidity]]&gt;Sheet1!$C$4,Table1[[#This Row],[pH]]&lt;Sheet1!$K$4),"High","Normal")</f>
        <v>Normal</v>
      </c>
      <c r="P169" s="1">
        <f>(Table1[[#This Row],[alcohol]]*2)+(Table1[[#This Row],[sulphates]]*1.5)-(Table1[[#This Row],[volatile acidity]]*2)</f>
        <v>17.619999999999997</v>
      </c>
      <c r="Q169" s="1">
        <f>RANK(Table1[[#This Row],[Quality_score_index]],Table1[Quality_score_index],0)</f>
        <v>1576</v>
      </c>
      <c r="R169" s="1">
        <f>Table1[[#This Row],[total sulfur dioxide]]-Table1[[#This Row],[free sulfur dioxide]]</f>
        <v>25</v>
      </c>
      <c r="S169" s="1" t="str">
        <f>IF(AND(Table1[[#This Row],[pH]]&gt;=3.2,Table1[[#This Row],[alcohol]]&gt;=10),"White wine","Red wine")</f>
        <v>Red wine</v>
      </c>
    </row>
    <row r="170" spans="1:19" x14ac:dyDescent="0.3">
      <c r="A170" s="13">
        <v>169</v>
      </c>
      <c r="B170" s="1">
        <v>6.8</v>
      </c>
      <c r="C170" s="1">
        <v>0.63</v>
      </c>
      <c r="D170" s="1">
        <v>7.0000000000000007E-2</v>
      </c>
      <c r="E170" s="1">
        <v>2.1</v>
      </c>
      <c r="F170" s="1">
        <v>8.8999999999999996E-2</v>
      </c>
      <c r="G170" s="1">
        <v>11</v>
      </c>
      <c r="H170" s="1">
        <v>44</v>
      </c>
      <c r="I170" s="1">
        <v>0.99529999999999996</v>
      </c>
      <c r="J170" s="1">
        <v>3.47</v>
      </c>
      <c r="K170" s="1">
        <v>0.55000000000000004</v>
      </c>
      <c r="L170" s="1">
        <v>10.4</v>
      </c>
      <c r="M170" s="2">
        <v>6</v>
      </c>
      <c r="N170" s="2" t="str" cm="1">
        <f t="array" ref="N170">_xlfn.IFS(Table1[[#This Row],[quality]]&lt;=4,"Low",Table1[[#This Row],[quality]]&lt;=6,"Medium",Table1[[#This Row],[quality]]&gt;=7,"High")</f>
        <v>Medium</v>
      </c>
      <c r="O170" s="2" t="str">
        <f>IF(AND(Table1[[#This Row],[fixed acidity]]&gt;Sheet1!$C$4,Table1[[#This Row],[pH]]&lt;Sheet1!$K$4),"High","Normal")</f>
        <v>Normal</v>
      </c>
      <c r="P170" s="1">
        <f>(Table1[[#This Row],[alcohol]]*2)+(Table1[[#This Row],[sulphates]]*1.5)-(Table1[[#This Row],[volatile acidity]]*2)</f>
        <v>20.364999999999998</v>
      </c>
      <c r="Q170" s="1">
        <f>RANK(Table1[[#This Row],[Quality_score_index]],Table1[Quality_score_index],0)</f>
        <v>779</v>
      </c>
      <c r="R170" s="1">
        <f>Table1[[#This Row],[total sulfur dioxide]]-Table1[[#This Row],[free sulfur dioxide]]</f>
        <v>33</v>
      </c>
      <c r="S170" s="1" t="str">
        <f>IF(AND(Table1[[#This Row],[pH]]&gt;=3.2,Table1[[#This Row],[alcohol]]&gt;=10),"White wine","Red wine")</f>
        <v>White wine</v>
      </c>
    </row>
    <row r="171" spans="1:19" x14ac:dyDescent="0.3">
      <c r="A171" s="13">
        <v>170</v>
      </c>
      <c r="B171" s="1">
        <v>7.5</v>
      </c>
      <c r="C171" s="1">
        <v>0.70499999999999996</v>
      </c>
      <c r="D171" s="1">
        <v>0.24</v>
      </c>
      <c r="E171" s="1">
        <v>1.8</v>
      </c>
      <c r="F171" s="1">
        <v>0.36</v>
      </c>
      <c r="G171" s="1">
        <v>15</v>
      </c>
      <c r="H171" s="1">
        <v>63</v>
      </c>
      <c r="I171" s="1">
        <v>0.99639999999999995</v>
      </c>
      <c r="J171" s="1">
        <v>3</v>
      </c>
      <c r="K171" s="1">
        <v>1.59</v>
      </c>
      <c r="L171" s="1">
        <v>9.5</v>
      </c>
      <c r="M171" s="2">
        <v>5</v>
      </c>
      <c r="N171" s="2" t="str" cm="1">
        <f t="array" ref="N171">_xlfn.IFS(Table1[[#This Row],[quality]]&lt;=4,"Low",Table1[[#This Row],[quality]]&lt;=6,"Medium",Table1[[#This Row],[quality]]&gt;=7,"High")</f>
        <v>Medium</v>
      </c>
      <c r="O171" s="2" t="str">
        <f>IF(AND(Table1[[#This Row],[fixed acidity]]&gt;Sheet1!$C$4,Table1[[#This Row],[pH]]&lt;Sheet1!$K$4),"High","Normal")</f>
        <v>Normal</v>
      </c>
      <c r="P171" s="1">
        <f>(Table1[[#This Row],[alcohol]]*2)+(Table1[[#This Row],[sulphates]]*1.5)-(Table1[[#This Row],[volatile acidity]]*2)</f>
        <v>19.975000000000001</v>
      </c>
      <c r="Q171" s="1">
        <f>RANK(Table1[[#This Row],[Quality_score_index]],Table1[Quality_score_index],0)</f>
        <v>858</v>
      </c>
      <c r="R171" s="1">
        <f>Table1[[#This Row],[total sulfur dioxide]]-Table1[[#This Row],[free sulfur dioxide]]</f>
        <v>48</v>
      </c>
      <c r="S171" s="1" t="str">
        <f>IF(AND(Table1[[#This Row],[pH]]&gt;=3.2,Table1[[#This Row],[alcohol]]&gt;=10),"White wine","Red wine")</f>
        <v>Red wine</v>
      </c>
    </row>
    <row r="172" spans="1:19" x14ac:dyDescent="0.3">
      <c r="A172" s="13">
        <v>171</v>
      </c>
      <c r="B172" s="1">
        <v>7.9</v>
      </c>
      <c r="C172" s="1">
        <v>0.88500000000000001</v>
      </c>
      <c r="D172" s="1">
        <v>0.03</v>
      </c>
      <c r="E172" s="1">
        <v>1.8</v>
      </c>
      <c r="F172" s="1">
        <v>5.8000000000000003E-2</v>
      </c>
      <c r="G172" s="1">
        <v>4</v>
      </c>
      <c r="H172" s="1">
        <v>8</v>
      </c>
      <c r="I172" s="1">
        <v>0.99719999999999998</v>
      </c>
      <c r="J172" s="1">
        <v>3.36</v>
      </c>
      <c r="K172" s="1">
        <v>0.33</v>
      </c>
      <c r="L172" s="1">
        <v>9.1</v>
      </c>
      <c r="M172" s="2">
        <v>4</v>
      </c>
      <c r="N172" s="2" t="str" cm="1">
        <f t="array" ref="N172">_xlfn.IFS(Table1[[#This Row],[quality]]&lt;=4,"Low",Table1[[#This Row],[quality]]&lt;=6,"Medium",Table1[[#This Row],[quality]]&gt;=7,"High")</f>
        <v>Low</v>
      </c>
      <c r="O172" s="2" t="str">
        <f>IF(AND(Table1[[#This Row],[fixed acidity]]&gt;Sheet1!$C$4,Table1[[#This Row],[pH]]&lt;Sheet1!$K$4),"High","Normal")</f>
        <v>Normal</v>
      </c>
      <c r="P172" s="1">
        <f>(Table1[[#This Row],[alcohol]]*2)+(Table1[[#This Row],[sulphates]]*1.5)-(Table1[[#This Row],[volatile acidity]]*2)</f>
        <v>16.925000000000001</v>
      </c>
      <c r="Q172" s="1">
        <f>RANK(Table1[[#This Row],[Quality_score_index]],Table1[Quality_score_index],0)</f>
        <v>1595</v>
      </c>
      <c r="R172" s="1">
        <f>Table1[[#This Row],[total sulfur dioxide]]-Table1[[#This Row],[free sulfur dioxide]]</f>
        <v>4</v>
      </c>
      <c r="S172" s="1" t="str">
        <f>IF(AND(Table1[[#This Row],[pH]]&gt;=3.2,Table1[[#This Row],[alcohol]]&gt;=10),"White wine","Red wine")</f>
        <v>Red wine</v>
      </c>
    </row>
    <row r="173" spans="1:19" x14ac:dyDescent="0.3">
      <c r="A173" s="13">
        <v>172</v>
      </c>
      <c r="B173" s="1">
        <v>8</v>
      </c>
      <c r="C173" s="1">
        <v>0.42</v>
      </c>
      <c r="D173" s="1">
        <v>0.17</v>
      </c>
      <c r="E173" s="1">
        <v>2</v>
      </c>
      <c r="F173" s="1">
        <v>7.2999999999999995E-2</v>
      </c>
      <c r="G173" s="1">
        <v>6</v>
      </c>
      <c r="H173" s="1">
        <v>18</v>
      </c>
      <c r="I173" s="1">
        <v>0.99719999999999998</v>
      </c>
      <c r="J173" s="1">
        <v>3.29</v>
      </c>
      <c r="K173" s="1">
        <v>0.61</v>
      </c>
      <c r="L173" s="1">
        <v>9.1999999999999993</v>
      </c>
      <c r="M173" s="2">
        <v>6</v>
      </c>
      <c r="N173" s="2" t="str" cm="1">
        <f t="array" ref="N173">_xlfn.IFS(Table1[[#This Row],[quality]]&lt;=4,"Low",Table1[[#This Row],[quality]]&lt;=6,"Medium",Table1[[#This Row],[quality]]&gt;=7,"High")</f>
        <v>Medium</v>
      </c>
      <c r="O173" s="2" t="str">
        <f>IF(AND(Table1[[#This Row],[fixed acidity]]&gt;Sheet1!$C$4,Table1[[#This Row],[pH]]&lt;Sheet1!$K$4),"High","Normal")</f>
        <v>Normal</v>
      </c>
      <c r="P173" s="1">
        <f>(Table1[[#This Row],[alcohol]]*2)+(Table1[[#This Row],[sulphates]]*1.5)-(Table1[[#This Row],[volatile acidity]]*2)</f>
        <v>18.474999999999998</v>
      </c>
      <c r="Q173" s="1">
        <f>RANK(Table1[[#This Row],[Quality_score_index]],Table1[Quality_score_index],0)</f>
        <v>1381</v>
      </c>
      <c r="R173" s="1">
        <f>Table1[[#This Row],[total sulfur dioxide]]-Table1[[#This Row],[free sulfur dioxide]]</f>
        <v>12</v>
      </c>
      <c r="S173" s="1" t="str">
        <f>IF(AND(Table1[[#This Row],[pH]]&gt;=3.2,Table1[[#This Row],[alcohol]]&gt;=10),"White wine","Red wine")</f>
        <v>Red wine</v>
      </c>
    </row>
    <row r="174" spans="1:19" x14ac:dyDescent="0.3">
      <c r="A174" s="13">
        <v>173</v>
      </c>
      <c r="B174" s="1">
        <v>8</v>
      </c>
      <c r="C174" s="1">
        <v>0.42</v>
      </c>
      <c r="D174" s="1">
        <v>0.17</v>
      </c>
      <c r="E174" s="1">
        <v>2</v>
      </c>
      <c r="F174" s="1">
        <v>7.2999999999999995E-2</v>
      </c>
      <c r="G174" s="1">
        <v>6</v>
      </c>
      <c r="H174" s="1">
        <v>18</v>
      </c>
      <c r="I174" s="1">
        <v>0.99719999999999998</v>
      </c>
      <c r="J174" s="1">
        <v>3.29</v>
      </c>
      <c r="K174" s="1">
        <v>0.61</v>
      </c>
      <c r="L174" s="1">
        <v>9.1999999999999993</v>
      </c>
      <c r="M174" s="2">
        <v>6</v>
      </c>
      <c r="N174" s="2" t="str" cm="1">
        <f t="array" ref="N174">_xlfn.IFS(Table1[[#This Row],[quality]]&lt;=4,"Low",Table1[[#This Row],[quality]]&lt;=6,"Medium",Table1[[#This Row],[quality]]&gt;=7,"High")</f>
        <v>Medium</v>
      </c>
      <c r="O174" s="2" t="str">
        <f>IF(AND(Table1[[#This Row],[fixed acidity]]&gt;Sheet1!$C$4,Table1[[#This Row],[pH]]&lt;Sheet1!$K$4),"High","Normal")</f>
        <v>Normal</v>
      </c>
      <c r="P174" s="1">
        <f>(Table1[[#This Row],[alcohol]]*2)+(Table1[[#This Row],[sulphates]]*1.5)-(Table1[[#This Row],[volatile acidity]]*2)</f>
        <v>18.474999999999998</v>
      </c>
      <c r="Q174" s="1">
        <f>RANK(Table1[[#This Row],[Quality_score_index]],Table1[Quality_score_index],0)</f>
        <v>1381</v>
      </c>
      <c r="R174" s="1">
        <f>Table1[[#This Row],[total sulfur dioxide]]-Table1[[#This Row],[free sulfur dioxide]]</f>
        <v>12</v>
      </c>
      <c r="S174" s="1" t="str">
        <f>IF(AND(Table1[[#This Row],[pH]]&gt;=3.2,Table1[[#This Row],[alcohol]]&gt;=10),"White wine","Red wine")</f>
        <v>Red wine</v>
      </c>
    </row>
    <row r="175" spans="1:19" x14ac:dyDescent="0.3">
      <c r="A175" s="13">
        <v>174</v>
      </c>
      <c r="B175" s="1">
        <v>7.4</v>
      </c>
      <c r="C175" s="1">
        <v>0.62</v>
      </c>
      <c r="D175" s="1">
        <v>0.05</v>
      </c>
      <c r="E175" s="1">
        <v>1.9</v>
      </c>
      <c r="F175" s="1">
        <v>6.8000000000000005E-2</v>
      </c>
      <c r="G175" s="1">
        <v>24</v>
      </c>
      <c r="H175" s="1">
        <v>42</v>
      </c>
      <c r="I175" s="1">
        <v>0.99609999999999999</v>
      </c>
      <c r="J175" s="1">
        <v>3.42</v>
      </c>
      <c r="K175" s="1">
        <v>0.56999999999999995</v>
      </c>
      <c r="L175" s="1">
        <v>11.5</v>
      </c>
      <c r="M175" s="2">
        <v>6</v>
      </c>
      <c r="N175" s="2" t="str" cm="1">
        <f t="array" ref="N175">_xlfn.IFS(Table1[[#This Row],[quality]]&lt;=4,"Low",Table1[[#This Row],[quality]]&lt;=6,"Medium",Table1[[#This Row],[quality]]&gt;=7,"High")</f>
        <v>Medium</v>
      </c>
      <c r="O175" s="2" t="str">
        <f>IF(AND(Table1[[#This Row],[fixed acidity]]&gt;Sheet1!$C$4,Table1[[#This Row],[pH]]&lt;Sheet1!$K$4),"High","Normal")</f>
        <v>Normal</v>
      </c>
      <c r="P175" s="1">
        <f>(Table1[[#This Row],[alcohol]]*2)+(Table1[[#This Row],[sulphates]]*1.5)-(Table1[[#This Row],[volatile acidity]]*2)</f>
        <v>22.615000000000002</v>
      </c>
      <c r="Q175" s="1">
        <f>RANK(Table1[[#This Row],[Quality_score_index]],Table1[Quality_score_index],0)</f>
        <v>340</v>
      </c>
      <c r="R175" s="1">
        <f>Table1[[#This Row],[total sulfur dioxide]]-Table1[[#This Row],[free sulfur dioxide]]</f>
        <v>18</v>
      </c>
      <c r="S175" s="1" t="str">
        <f>IF(AND(Table1[[#This Row],[pH]]&gt;=3.2,Table1[[#This Row],[alcohol]]&gt;=10),"White wine","Red wine")</f>
        <v>White wine</v>
      </c>
    </row>
    <row r="176" spans="1:19" x14ac:dyDescent="0.3">
      <c r="A176" s="13">
        <v>175</v>
      </c>
      <c r="B176" s="1">
        <v>7.3</v>
      </c>
      <c r="C176" s="1">
        <v>0.38</v>
      </c>
      <c r="D176" s="1">
        <v>0.21</v>
      </c>
      <c r="E176" s="1">
        <v>2</v>
      </c>
      <c r="F176" s="1">
        <v>0.08</v>
      </c>
      <c r="G176" s="1">
        <v>7</v>
      </c>
      <c r="H176" s="1">
        <v>35</v>
      </c>
      <c r="I176" s="1">
        <v>0.99609999999999999</v>
      </c>
      <c r="J176" s="1">
        <v>3.33</v>
      </c>
      <c r="K176" s="1">
        <v>0.47</v>
      </c>
      <c r="L176" s="1">
        <v>9.5</v>
      </c>
      <c r="M176" s="2">
        <v>5</v>
      </c>
      <c r="N176" s="2" t="str" cm="1">
        <f t="array" ref="N176">_xlfn.IFS(Table1[[#This Row],[quality]]&lt;=4,"Low",Table1[[#This Row],[quality]]&lt;=6,"Medium",Table1[[#This Row],[quality]]&gt;=7,"High")</f>
        <v>Medium</v>
      </c>
      <c r="O176" s="2" t="str">
        <f>IF(AND(Table1[[#This Row],[fixed acidity]]&gt;Sheet1!$C$4,Table1[[#This Row],[pH]]&lt;Sheet1!$K$4),"High","Normal")</f>
        <v>Normal</v>
      </c>
      <c r="P176" s="1">
        <f>(Table1[[#This Row],[alcohol]]*2)+(Table1[[#This Row],[sulphates]]*1.5)-(Table1[[#This Row],[volatile acidity]]*2)</f>
        <v>18.944999999999997</v>
      </c>
      <c r="Q176" s="1">
        <f>RANK(Table1[[#This Row],[Quality_score_index]],Table1[Quality_score_index],0)</f>
        <v>1182</v>
      </c>
      <c r="R176" s="1">
        <f>Table1[[#This Row],[total sulfur dioxide]]-Table1[[#This Row],[free sulfur dioxide]]</f>
        <v>28</v>
      </c>
      <c r="S176" s="1" t="str">
        <f>IF(AND(Table1[[#This Row],[pH]]&gt;=3.2,Table1[[#This Row],[alcohol]]&gt;=10),"White wine","Red wine")</f>
        <v>Red wine</v>
      </c>
    </row>
    <row r="177" spans="1:19" x14ac:dyDescent="0.3">
      <c r="A177" s="13">
        <v>176</v>
      </c>
      <c r="B177" s="1">
        <v>6.9</v>
      </c>
      <c r="C177" s="1">
        <v>0.5</v>
      </c>
      <c r="D177" s="1">
        <v>0.04</v>
      </c>
      <c r="E177" s="1">
        <v>1.5</v>
      </c>
      <c r="F177" s="1">
        <v>8.5000000000000006E-2</v>
      </c>
      <c r="G177" s="1">
        <v>19</v>
      </c>
      <c r="H177" s="1">
        <v>49</v>
      </c>
      <c r="I177" s="1">
        <v>0.99580000000000002</v>
      </c>
      <c r="J177" s="1">
        <v>3.35</v>
      </c>
      <c r="K177" s="1">
        <v>0.78</v>
      </c>
      <c r="L177" s="1">
        <v>9.5</v>
      </c>
      <c r="M177" s="2">
        <v>5</v>
      </c>
      <c r="N177" s="2" t="str" cm="1">
        <f t="array" ref="N177">_xlfn.IFS(Table1[[#This Row],[quality]]&lt;=4,"Low",Table1[[#This Row],[quality]]&lt;=6,"Medium",Table1[[#This Row],[quality]]&gt;=7,"High")</f>
        <v>Medium</v>
      </c>
      <c r="O177" s="2" t="str">
        <f>IF(AND(Table1[[#This Row],[fixed acidity]]&gt;Sheet1!$C$4,Table1[[#This Row],[pH]]&lt;Sheet1!$K$4),"High","Normal")</f>
        <v>Normal</v>
      </c>
      <c r="P177" s="1">
        <f>(Table1[[#This Row],[alcohol]]*2)+(Table1[[#This Row],[sulphates]]*1.5)-(Table1[[#This Row],[volatile acidity]]*2)</f>
        <v>19.170000000000002</v>
      </c>
      <c r="Q177" s="1">
        <f>RANK(Table1[[#This Row],[Quality_score_index]],Table1[Quality_score_index],0)</f>
        <v>1098</v>
      </c>
      <c r="R177" s="1">
        <f>Table1[[#This Row],[total sulfur dioxide]]-Table1[[#This Row],[free sulfur dioxide]]</f>
        <v>30</v>
      </c>
      <c r="S177" s="1" t="str">
        <f>IF(AND(Table1[[#This Row],[pH]]&gt;=3.2,Table1[[#This Row],[alcohol]]&gt;=10),"White wine","Red wine")</f>
        <v>Red wine</v>
      </c>
    </row>
    <row r="178" spans="1:19" x14ac:dyDescent="0.3">
      <c r="A178" s="13">
        <v>177</v>
      </c>
      <c r="B178" s="1">
        <v>7.3</v>
      </c>
      <c r="C178" s="1">
        <v>0.38</v>
      </c>
      <c r="D178" s="1">
        <v>0.21</v>
      </c>
      <c r="E178" s="1">
        <v>2</v>
      </c>
      <c r="F178" s="1">
        <v>0.08</v>
      </c>
      <c r="G178" s="1">
        <v>7</v>
      </c>
      <c r="H178" s="1">
        <v>35</v>
      </c>
      <c r="I178" s="1">
        <v>0.99609999999999999</v>
      </c>
      <c r="J178" s="1">
        <v>3.33</v>
      </c>
      <c r="K178" s="1">
        <v>0.47</v>
      </c>
      <c r="L178" s="1">
        <v>9.5</v>
      </c>
      <c r="M178" s="2">
        <v>5</v>
      </c>
      <c r="N178" s="2" t="str" cm="1">
        <f t="array" ref="N178">_xlfn.IFS(Table1[[#This Row],[quality]]&lt;=4,"Low",Table1[[#This Row],[quality]]&lt;=6,"Medium",Table1[[#This Row],[quality]]&gt;=7,"High")</f>
        <v>Medium</v>
      </c>
      <c r="O178" s="2" t="str">
        <f>IF(AND(Table1[[#This Row],[fixed acidity]]&gt;Sheet1!$C$4,Table1[[#This Row],[pH]]&lt;Sheet1!$K$4),"High","Normal")</f>
        <v>Normal</v>
      </c>
      <c r="P178" s="1">
        <f>(Table1[[#This Row],[alcohol]]*2)+(Table1[[#This Row],[sulphates]]*1.5)-(Table1[[#This Row],[volatile acidity]]*2)</f>
        <v>18.944999999999997</v>
      </c>
      <c r="Q178" s="1">
        <f>RANK(Table1[[#This Row],[Quality_score_index]],Table1[Quality_score_index],0)</f>
        <v>1182</v>
      </c>
      <c r="R178" s="1">
        <f>Table1[[#This Row],[total sulfur dioxide]]-Table1[[#This Row],[free sulfur dioxide]]</f>
        <v>28</v>
      </c>
      <c r="S178" s="1" t="str">
        <f>IF(AND(Table1[[#This Row],[pH]]&gt;=3.2,Table1[[#This Row],[alcohol]]&gt;=10),"White wine","Red wine")</f>
        <v>Red wine</v>
      </c>
    </row>
    <row r="179" spans="1:19" x14ac:dyDescent="0.3">
      <c r="A179" s="13">
        <v>178</v>
      </c>
      <c r="B179" s="1">
        <v>7.5</v>
      </c>
      <c r="C179" s="1">
        <v>0.52</v>
      </c>
      <c r="D179" s="1">
        <v>0.42</v>
      </c>
      <c r="E179" s="1">
        <v>2.2999999999999998</v>
      </c>
      <c r="F179" s="1">
        <v>8.6999999999999994E-2</v>
      </c>
      <c r="G179" s="1">
        <v>8</v>
      </c>
      <c r="H179" s="1">
        <v>38</v>
      </c>
      <c r="I179" s="1">
        <v>0.99719999999999998</v>
      </c>
      <c r="J179" s="1">
        <v>3.58</v>
      </c>
      <c r="K179" s="1">
        <v>0.61</v>
      </c>
      <c r="L179" s="1">
        <v>10.5</v>
      </c>
      <c r="M179" s="2">
        <v>6</v>
      </c>
      <c r="N179" s="2" t="str" cm="1">
        <f t="array" ref="N179">_xlfn.IFS(Table1[[#This Row],[quality]]&lt;=4,"Low",Table1[[#This Row],[quality]]&lt;=6,"Medium",Table1[[#This Row],[quality]]&gt;=7,"High")</f>
        <v>Medium</v>
      </c>
      <c r="O179" s="2" t="str">
        <f>IF(AND(Table1[[#This Row],[fixed acidity]]&gt;Sheet1!$C$4,Table1[[#This Row],[pH]]&lt;Sheet1!$K$4),"High","Normal")</f>
        <v>Normal</v>
      </c>
      <c r="P179" s="1">
        <f>(Table1[[#This Row],[alcohol]]*2)+(Table1[[#This Row],[sulphates]]*1.5)-(Table1[[#This Row],[volatile acidity]]*2)</f>
        <v>20.875</v>
      </c>
      <c r="Q179" s="1">
        <f>RANK(Table1[[#This Row],[Quality_score_index]],Table1[Quality_score_index],0)</f>
        <v>679</v>
      </c>
      <c r="R179" s="1">
        <f>Table1[[#This Row],[total sulfur dioxide]]-Table1[[#This Row],[free sulfur dioxide]]</f>
        <v>30</v>
      </c>
      <c r="S179" s="1" t="str">
        <f>IF(AND(Table1[[#This Row],[pH]]&gt;=3.2,Table1[[#This Row],[alcohol]]&gt;=10),"White wine","Red wine")</f>
        <v>White wine</v>
      </c>
    </row>
    <row r="180" spans="1:19" x14ac:dyDescent="0.3">
      <c r="A180" s="13">
        <v>179</v>
      </c>
      <c r="B180" s="1">
        <v>7</v>
      </c>
      <c r="C180" s="1">
        <v>0.80500000000000005</v>
      </c>
      <c r="D180" s="1">
        <v>0</v>
      </c>
      <c r="E180" s="1">
        <v>2.5</v>
      </c>
      <c r="F180" s="1">
        <v>6.8000000000000005E-2</v>
      </c>
      <c r="G180" s="1">
        <v>7</v>
      </c>
      <c r="H180" s="1">
        <v>20</v>
      </c>
      <c r="I180" s="1">
        <v>0.99690000000000001</v>
      </c>
      <c r="J180" s="1">
        <v>3.48</v>
      </c>
      <c r="K180" s="1">
        <v>0.56000000000000005</v>
      </c>
      <c r="L180" s="1">
        <v>9.6</v>
      </c>
      <c r="M180" s="2">
        <v>5</v>
      </c>
      <c r="N180" s="2" t="str" cm="1">
        <f t="array" ref="N180">_xlfn.IFS(Table1[[#This Row],[quality]]&lt;=4,"Low",Table1[[#This Row],[quality]]&lt;=6,"Medium",Table1[[#This Row],[quality]]&gt;=7,"High")</f>
        <v>Medium</v>
      </c>
      <c r="O180" s="2" t="str">
        <f>IF(AND(Table1[[#This Row],[fixed acidity]]&gt;Sheet1!$C$4,Table1[[#This Row],[pH]]&lt;Sheet1!$K$4),"High","Normal")</f>
        <v>Normal</v>
      </c>
      <c r="P180" s="1">
        <f>(Table1[[#This Row],[alcohol]]*2)+(Table1[[#This Row],[sulphates]]*1.5)-(Table1[[#This Row],[volatile acidity]]*2)</f>
        <v>18.43</v>
      </c>
      <c r="Q180" s="1">
        <f>RANK(Table1[[#This Row],[Quality_score_index]],Table1[Quality_score_index],0)</f>
        <v>1399</v>
      </c>
      <c r="R180" s="1">
        <f>Table1[[#This Row],[total sulfur dioxide]]-Table1[[#This Row],[free sulfur dioxide]]</f>
        <v>13</v>
      </c>
      <c r="S180" s="1" t="str">
        <f>IF(AND(Table1[[#This Row],[pH]]&gt;=3.2,Table1[[#This Row],[alcohol]]&gt;=10),"White wine","Red wine")</f>
        <v>Red wine</v>
      </c>
    </row>
    <row r="181" spans="1:19" x14ac:dyDescent="0.3">
      <c r="A181" s="13">
        <v>180</v>
      </c>
      <c r="B181" s="1">
        <v>8.8000000000000007</v>
      </c>
      <c r="C181" s="1">
        <v>0.61</v>
      </c>
      <c r="D181" s="1">
        <v>0.14000000000000001</v>
      </c>
      <c r="E181" s="1">
        <v>2.4</v>
      </c>
      <c r="F181" s="1">
        <v>6.7000000000000004E-2</v>
      </c>
      <c r="G181" s="1">
        <v>10</v>
      </c>
      <c r="H181" s="1">
        <v>42</v>
      </c>
      <c r="I181" s="1">
        <v>0.99690000000000001</v>
      </c>
      <c r="J181" s="1">
        <v>3.19</v>
      </c>
      <c r="K181" s="1">
        <v>0.59</v>
      </c>
      <c r="L181" s="1">
        <v>9.5</v>
      </c>
      <c r="M181" s="2">
        <v>5</v>
      </c>
      <c r="N181" s="2" t="str" cm="1">
        <f t="array" ref="N181">_xlfn.IFS(Table1[[#This Row],[quality]]&lt;=4,"Low",Table1[[#This Row],[quality]]&lt;=6,"Medium",Table1[[#This Row],[quality]]&gt;=7,"High")</f>
        <v>Medium</v>
      </c>
      <c r="O181" s="2" t="str">
        <f>IF(AND(Table1[[#This Row],[fixed acidity]]&gt;Sheet1!$C$4,Table1[[#This Row],[pH]]&lt;Sheet1!$K$4),"High","Normal")</f>
        <v>High</v>
      </c>
      <c r="P181" s="1">
        <f>(Table1[[#This Row],[alcohol]]*2)+(Table1[[#This Row],[sulphates]]*1.5)-(Table1[[#This Row],[volatile acidity]]*2)</f>
        <v>18.665000000000003</v>
      </c>
      <c r="Q181" s="1">
        <f>RANK(Table1[[#This Row],[Quality_score_index]],Table1[Quality_score_index],0)</f>
        <v>1309</v>
      </c>
      <c r="R181" s="1">
        <f>Table1[[#This Row],[total sulfur dioxide]]-Table1[[#This Row],[free sulfur dioxide]]</f>
        <v>32</v>
      </c>
      <c r="S181" s="1" t="str">
        <f>IF(AND(Table1[[#This Row],[pH]]&gt;=3.2,Table1[[#This Row],[alcohol]]&gt;=10),"White wine","Red wine")</f>
        <v>Red wine</v>
      </c>
    </row>
    <row r="182" spans="1:19" x14ac:dyDescent="0.3">
      <c r="A182" s="13">
        <v>181</v>
      </c>
      <c r="B182" s="1">
        <v>8.8000000000000007</v>
      </c>
      <c r="C182" s="1">
        <v>0.61</v>
      </c>
      <c r="D182" s="1">
        <v>0.14000000000000001</v>
      </c>
      <c r="E182" s="1">
        <v>2.4</v>
      </c>
      <c r="F182" s="1">
        <v>6.7000000000000004E-2</v>
      </c>
      <c r="G182" s="1">
        <v>10</v>
      </c>
      <c r="H182" s="1">
        <v>42</v>
      </c>
      <c r="I182" s="1">
        <v>0.99690000000000001</v>
      </c>
      <c r="J182" s="1">
        <v>3.19</v>
      </c>
      <c r="K182" s="1">
        <v>0.59</v>
      </c>
      <c r="L182" s="1">
        <v>9.5</v>
      </c>
      <c r="M182" s="2">
        <v>5</v>
      </c>
      <c r="N182" s="2" t="str" cm="1">
        <f t="array" ref="N182">_xlfn.IFS(Table1[[#This Row],[quality]]&lt;=4,"Low",Table1[[#This Row],[quality]]&lt;=6,"Medium",Table1[[#This Row],[quality]]&gt;=7,"High")</f>
        <v>Medium</v>
      </c>
      <c r="O182" s="2" t="str">
        <f>IF(AND(Table1[[#This Row],[fixed acidity]]&gt;Sheet1!$C$4,Table1[[#This Row],[pH]]&lt;Sheet1!$K$4),"High","Normal")</f>
        <v>High</v>
      </c>
      <c r="P182" s="1">
        <f>(Table1[[#This Row],[alcohol]]*2)+(Table1[[#This Row],[sulphates]]*1.5)-(Table1[[#This Row],[volatile acidity]]*2)</f>
        <v>18.665000000000003</v>
      </c>
      <c r="Q182" s="1">
        <f>RANK(Table1[[#This Row],[Quality_score_index]],Table1[Quality_score_index],0)</f>
        <v>1309</v>
      </c>
      <c r="R182" s="1">
        <f>Table1[[#This Row],[total sulfur dioxide]]-Table1[[#This Row],[free sulfur dioxide]]</f>
        <v>32</v>
      </c>
      <c r="S182" s="1" t="str">
        <f>IF(AND(Table1[[#This Row],[pH]]&gt;=3.2,Table1[[#This Row],[alcohol]]&gt;=10),"White wine","Red wine")</f>
        <v>Red wine</v>
      </c>
    </row>
    <row r="183" spans="1:19" x14ac:dyDescent="0.3">
      <c r="A183" s="13">
        <v>182</v>
      </c>
      <c r="B183" s="1">
        <v>8.9</v>
      </c>
      <c r="C183" s="1">
        <v>0.61</v>
      </c>
      <c r="D183" s="1">
        <v>0.49</v>
      </c>
      <c r="E183" s="1">
        <v>2</v>
      </c>
      <c r="F183" s="1">
        <v>0.27</v>
      </c>
      <c r="G183" s="1">
        <v>23</v>
      </c>
      <c r="H183" s="1">
        <v>110</v>
      </c>
      <c r="I183" s="1">
        <v>0.99719999999999998</v>
      </c>
      <c r="J183" s="1">
        <v>3.12</v>
      </c>
      <c r="K183" s="1">
        <v>1.02</v>
      </c>
      <c r="L183" s="1">
        <v>9.3000000000000007</v>
      </c>
      <c r="M183" s="2">
        <v>5</v>
      </c>
      <c r="N183" s="2" t="str" cm="1">
        <f t="array" ref="N183">_xlfn.IFS(Table1[[#This Row],[quality]]&lt;=4,"Low",Table1[[#This Row],[quality]]&lt;=6,"Medium",Table1[[#This Row],[quality]]&gt;=7,"High")</f>
        <v>Medium</v>
      </c>
      <c r="O183" s="2" t="str">
        <f>IF(AND(Table1[[#This Row],[fixed acidity]]&gt;Sheet1!$C$4,Table1[[#This Row],[pH]]&lt;Sheet1!$K$4),"High","Normal")</f>
        <v>High</v>
      </c>
      <c r="P183" s="1">
        <f>(Table1[[#This Row],[alcohol]]*2)+(Table1[[#This Row],[sulphates]]*1.5)-(Table1[[#This Row],[volatile acidity]]*2)</f>
        <v>18.910000000000004</v>
      </c>
      <c r="Q183" s="1">
        <f>RANK(Table1[[#This Row],[Quality_score_index]],Table1[Quality_score_index],0)</f>
        <v>1202</v>
      </c>
      <c r="R183" s="1">
        <f>Table1[[#This Row],[total sulfur dioxide]]-Table1[[#This Row],[free sulfur dioxide]]</f>
        <v>87</v>
      </c>
      <c r="S183" s="1" t="str">
        <f>IF(AND(Table1[[#This Row],[pH]]&gt;=3.2,Table1[[#This Row],[alcohol]]&gt;=10),"White wine","Red wine")</f>
        <v>Red wine</v>
      </c>
    </row>
    <row r="184" spans="1:19" x14ac:dyDescent="0.3">
      <c r="A184" s="13">
        <v>183</v>
      </c>
      <c r="B184" s="1">
        <v>7.2</v>
      </c>
      <c r="C184" s="1">
        <v>0.73</v>
      </c>
      <c r="D184" s="1">
        <v>0.02</v>
      </c>
      <c r="E184" s="1">
        <v>2.5</v>
      </c>
      <c r="F184" s="1">
        <v>7.5999999999999998E-2</v>
      </c>
      <c r="G184" s="1">
        <v>16</v>
      </c>
      <c r="H184" s="1">
        <v>42</v>
      </c>
      <c r="I184" s="1">
        <v>0.99719999999999998</v>
      </c>
      <c r="J184" s="1">
        <v>3.44</v>
      </c>
      <c r="K184" s="1">
        <v>0.52</v>
      </c>
      <c r="L184" s="1">
        <v>9.3000000000000007</v>
      </c>
      <c r="M184" s="2">
        <v>5</v>
      </c>
      <c r="N184" s="2" t="str" cm="1">
        <f t="array" ref="N184">_xlfn.IFS(Table1[[#This Row],[quality]]&lt;=4,"Low",Table1[[#This Row],[quality]]&lt;=6,"Medium",Table1[[#This Row],[quality]]&gt;=7,"High")</f>
        <v>Medium</v>
      </c>
      <c r="O184" s="2" t="str">
        <f>IF(AND(Table1[[#This Row],[fixed acidity]]&gt;Sheet1!$C$4,Table1[[#This Row],[pH]]&lt;Sheet1!$K$4),"High","Normal")</f>
        <v>Normal</v>
      </c>
      <c r="P184" s="1">
        <f>(Table1[[#This Row],[alcohol]]*2)+(Table1[[#This Row],[sulphates]]*1.5)-(Table1[[#This Row],[volatile acidity]]*2)</f>
        <v>17.920000000000002</v>
      </c>
      <c r="Q184" s="1">
        <f>RANK(Table1[[#This Row],[Quality_score_index]],Table1[Quality_score_index],0)</f>
        <v>1533</v>
      </c>
      <c r="R184" s="1">
        <f>Table1[[#This Row],[total sulfur dioxide]]-Table1[[#This Row],[free sulfur dioxide]]</f>
        <v>26</v>
      </c>
      <c r="S184" s="1" t="str">
        <f>IF(AND(Table1[[#This Row],[pH]]&gt;=3.2,Table1[[#This Row],[alcohol]]&gt;=10),"White wine","Red wine")</f>
        <v>Red wine</v>
      </c>
    </row>
    <row r="185" spans="1:19" x14ac:dyDescent="0.3">
      <c r="A185" s="13">
        <v>184</v>
      </c>
      <c r="B185" s="1">
        <v>6.8</v>
      </c>
      <c r="C185" s="1">
        <v>0.61</v>
      </c>
      <c r="D185" s="1">
        <v>0.2</v>
      </c>
      <c r="E185" s="1">
        <v>1.8</v>
      </c>
      <c r="F185" s="1">
        <v>7.6999999999999999E-2</v>
      </c>
      <c r="G185" s="1">
        <v>11</v>
      </c>
      <c r="H185" s="1">
        <v>65</v>
      </c>
      <c r="I185" s="1">
        <v>0.99709999999999999</v>
      </c>
      <c r="J185" s="1">
        <v>3.54</v>
      </c>
      <c r="K185" s="1">
        <v>0.57999999999999996</v>
      </c>
      <c r="L185" s="1">
        <v>9.3000000000000007</v>
      </c>
      <c r="M185" s="2">
        <v>5</v>
      </c>
      <c r="N185" s="2" t="str" cm="1">
        <f t="array" ref="N185">_xlfn.IFS(Table1[[#This Row],[quality]]&lt;=4,"Low",Table1[[#This Row],[quality]]&lt;=6,"Medium",Table1[[#This Row],[quality]]&gt;=7,"High")</f>
        <v>Medium</v>
      </c>
      <c r="O185" s="2" t="str">
        <f>IF(AND(Table1[[#This Row],[fixed acidity]]&gt;Sheet1!$C$4,Table1[[#This Row],[pH]]&lt;Sheet1!$K$4),"High","Normal")</f>
        <v>Normal</v>
      </c>
      <c r="P185" s="1">
        <f>(Table1[[#This Row],[alcohol]]*2)+(Table1[[#This Row],[sulphates]]*1.5)-(Table1[[#This Row],[volatile acidity]]*2)</f>
        <v>18.250000000000004</v>
      </c>
      <c r="Q185" s="1">
        <f>RANK(Table1[[#This Row],[Quality_score_index]],Table1[Quality_score_index],0)</f>
        <v>1467</v>
      </c>
      <c r="R185" s="1">
        <f>Table1[[#This Row],[total sulfur dioxide]]-Table1[[#This Row],[free sulfur dioxide]]</f>
        <v>54</v>
      </c>
      <c r="S185" s="1" t="str">
        <f>IF(AND(Table1[[#This Row],[pH]]&gt;=3.2,Table1[[#This Row],[alcohol]]&gt;=10),"White wine","Red wine")</f>
        <v>Red wine</v>
      </c>
    </row>
    <row r="186" spans="1:19" x14ac:dyDescent="0.3">
      <c r="A186" s="13">
        <v>185</v>
      </c>
      <c r="B186" s="1">
        <v>6.7</v>
      </c>
      <c r="C186" s="1">
        <v>0.62</v>
      </c>
      <c r="D186" s="1">
        <v>0.21</v>
      </c>
      <c r="E186" s="1">
        <v>1.9</v>
      </c>
      <c r="F186" s="1">
        <v>7.9000000000000001E-2</v>
      </c>
      <c r="G186" s="1">
        <v>8</v>
      </c>
      <c r="H186" s="1">
        <v>62</v>
      </c>
      <c r="I186" s="1">
        <v>0.997</v>
      </c>
      <c r="J186" s="1">
        <v>3.52</v>
      </c>
      <c r="K186" s="1">
        <v>0.57999999999999996</v>
      </c>
      <c r="L186" s="1">
        <v>9.3000000000000007</v>
      </c>
      <c r="M186" s="2">
        <v>6</v>
      </c>
      <c r="N186" s="2" t="str" cm="1">
        <f t="array" ref="N186">_xlfn.IFS(Table1[[#This Row],[quality]]&lt;=4,"Low",Table1[[#This Row],[quality]]&lt;=6,"Medium",Table1[[#This Row],[quality]]&gt;=7,"High")</f>
        <v>Medium</v>
      </c>
      <c r="O186" s="2" t="str">
        <f>IF(AND(Table1[[#This Row],[fixed acidity]]&gt;Sheet1!$C$4,Table1[[#This Row],[pH]]&lt;Sheet1!$K$4),"High","Normal")</f>
        <v>Normal</v>
      </c>
      <c r="P186" s="1">
        <f>(Table1[[#This Row],[alcohol]]*2)+(Table1[[#This Row],[sulphates]]*1.5)-(Table1[[#This Row],[volatile acidity]]*2)</f>
        <v>18.230000000000004</v>
      </c>
      <c r="Q186" s="1">
        <f>RANK(Table1[[#This Row],[Quality_score_index]],Table1[Quality_score_index],0)</f>
        <v>1476</v>
      </c>
      <c r="R186" s="1">
        <f>Table1[[#This Row],[total sulfur dioxide]]-Table1[[#This Row],[free sulfur dioxide]]</f>
        <v>54</v>
      </c>
      <c r="S186" s="1" t="str">
        <f>IF(AND(Table1[[#This Row],[pH]]&gt;=3.2,Table1[[#This Row],[alcohol]]&gt;=10),"White wine","Red wine")</f>
        <v>Red wine</v>
      </c>
    </row>
    <row r="187" spans="1:19" x14ac:dyDescent="0.3">
      <c r="A187" s="13">
        <v>186</v>
      </c>
      <c r="B187" s="1">
        <v>8.9</v>
      </c>
      <c r="C187" s="1">
        <v>0.31</v>
      </c>
      <c r="D187" s="1">
        <v>0.56999999999999995</v>
      </c>
      <c r="E187" s="1">
        <v>2</v>
      </c>
      <c r="F187" s="1">
        <v>0.111</v>
      </c>
      <c r="G187" s="1">
        <v>26</v>
      </c>
      <c r="H187" s="1">
        <v>85</v>
      </c>
      <c r="I187" s="1">
        <v>0.99709999999999999</v>
      </c>
      <c r="J187" s="1">
        <v>3.26</v>
      </c>
      <c r="K187" s="1">
        <v>0.53</v>
      </c>
      <c r="L187" s="1">
        <v>9.6999999999999993</v>
      </c>
      <c r="M187" s="2">
        <v>5</v>
      </c>
      <c r="N187" s="2" t="str" cm="1">
        <f t="array" ref="N187">_xlfn.IFS(Table1[[#This Row],[quality]]&lt;=4,"Low",Table1[[#This Row],[quality]]&lt;=6,"Medium",Table1[[#This Row],[quality]]&gt;=7,"High")</f>
        <v>Medium</v>
      </c>
      <c r="O187" s="2" t="str">
        <f>IF(AND(Table1[[#This Row],[fixed acidity]]&gt;Sheet1!$C$4,Table1[[#This Row],[pH]]&lt;Sheet1!$K$4),"High","Normal")</f>
        <v>High</v>
      </c>
      <c r="P187" s="1">
        <f>(Table1[[#This Row],[alcohol]]*2)+(Table1[[#This Row],[sulphates]]*1.5)-(Table1[[#This Row],[volatile acidity]]*2)</f>
        <v>19.574999999999999</v>
      </c>
      <c r="Q187" s="1">
        <f>RANK(Table1[[#This Row],[Quality_score_index]],Table1[Quality_score_index],0)</f>
        <v>957</v>
      </c>
      <c r="R187" s="1">
        <f>Table1[[#This Row],[total sulfur dioxide]]-Table1[[#This Row],[free sulfur dioxide]]</f>
        <v>59</v>
      </c>
      <c r="S187" s="1" t="str">
        <f>IF(AND(Table1[[#This Row],[pH]]&gt;=3.2,Table1[[#This Row],[alcohol]]&gt;=10),"White wine","Red wine")</f>
        <v>Red wine</v>
      </c>
    </row>
    <row r="188" spans="1:19" x14ac:dyDescent="0.3">
      <c r="A188" s="13">
        <v>187</v>
      </c>
      <c r="B188" s="1">
        <v>7.4</v>
      </c>
      <c r="C188" s="1">
        <v>0.39</v>
      </c>
      <c r="D188" s="1">
        <v>0.48</v>
      </c>
      <c r="E188" s="1">
        <v>2</v>
      </c>
      <c r="F188" s="1">
        <v>8.2000000000000003E-2</v>
      </c>
      <c r="G188" s="1">
        <v>14</v>
      </c>
      <c r="H188" s="1">
        <v>67</v>
      </c>
      <c r="I188" s="1">
        <v>0.99719999999999998</v>
      </c>
      <c r="J188" s="1">
        <v>3.34</v>
      </c>
      <c r="K188" s="1">
        <v>0.55000000000000004</v>
      </c>
      <c r="L188" s="1">
        <v>9.1999999999999993</v>
      </c>
      <c r="M188" s="2">
        <v>5</v>
      </c>
      <c r="N188" s="2" t="str" cm="1">
        <f t="array" ref="N188">_xlfn.IFS(Table1[[#This Row],[quality]]&lt;=4,"Low",Table1[[#This Row],[quality]]&lt;=6,"Medium",Table1[[#This Row],[quality]]&gt;=7,"High")</f>
        <v>Medium</v>
      </c>
      <c r="O188" s="2" t="str">
        <f>IF(AND(Table1[[#This Row],[fixed acidity]]&gt;Sheet1!$C$4,Table1[[#This Row],[pH]]&lt;Sheet1!$K$4),"High","Normal")</f>
        <v>Normal</v>
      </c>
      <c r="P188" s="1">
        <f>(Table1[[#This Row],[alcohol]]*2)+(Table1[[#This Row],[sulphates]]*1.5)-(Table1[[#This Row],[volatile acidity]]*2)</f>
        <v>18.444999999999997</v>
      </c>
      <c r="Q188" s="1">
        <f>RANK(Table1[[#This Row],[Quality_score_index]],Table1[Quality_score_index],0)</f>
        <v>1395</v>
      </c>
      <c r="R188" s="1">
        <f>Table1[[#This Row],[total sulfur dioxide]]-Table1[[#This Row],[free sulfur dioxide]]</f>
        <v>53</v>
      </c>
      <c r="S188" s="1" t="str">
        <f>IF(AND(Table1[[#This Row],[pH]]&gt;=3.2,Table1[[#This Row],[alcohol]]&gt;=10),"White wine","Red wine")</f>
        <v>Red wine</v>
      </c>
    </row>
    <row r="189" spans="1:19" x14ac:dyDescent="0.3">
      <c r="A189" s="13">
        <v>188</v>
      </c>
      <c r="B189" s="1">
        <v>7.7</v>
      </c>
      <c r="C189" s="1">
        <v>0.70499999999999996</v>
      </c>
      <c r="D189" s="1">
        <v>0.1</v>
      </c>
      <c r="E189" s="1">
        <v>2.6</v>
      </c>
      <c r="F189" s="1">
        <v>8.4000000000000005E-2</v>
      </c>
      <c r="G189" s="1">
        <v>9</v>
      </c>
      <c r="H189" s="1">
        <v>26</v>
      </c>
      <c r="I189" s="1">
        <v>0.99760000000000004</v>
      </c>
      <c r="J189" s="1">
        <v>3.39</v>
      </c>
      <c r="K189" s="1">
        <v>0.49</v>
      </c>
      <c r="L189" s="1">
        <v>9.6999999999999993</v>
      </c>
      <c r="M189" s="2">
        <v>5</v>
      </c>
      <c r="N189" s="2" t="str" cm="1">
        <f t="array" ref="N189">_xlfn.IFS(Table1[[#This Row],[quality]]&lt;=4,"Low",Table1[[#This Row],[quality]]&lt;=6,"Medium",Table1[[#This Row],[quality]]&gt;=7,"High")</f>
        <v>Medium</v>
      </c>
      <c r="O189" s="2" t="str">
        <f>IF(AND(Table1[[#This Row],[fixed acidity]]&gt;Sheet1!$C$4,Table1[[#This Row],[pH]]&lt;Sheet1!$K$4),"High","Normal")</f>
        <v>Normal</v>
      </c>
      <c r="P189" s="1">
        <f>(Table1[[#This Row],[alcohol]]*2)+(Table1[[#This Row],[sulphates]]*1.5)-(Table1[[#This Row],[volatile acidity]]*2)</f>
        <v>18.724999999999998</v>
      </c>
      <c r="Q189" s="1">
        <f>RANK(Table1[[#This Row],[Quality_score_index]],Table1[Quality_score_index],0)</f>
        <v>1279</v>
      </c>
      <c r="R189" s="1">
        <f>Table1[[#This Row],[total sulfur dioxide]]-Table1[[#This Row],[free sulfur dioxide]]</f>
        <v>17</v>
      </c>
      <c r="S189" s="1" t="str">
        <f>IF(AND(Table1[[#This Row],[pH]]&gt;=3.2,Table1[[#This Row],[alcohol]]&gt;=10),"White wine","Red wine")</f>
        <v>Red wine</v>
      </c>
    </row>
    <row r="190" spans="1:19" x14ac:dyDescent="0.3">
      <c r="A190" s="13">
        <v>189</v>
      </c>
      <c r="B190" s="1">
        <v>7.9</v>
      </c>
      <c r="C190" s="1">
        <v>0.5</v>
      </c>
      <c r="D190" s="1">
        <v>0.33</v>
      </c>
      <c r="E190" s="1">
        <v>2</v>
      </c>
      <c r="F190" s="1">
        <v>8.4000000000000005E-2</v>
      </c>
      <c r="G190" s="1">
        <v>15</v>
      </c>
      <c r="H190" s="1">
        <v>143</v>
      </c>
      <c r="I190" s="1">
        <v>0.99680000000000002</v>
      </c>
      <c r="J190" s="1">
        <v>3.2</v>
      </c>
      <c r="K190" s="1">
        <v>0.55000000000000004</v>
      </c>
      <c r="L190" s="1">
        <v>9.5</v>
      </c>
      <c r="M190" s="2">
        <v>5</v>
      </c>
      <c r="N190" s="2" t="str" cm="1">
        <f t="array" ref="N190">_xlfn.IFS(Table1[[#This Row],[quality]]&lt;=4,"Low",Table1[[#This Row],[quality]]&lt;=6,"Medium",Table1[[#This Row],[quality]]&gt;=7,"High")</f>
        <v>Medium</v>
      </c>
      <c r="O190" s="2" t="str">
        <f>IF(AND(Table1[[#This Row],[fixed acidity]]&gt;Sheet1!$C$4,Table1[[#This Row],[pH]]&lt;Sheet1!$K$4),"High","Normal")</f>
        <v>Normal</v>
      </c>
      <c r="P190" s="1">
        <f>(Table1[[#This Row],[alcohol]]*2)+(Table1[[#This Row],[sulphates]]*1.5)-(Table1[[#This Row],[volatile acidity]]*2)</f>
        <v>18.824999999999999</v>
      </c>
      <c r="Q190" s="1">
        <f>RANK(Table1[[#This Row],[Quality_score_index]],Table1[Quality_score_index],0)</f>
        <v>1238</v>
      </c>
      <c r="R190" s="1">
        <f>Table1[[#This Row],[total sulfur dioxide]]-Table1[[#This Row],[free sulfur dioxide]]</f>
        <v>128</v>
      </c>
      <c r="S190" s="1" t="str">
        <f>IF(AND(Table1[[#This Row],[pH]]&gt;=3.2,Table1[[#This Row],[alcohol]]&gt;=10),"White wine","Red wine")</f>
        <v>Red wine</v>
      </c>
    </row>
    <row r="191" spans="1:19" x14ac:dyDescent="0.3">
      <c r="A191" s="13">
        <v>190</v>
      </c>
      <c r="B191" s="1">
        <v>7.9</v>
      </c>
      <c r="C191" s="1">
        <v>0.49</v>
      </c>
      <c r="D191" s="1">
        <v>0.32</v>
      </c>
      <c r="E191" s="1">
        <v>1.9</v>
      </c>
      <c r="F191" s="1">
        <v>8.2000000000000003E-2</v>
      </c>
      <c r="G191" s="1">
        <v>17</v>
      </c>
      <c r="H191" s="1">
        <v>144</v>
      </c>
      <c r="I191" s="1">
        <v>0.99680000000000002</v>
      </c>
      <c r="J191" s="1">
        <v>3.2</v>
      </c>
      <c r="K191" s="1">
        <v>0.55000000000000004</v>
      </c>
      <c r="L191" s="1">
        <v>9.5</v>
      </c>
      <c r="M191" s="2">
        <v>5</v>
      </c>
      <c r="N191" s="2" t="str" cm="1">
        <f t="array" ref="N191">_xlfn.IFS(Table1[[#This Row],[quality]]&lt;=4,"Low",Table1[[#This Row],[quality]]&lt;=6,"Medium",Table1[[#This Row],[quality]]&gt;=7,"High")</f>
        <v>Medium</v>
      </c>
      <c r="O191" s="2" t="str">
        <f>IF(AND(Table1[[#This Row],[fixed acidity]]&gt;Sheet1!$C$4,Table1[[#This Row],[pH]]&lt;Sheet1!$K$4),"High","Normal")</f>
        <v>Normal</v>
      </c>
      <c r="P191" s="1">
        <f>(Table1[[#This Row],[alcohol]]*2)+(Table1[[#This Row],[sulphates]]*1.5)-(Table1[[#This Row],[volatile acidity]]*2)</f>
        <v>18.844999999999999</v>
      </c>
      <c r="Q191" s="1">
        <f>RANK(Table1[[#This Row],[Quality_score_index]],Table1[Quality_score_index],0)</f>
        <v>1228</v>
      </c>
      <c r="R191" s="1">
        <f>Table1[[#This Row],[total sulfur dioxide]]-Table1[[#This Row],[free sulfur dioxide]]</f>
        <v>127</v>
      </c>
      <c r="S191" s="1" t="str">
        <f>IF(AND(Table1[[#This Row],[pH]]&gt;=3.2,Table1[[#This Row],[alcohol]]&gt;=10),"White wine","Red wine")</f>
        <v>Red wine</v>
      </c>
    </row>
    <row r="192" spans="1:19" x14ac:dyDescent="0.3">
      <c r="A192" s="13">
        <v>191</v>
      </c>
      <c r="B192" s="1">
        <v>8.1999999999999993</v>
      </c>
      <c r="C192" s="1">
        <v>0.5</v>
      </c>
      <c r="D192" s="1">
        <v>0.35</v>
      </c>
      <c r="E192" s="1">
        <v>2.9</v>
      </c>
      <c r="F192" s="1">
        <v>7.6999999999999999E-2</v>
      </c>
      <c r="G192" s="1">
        <v>21</v>
      </c>
      <c r="H192" s="1">
        <v>127</v>
      </c>
      <c r="I192" s="1">
        <v>0.99760000000000004</v>
      </c>
      <c r="J192" s="1">
        <v>3.23</v>
      </c>
      <c r="K192" s="1">
        <v>0.62</v>
      </c>
      <c r="L192" s="1">
        <v>9.4</v>
      </c>
      <c r="M192" s="2">
        <v>5</v>
      </c>
      <c r="N192" s="2" t="str" cm="1">
        <f t="array" ref="N192">_xlfn.IFS(Table1[[#This Row],[quality]]&lt;=4,"Low",Table1[[#This Row],[quality]]&lt;=6,"Medium",Table1[[#This Row],[quality]]&gt;=7,"High")</f>
        <v>Medium</v>
      </c>
      <c r="O192" s="2" t="str">
        <f>IF(AND(Table1[[#This Row],[fixed acidity]]&gt;Sheet1!$C$4,Table1[[#This Row],[pH]]&lt;Sheet1!$K$4),"High","Normal")</f>
        <v>Normal</v>
      </c>
      <c r="P192" s="1">
        <f>(Table1[[#This Row],[alcohol]]*2)+(Table1[[#This Row],[sulphates]]*1.5)-(Table1[[#This Row],[volatile acidity]]*2)</f>
        <v>18.73</v>
      </c>
      <c r="Q192" s="1">
        <f>RANK(Table1[[#This Row],[Quality_score_index]],Table1[Quality_score_index],0)</f>
        <v>1270</v>
      </c>
      <c r="R192" s="1">
        <f>Table1[[#This Row],[total sulfur dioxide]]-Table1[[#This Row],[free sulfur dioxide]]</f>
        <v>106</v>
      </c>
      <c r="S192" s="1" t="str">
        <f>IF(AND(Table1[[#This Row],[pH]]&gt;=3.2,Table1[[#This Row],[alcohol]]&gt;=10),"White wine","Red wine")</f>
        <v>Red wine</v>
      </c>
    </row>
    <row r="193" spans="1:19" x14ac:dyDescent="0.3">
      <c r="A193" s="13">
        <v>192</v>
      </c>
      <c r="B193" s="1">
        <v>6.4</v>
      </c>
      <c r="C193" s="1">
        <v>0.37</v>
      </c>
      <c r="D193" s="1">
        <v>0.25</v>
      </c>
      <c r="E193" s="1">
        <v>1.9</v>
      </c>
      <c r="F193" s="1">
        <v>7.3999999999999996E-2</v>
      </c>
      <c r="G193" s="1">
        <v>21</v>
      </c>
      <c r="H193" s="1">
        <v>49</v>
      </c>
      <c r="I193" s="1">
        <v>0.99739999999999995</v>
      </c>
      <c r="J193" s="1">
        <v>3.57</v>
      </c>
      <c r="K193" s="1">
        <v>0.62</v>
      </c>
      <c r="L193" s="1">
        <v>9.8000000000000007</v>
      </c>
      <c r="M193" s="2">
        <v>6</v>
      </c>
      <c r="N193" s="2" t="str" cm="1">
        <f t="array" ref="N193">_xlfn.IFS(Table1[[#This Row],[quality]]&lt;=4,"Low",Table1[[#This Row],[quality]]&lt;=6,"Medium",Table1[[#This Row],[quality]]&gt;=7,"High")</f>
        <v>Medium</v>
      </c>
      <c r="O193" s="2" t="str">
        <f>IF(AND(Table1[[#This Row],[fixed acidity]]&gt;Sheet1!$C$4,Table1[[#This Row],[pH]]&lt;Sheet1!$K$4),"High","Normal")</f>
        <v>Normal</v>
      </c>
      <c r="P193" s="1">
        <f>(Table1[[#This Row],[alcohol]]*2)+(Table1[[#This Row],[sulphates]]*1.5)-(Table1[[#This Row],[volatile acidity]]*2)</f>
        <v>19.790000000000003</v>
      </c>
      <c r="Q193" s="1">
        <f>RANK(Table1[[#This Row],[Quality_score_index]],Table1[Quality_score_index],0)</f>
        <v>906</v>
      </c>
      <c r="R193" s="1">
        <f>Table1[[#This Row],[total sulfur dioxide]]-Table1[[#This Row],[free sulfur dioxide]]</f>
        <v>28</v>
      </c>
      <c r="S193" s="1" t="str">
        <f>IF(AND(Table1[[#This Row],[pH]]&gt;=3.2,Table1[[#This Row],[alcohol]]&gt;=10),"White wine","Red wine")</f>
        <v>Red wine</v>
      </c>
    </row>
    <row r="194" spans="1:19" x14ac:dyDescent="0.3">
      <c r="A194" s="13">
        <v>193</v>
      </c>
      <c r="B194" s="1">
        <v>6.8</v>
      </c>
      <c r="C194" s="1">
        <v>0.63</v>
      </c>
      <c r="D194" s="1">
        <v>0.12</v>
      </c>
      <c r="E194" s="1">
        <v>3.8</v>
      </c>
      <c r="F194" s="1">
        <v>9.9000000000000005E-2</v>
      </c>
      <c r="G194" s="1">
        <v>16</v>
      </c>
      <c r="H194" s="1">
        <v>126</v>
      </c>
      <c r="I194" s="1">
        <v>0.99690000000000001</v>
      </c>
      <c r="J194" s="1">
        <v>3.28</v>
      </c>
      <c r="K194" s="1">
        <v>0.61</v>
      </c>
      <c r="L194" s="1">
        <v>9.5</v>
      </c>
      <c r="M194" s="2">
        <v>5</v>
      </c>
      <c r="N194" s="2" t="str" cm="1">
        <f t="array" ref="N194">_xlfn.IFS(Table1[[#This Row],[quality]]&lt;=4,"Low",Table1[[#This Row],[quality]]&lt;=6,"Medium",Table1[[#This Row],[quality]]&gt;=7,"High")</f>
        <v>Medium</v>
      </c>
      <c r="O194" s="2" t="str">
        <f>IF(AND(Table1[[#This Row],[fixed acidity]]&gt;Sheet1!$C$4,Table1[[#This Row],[pH]]&lt;Sheet1!$K$4),"High","Normal")</f>
        <v>Normal</v>
      </c>
      <c r="P194" s="1">
        <f>(Table1[[#This Row],[alcohol]]*2)+(Table1[[#This Row],[sulphates]]*1.5)-(Table1[[#This Row],[volatile acidity]]*2)</f>
        <v>18.654999999999998</v>
      </c>
      <c r="Q194" s="1">
        <f>RANK(Table1[[#This Row],[Quality_score_index]],Table1[Quality_score_index],0)</f>
        <v>1319</v>
      </c>
      <c r="R194" s="1">
        <f>Table1[[#This Row],[total sulfur dioxide]]-Table1[[#This Row],[free sulfur dioxide]]</f>
        <v>110</v>
      </c>
      <c r="S194" s="1" t="str">
        <f>IF(AND(Table1[[#This Row],[pH]]&gt;=3.2,Table1[[#This Row],[alcohol]]&gt;=10),"White wine","Red wine")</f>
        <v>Red wine</v>
      </c>
    </row>
    <row r="195" spans="1:19" x14ac:dyDescent="0.3">
      <c r="A195" s="13">
        <v>194</v>
      </c>
      <c r="B195" s="1">
        <v>7.6</v>
      </c>
      <c r="C195" s="1">
        <v>0.55000000000000004</v>
      </c>
      <c r="D195" s="1">
        <v>0.21</v>
      </c>
      <c r="E195" s="1">
        <v>2.2000000000000002</v>
      </c>
      <c r="F195" s="1">
        <v>7.0999999999999994E-2</v>
      </c>
      <c r="G195" s="1">
        <v>7</v>
      </c>
      <c r="H195" s="1">
        <v>28</v>
      </c>
      <c r="I195" s="1">
        <v>0.99639999999999995</v>
      </c>
      <c r="J195" s="1">
        <v>3.28</v>
      </c>
      <c r="K195" s="1">
        <v>0.55000000000000004</v>
      </c>
      <c r="L195" s="1">
        <v>9.6999999999999993</v>
      </c>
      <c r="M195" s="2">
        <v>5</v>
      </c>
      <c r="N195" s="2" t="str" cm="1">
        <f t="array" ref="N195">_xlfn.IFS(Table1[[#This Row],[quality]]&lt;=4,"Low",Table1[[#This Row],[quality]]&lt;=6,"Medium",Table1[[#This Row],[quality]]&gt;=7,"High")</f>
        <v>Medium</v>
      </c>
      <c r="O195" s="2" t="str">
        <f>IF(AND(Table1[[#This Row],[fixed acidity]]&gt;Sheet1!$C$4,Table1[[#This Row],[pH]]&lt;Sheet1!$K$4),"High","Normal")</f>
        <v>Normal</v>
      </c>
      <c r="P195" s="1">
        <f>(Table1[[#This Row],[alcohol]]*2)+(Table1[[#This Row],[sulphates]]*1.5)-(Table1[[#This Row],[volatile acidity]]*2)</f>
        <v>19.124999999999996</v>
      </c>
      <c r="Q195" s="1">
        <f>RANK(Table1[[#This Row],[Quality_score_index]],Table1[Quality_score_index],0)</f>
        <v>1113</v>
      </c>
      <c r="R195" s="1">
        <f>Table1[[#This Row],[total sulfur dioxide]]-Table1[[#This Row],[free sulfur dioxide]]</f>
        <v>21</v>
      </c>
      <c r="S195" s="1" t="str">
        <f>IF(AND(Table1[[#This Row],[pH]]&gt;=3.2,Table1[[#This Row],[alcohol]]&gt;=10),"White wine","Red wine")</f>
        <v>Red wine</v>
      </c>
    </row>
    <row r="196" spans="1:19" x14ac:dyDescent="0.3">
      <c r="A196" s="13">
        <v>195</v>
      </c>
      <c r="B196" s="1">
        <v>7.6</v>
      </c>
      <c r="C196" s="1">
        <v>0.55000000000000004</v>
      </c>
      <c r="D196" s="1">
        <v>0.21</v>
      </c>
      <c r="E196" s="1">
        <v>2.2000000000000002</v>
      </c>
      <c r="F196" s="1">
        <v>7.0999999999999994E-2</v>
      </c>
      <c r="G196" s="1">
        <v>7</v>
      </c>
      <c r="H196" s="1">
        <v>28</v>
      </c>
      <c r="I196" s="1">
        <v>0.99639999999999995</v>
      </c>
      <c r="J196" s="1">
        <v>3.28</v>
      </c>
      <c r="K196" s="1">
        <v>0.55000000000000004</v>
      </c>
      <c r="L196" s="1">
        <v>9.6999999999999993</v>
      </c>
      <c r="M196" s="2">
        <v>5</v>
      </c>
      <c r="N196" s="2" t="str" cm="1">
        <f t="array" ref="N196">_xlfn.IFS(Table1[[#This Row],[quality]]&lt;=4,"Low",Table1[[#This Row],[quality]]&lt;=6,"Medium",Table1[[#This Row],[quality]]&gt;=7,"High")</f>
        <v>Medium</v>
      </c>
      <c r="O196" s="2" t="str">
        <f>IF(AND(Table1[[#This Row],[fixed acidity]]&gt;Sheet1!$C$4,Table1[[#This Row],[pH]]&lt;Sheet1!$K$4),"High","Normal")</f>
        <v>Normal</v>
      </c>
      <c r="P196" s="1">
        <f>(Table1[[#This Row],[alcohol]]*2)+(Table1[[#This Row],[sulphates]]*1.5)-(Table1[[#This Row],[volatile acidity]]*2)</f>
        <v>19.124999999999996</v>
      </c>
      <c r="Q196" s="1">
        <f>RANK(Table1[[#This Row],[Quality_score_index]],Table1[Quality_score_index],0)</f>
        <v>1113</v>
      </c>
      <c r="R196" s="1">
        <f>Table1[[#This Row],[total sulfur dioxide]]-Table1[[#This Row],[free sulfur dioxide]]</f>
        <v>21</v>
      </c>
      <c r="S196" s="1" t="str">
        <f>IF(AND(Table1[[#This Row],[pH]]&gt;=3.2,Table1[[#This Row],[alcohol]]&gt;=10),"White wine","Red wine")</f>
        <v>Red wine</v>
      </c>
    </row>
    <row r="197" spans="1:19" x14ac:dyDescent="0.3">
      <c r="A197" s="13">
        <v>196</v>
      </c>
      <c r="B197" s="1">
        <v>7.8</v>
      </c>
      <c r="C197" s="1">
        <v>0.59</v>
      </c>
      <c r="D197" s="1">
        <v>0.33</v>
      </c>
      <c r="E197" s="1">
        <v>2</v>
      </c>
      <c r="F197" s="1">
        <v>7.3999999999999996E-2</v>
      </c>
      <c r="G197" s="1">
        <v>24</v>
      </c>
      <c r="H197" s="1">
        <v>120</v>
      </c>
      <c r="I197" s="1">
        <v>0.99680000000000002</v>
      </c>
      <c r="J197" s="1">
        <v>3.25</v>
      </c>
      <c r="K197" s="1">
        <v>0.54</v>
      </c>
      <c r="L197" s="1">
        <v>9.4</v>
      </c>
      <c r="M197" s="2">
        <v>5</v>
      </c>
      <c r="N197" s="2" t="str" cm="1">
        <f t="array" ref="N197">_xlfn.IFS(Table1[[#This Row],[quality]]&lt;=4,"Low",Table1[[#This Row],[quality]]&lt;=6,"Medium",Table1[[#This Row],[quality]]&gt;=7,"High")</f>
        <v>Medium</v>
      </c>
      <c r="O197" s="2" t="str">
        <f>IF(AND(Table1[[#This Row],[fixed acidity]]&gt;Sheet1!$C$4,Table1[[#This Row],[pH]]&lt;Sheet1!$K$4),"High","Normal")</f>
        <v>Normal</v>
      </c>
      <c r="P197" s="1">
        <f>(Table1[[#This Row],[alcohol]]*2)+(Table1[[#This Row],[sulphates]]*1.5)-(Table1[[#This Row],[volatile acidity]]*2)</f>
        <v>18.43</v>
      </c>
      <c r="Q197" s="1">
        <f>RANK(Table1[[#This Row],[Quality_score_index]],Table1[Quality_score_index],0)</f>
        <v>1399</v>
      </c>
      <c r="R197" s="1">
        <f>Table1[[#This Row],[total sulfur dioxide]]-Table1[[#This Row],[free sulfur dioxide]]</f>
        <v>96</v>
      </c>
      <c r="S197" s="1" t="str">
        <f>IF(AND(Table1[[#This Row],[pH]]&gt;=3.2,Table1[[#This Row],[alcohol]]&gt;=10),"White wine","Red wine")</f>
        <v>Red wine</v>
      </c>
    </row>
    <row r="198" spans="1:19" x14ac:dyDescent="0.3">
      <c r="A198" s="13">
        <v>197</v>
      </c>
      <c r="B198" s="1">
        <v>7.3</v>
      </c>
      <c r="C198" s="1">
        <v>0.57999999999999996</v>
      </c>
      <c r="D198" s="1">
        <v>0.3</v>
      </c>
      <c r="E198" s="1">
        <v>2.4</v>
      </c>
      <c r="F198" s="1">
        <v>7.3999999999999996E-2</v>
      </c>
      <c r="G198" s="1">
        <v>15</v>
      </c>
      <c r="H198" s="1">
        <v>55</v>
      </c>
      <c r="I198" s="1">
        <v>0.99680000000000002</v>
      </c>
      <c r="J198" s="1">
        <v>3.46</v>
      </c>
      <c r="K198" s="1">
        <v>0.59</v>
      </c>
      <c r="L198" s="1">
        <v>10.199999999999999</v>
      </c>
      <c r="M198" s="2">
        <v>5</v>
      </c>
      <c r="N198" s="2" t="str" cm="1">
        <f t="array" ref="N198">_xlfn.IFS(Table1[[#This Row],[quality]]&lt;=4,"Low",Table1[[#This Row],[quality]]&lt;=6,"Medium",Table1[[#This Row],[quality]]&gt;=7,"High")</f>
        <v>Medium</v>
      </c>
      <c r="O198" s="2" t="str">
        <f>IF(AND(Table1[[#This Row],[fixed acidity]]&gt;Sheet1!$C$4,Table1[[#This Row],[pH]]&lt;Sheet1!$K$4),"High","Normal")</f>
        <v>Normal</v>
      </c>
      <c r="P198" s="1">
        <f>(Table1[[#This Row],[alcohol]]*2)+(Table1[[#This Row],[sulphates]]*1.5)-(Table1[[#This Row],[volatile acidity]]*2)</f>
        <v>20.125</v>
      </c>
      <c r="Q198" s="1">
        <f>RANK(Table1[[#This Row],[Quality_score_index]],Table1[Quality_score_index],0)</f>
        <v>832</v>
      </c>
      <c r="R198" s="1">
        <f>Table1[[#This Row],[total sulfur dioxide]]-Table1[[#This Row],[free sulfur dioxide]]</f>
        <v>40</v>
      </c>
      <c r="S198" s="1" t="str">
        <f>IF(AND(Table1[[#This Row],[pH]]&gt;=3.2,Table1[[#This Row],[alcohol]]&gt;=10),"White wine","Red wine")</f>
        <v>White wine</v>
      </c>
    </row>
    <row r="199" spans="1:19" x14ac:dyDescent="0.3">
      <c r="A199" s="13">
        <v>198</v>
      </c>
      <c r="B199" s="1">
        <v>11.5</v>
      </c>
      <c r="C199" s="1">
        <v>0.3</v>
      </c>
      <c r="D199" s="1">
        <v>0.6</v>
      </c>
      <c r="E199" s="1">
        <v>2</v>
      </c>
      <c r="F199" s="1">
        <v>6.7000000000000004E-2</v>
      </c>
      <c r="G199" s="1">
        <v>12</v>
      </c>
      <c r="H199" s="1">
        <v>27</v>
      </c>
      <c r="I199" s="1">
        <v>0.99809999999999999</v>
      </c>
      <c r="J199" s="1">
        <v>3.11</v>
      </c>
      <c r="K199" s="1">
        <v>0.97</v>
      </c>
      <c r="L199" s="1">
        <v>10.1</v>
      </c>
      <c r="M199" s="2">
        <v>6</v>
      </c>
      <c r="N199" s="2" t="str" cm="1">
        <f t="array" ref="N199">_xlfn.IFS(Table1[[#This Row],[quality]]&lt;=4,"Low",Table1[[#This Row],[quality]]&lt;=6,"Medium",Table1[[#This Row],[quality]]&gt;=7,"High")</f>
        <v>Medium</v>
      </c>
      <c r="O199" s="2" t="str">
        <f>IF(AND(Table1[[#This Row],[fixed acidity]]&gt;Sheet1!$C$4,Table1[[#This Row],[pH]]&lt;Sheet1!$K$4),"High","Normal")</f>
        <v>High</v>
      </c>
      <c r="P199" s="1">
        <f>(Table1[[#This Row],[alcohol]]*2)+(Table1[[#This Row],[sulphates]]*1.5)-(Table1[[#This Row],[volatile acidity]]*2)</f>
        <v>21.055</v>
      </c>
      <c r="Q199" s="1">
        <f>RANK(Table1[[#This Row],[Quality_score_index]],Table1[Quality_score_index],0)</f>
        <v>641</v>
      </c>
      <c r="R199" s="1">
        <f>Table1[[#This Row],[total sulfur dioxide]]-Table1[[#This Row],[free sulfur dioxide]]</f>
        <v>15</v>
      </c>
      <c r="S199" s="1" t="str">
        <f>IF(AND(Table1[[#This Row],[pH]]&gt;=3.2,Table1[[#This Row],[alcohol]]&gt;=10),"White wine","Red wine")</f>
        <v>Red wine</v>
      </c>
    </row>
    <row r="200" spans="1:19" x14ac:dyDescent="0.3">
      <c r="A200" s="13">
        <v>199</v>
      </c>
      <c r="B200" s="1">
        <v>5.4</v>
      </c>
      <c r="C200" s="1">
        <v>0.83499999999999996</v>
      </c>
      <c r="D200" s="1">
        <v>0.08</v>
      </c>
      <c r="E200" s="1">
        <v>1.2</v>
      </c>
      <c r="F200" s="1">
        <v>4.5999999999999999E-2</v>
      </c>
      <c r="G200" s="1">
        <v>13</v>
      </c>
      <c r="H200" s="1">
        <v>93</v>
      </c>
      <c r="I200" s="1">
        <v>0.99239999999999995</v>
      </c>
      <c r="J200" s="1">
        <v>3.57</v>
      </c>
      <c r="K200" s="1">
        <v>0.85</v>
      </c>
      <c r="L200" s="1">
        <v>13</v>
      </c>
      <c r="M200" s="2">
        <v>7</v>
      </c>
      <c r="N200" s="2" t="str" cm="1">
        <f t="array" ref="N200">_xlfn.IFS(Table1[[#This Row],[quality]]&lt;=4,"Low",Table1[[#This Row],[quality]]&lt;=6,"Medium",Table1[[#This Row],[quality]]&gt;=7,"High")</f>
        <v>High</v>
      </c>
      <c r="O200" s="2" t="str">
        <f>IF(AND(Table1[[#This Row],[fixed acidity]]&gt;Sheet1!$C$4,Table1[[#This Row],[pH]]&lt;Sheet1!$K$4),"High","Normal")</f>
        <v>Normal</v>
      </c>
      <c r="P200" s="1">
        <f>(Table1[[#This Row],[alcohol]]*2)+(Table1[[#This Row],[sulphates]]*1.5)-(Table1[[#This Row],[volatile acidity]]*2)</f>
        <v>25.604999999999997</v>
      </c>
      <c r="Q200" s="1">
        <f>RANK(Table1[[#This Row],[Quality_score_index]],Table1[Quality_score_index],0)</f>
        <v>45</v>
      </c>
      <c r="R200" s="1">
        <f>Table1[[#This Row],[total sulfur dioxide]]-Table1[[#This Row],[free sulfur dioxide]]</f>
        <v>80</v>
      </c>
      <c r="S200" s="1" t="str">
        <f>IF(AND(Table1[[#This Row],[pH]]&gt;=3.2,Table1[[#This Row],[alcohol]]&gt;=10),"White wine","Red wine")</f>
        <v>White wine</v>
      </c>
    </row>
    <row r="201" spans="1:19" x14ac:dyDescent="0.3">
      <c r="A201" s="13">
        <v>200</v>
      </c>
      <c r="B201" s="1">
        <v>6.9</v>
      </c>
      <c r="C201" s="1">
        <v>1.0900000000000001</v>
      </c>
      <c r="D201" s="1">
        <v>0.06</v>
      </c>
      <c r="E201" s="1">
        <v>2.1</v>
      </c>
      <c r="F201" s="1">
        <v>6.0999999999999999E-2</v>
      </c>
      <c r="G201" s="1">
        <v>12</v>
      </c>
      <c r="H201" s="1">
        <v>31</v>
      </c>
      <c r="I201" s="1">
        <v>0.99480000000000002</v>
      </c>
      <c r="J201" s="1">
        <v>3.51</v>
      </c>
      <c r="K201" s="1">
        <v>0.43</v>
      </c>
      <c r="L201" s="1">
        <v>11.4</v>
      </c>
      <c r="M201" s="2">
        <v>4</v>
      </c>
      <c r="N201" s="2" t="str" cm="1">
        <f t="array" ref="N201">_xlfn.IFS(Table1[[#This Row],[quality]]&lt;=4,"Low",Table1[[#This Row],[quality]]&lt;=6,"Medium",Table1[[#This Row],[quality]]&gt;=7,"High")</f>
        <v>Low</v>
      </c>
      <c r="O201" s="2" t="str">
        <f>IF(AND(Table1[[#This Row],[fixed acidity]]&gt;Sheet1!$C$4,Table1[[#This Row],[pH]]&lt;Sheet1!$K$4),"High","Normal")</f>
        <v>Normal</v>
      </c>
      <c r="P201" s="1">
        <f>(Table1[[#This Row],[alcohol]]*2)+(Table1[[#This Row],[sulphates]]*1.5)-(Table1[[#This Row],[volatile acidity]]*2)</f>
        <v>21.265000000000001</v>
      </c>
      <c r="Q201" s="1">
        <f>RANK(Table1[[#This Row],[Quality_score_index]],Table1[Quality_score_index],0)</f>
        <v>588</v>
      </c>
      <c r="R201" s="1">
        <f>Table1[[#This Row],[total sulfur dioxide]]-Table1[[#This Row],[free sulfur dioxide]]</f>
        <v>19</v>
      </c>
      <c r="S201" s="1" t="str">
        <f>IF(AND(Table1[[#This Row],[pH]]&gt;=3.2,Table1[[#This Row],[alcohol]]&gt;=10),"White wine","Red wine")</f>
        <v>White wine</v>
      </c>
    </row>
    <row r="202" spans="1:19" x14ac:dyDescent="0.3">
      <c r="A202" s="13">
        <v>201</v>
      </c>
      <c r="B202" s="1">
        <v>9.6</v>
      </c>
      <c r="C202" s="1">
        <v>0.32</v>
      </c>
      <c r="D202" s="1">
        <v>0.47</v>
      </c>
      <c r="E202" s="1">
        <v>1.4</v>
      </c>
      <c r="F202" s="1">
        <v>5.6000000000000001E-2</v>
      </c>
      <c r="G202" s="1">
        <v>9</v>
      </c>
      <c r="H202" s="1">
        <v>24</v>
      </c>
      <c r="I202" s="1">
        <v>0.99695</v>
      </c>
      <c r="J202" s="1">
        <v>3.22</v>
      </c>
      <c r="K202" s="1">
        <v>0.82</v>
      </c>
      <c r="L202" s="1">
        <v>10.3</v>
      </c>
      <c r="M202" s="2">
        <v>7</v>
      </c>
      <c r="N202" s="2" t="str" cm="1">
        <f t="array" ref="N202">_xlfn.IFS(Table1[[#This Row],[quality]]&lt;=4,"Low",Table1[[#This Row],[quality]]&lt;=6,"Medium",Table1[[#This Row],[quality]]&gt;=7,"High")</f>
        <v>High</v>
      </c>
      <c r="O202" s="2" t="str">
        <f>IF(AND(Table1[[#This Row],[fixed acidity]]&gt;Sheet1!$C$4,Table1[[#This Row],[pH]]&lt;Sheet1!$K$4),"High","Normal")</f>
        <v>High</v>
      </c>
      <c r="P202" s="1">
        <f>(Table1[[#This Row],[alcohol]]*2)+(Table1[[#This Row],[sulphates]]*1.5)-(Table1[[#This Row],[volatile acidity]]*2)</f>
        <v>21.19</v>
      </c>
      <c r="Q202" s="1">
        <f>RANK(Table1[[#This Row],[Quality_score_index]],Table1[Quality_score_index],0)</f>
        <v>605</v>
      </c>
      <c r="R202" s="1">
        <f>Table1[[#This Row],[total sulfur dioxide]]-Table1[[#This Row],[free sulfur dioxide]]</f>
        <v>15</v>
      </c>
      <c r="S202" s="1" t="str">
        <f>IF(AND(Table1[[#This Row],[pH]]&gt;=3.2,Table1[[#This Row],[alcohol]]&gt;=10),"White wine","Red wine")</f>
        <v>White wine</v>
      </c>
    </row>
    <row r="203" spans="1:19" x14ac:dyDescent="0.3">
      <c r="A203" s="13">
        <v>202</v>
      </c>
      <c r="B203" s="1">
        <v>8.8000000000000007</v>
      </c>
      <c r="C203" s="1">
        <v>0.37</v>
      </c>
      <c r="D203" s="1">
        <v>0.48</v>
      </c>
      <c r="E203" s="1">
        <v>2.1</v>
      </c>
      <c r="F203" s="1">
        <v>9.7000000000000003E-2</v>
      </c>
      <c r="G203" s="1">
        <v>39</v>
      </c>
      <c r="H203" s="1">
        <v>145</v>
      </c>
      <c r="I203" s="1">
        <v>0.99750000000000005</v>
      </c>
      <c r="J203" s="1">
        <v>3.04</v>
      </c>
      <c r="K203" s="1">
        <v>1.03</v>
      </c>
      <c r="L203" s="1">
        <v>9.3000000000000007</v>
      </c>
      <c r="M203" s="2">
        <v>5</v>
      </c>
      <c r="N203" s="2" t="str" cm="1">
        <f t="array" ref="N203">_xlfn.IFS(Table1[[#This Row],[quality]]&lt;=4,"Low",Table1[[#This Row],[quality]]&lt;=6,"Medium",Table1[[#This Row],[quality]]&gt;=7,"High")</f>
        <v>Medium</v>
      </c>
      <c r="O203" s="2" t="str">
        <f>IF(AND(Table1[[#This Row],[fixed acidity]]&gt;Sheet1!$C$4,Table1[[#This Row],[pH]]&lt;Sheet1!$K$4),"High","Normal")</f>
        <v>High</v>
      </c>
      <c r="P203" s="1">
        <f>(Table1[[#This Row],[alcohol]]*2)+(Table1[[#This Row],[sulphates]]*1.5)-(Table1[[#This Row],[volatile acidity]]*2)</f>
        <v>19.405000000000005</v>
      </c>
      <c r="Q203" s="1">
        <f>RANK(Table1[[#This Row],[Quality_score_index]],Table1[Quality_score_index],0)</f>
        <v>1001</v>
      </c>
      <c r="R203" s="1">
        <f>Table1[[#This Row],[total sulfur dioxide]]-Table1[[#This Row],[free sulfur dioxide]]</f>
        <v>106</v>
      </c>
      <c r="S203" s="1" t="str">
        <f>IF(AND(Table1[[#This Row],[pH]]&gt;=3.2,Table1[[#This Row],[alcohol]]&gt;=10),"White wine","Red wine")</f>
        <v>Red wine</v>
      </c>
    </row>
    <row r="204" spans="1:19" x14ac:dyDescent="0.3">
      <c r="A204" s="13">
        <v>203</v>
      </c>
      <c r="B204" s="1">
        <v>6.8</v>
      </c>
      <c r="C204" s="1">
        <v>0.5</v>
      </c>
      <c r="D204" s="1">
        <v>0.11</v>
      </c>
      <c r="E204" s="1">
        <v>1.5</v>
      </c>
      <c r="F204" s="1">
        <v>7.4999999999999997E-2</v>
      </c>
      <c r="G204" s="1">
        <v>16</v>
      </c>
      <c r="H204" s="1">
        <v>49</v>
      </c>
      <c r="I204" s="1">
        <v>0.99544999999999995</v>
      </c>
      <c r="J204" s="1">
        <v>3.36</v>
      </c>
      <c r="K204" s="1">
        <v>0.79</v>
      </c>
      <c r="L204" s="1">
        <v>9.5</v>
      </c>
      <c r="M204" s="2">
        <v>5</v>
      </c>
      <c r="N204" s="2" t="str" cm="1">
        <f t="array" ref="N204">_xlfn.IFS(Table1[[#This Row],[quality]]&lt;=4,"Low",Table1[[#This Row],[quality]]&lt;=6,"Medium",Table1[[#This Row],[quality]]&gt;=7,"High")</f>
        <v>Medium</v>
      </c>
      <c r="O204" s="2" t="str">
        <f>IF(AND(Table1[[#This Row],[fixed acidity]]&gt;Sheet1!$C$4,Table1[[#This Row],[pH]]&lt;Sheet1!$K$4),"High","Normal")</f>
        <v>Normal</v>
      </c>
      <c r="P204" s="1">
        <f>(Table1[[#This Row],[alcohol]]*2)+(Table1[[#This Row],[sulphates]]*1.5)-(Table1[[#This Row],[volatile acidity]]*2)</f>
        <v>19.184999999999999</v>
      </c>
      <c r="Q204" s="1">
        <f>RANK(Table1[[#This Row],[Quality_score_index]],Table1[Quality_score_index],0)</f>
        <v>1090</v>
      </c>
      <c r="R204" s="1">
        <f>Table1[[#This Row],[total sulfur dioxide]]-Table1[[#This Row],[free sulfur dioxide]]</f>
        <v>33</v>
      </c>
      <c r="S204" s="1" t="str">
        <f>IF(AND(Table1[[#This Row],[pH]]&gt;=3.2,Table1[[#This Row],[alcohol]]&gt;=10),"White wine","Red wine")</f>
        <v>Red wine</v>
      </c>
    </row>
    <row r="205" spans="1:19" x14ac:dyDescent="0.3">
      <c r="A205" s="13">
        <v>204</v>
      </c>
      <c r="B205" s="1">
        <v>7</v>
      </c>
      <c r="C205" s="1">
        <v>0.42</v>
      </c>
      <c r="D205" s="1">
        <v>0.35</v>
      </c>
      <c r="E205" s="1">
        <v>1.6</v>
      </c>
      <c r="F205" s="1">
        <v>8.7999999999999995E-2</v>
      </c>
      <c r="G205" s="1">
        <v>16</v>
      </c>
      <c r="H205" s="1">
        <v>39</v>
      </c>
      <c r="I205" s="1">
        <v>0.99609999999999999</v>
      </c>
      <c r="J205" s="1">
        <v>3.34</v>
      </c>
      <c r="K205" s="1">
        <v>0.55000000000000004</v>
      </c>
      <c r="L205" s="1">
        <v>9.1999999999999993</v>
      </c>
      <c r="M205" s="2">
        <v>5</v>
      </c>
      <c r="N205" s="2" t="str" cm="1">
        <f t="array" ref="N205">_xlfn.IFS(Table1[[#This Row],[quality]]&lt;=4,"Low",Table1[[#This Row],[quality]]&lt;=6,"Medium",Table1[[#This Row],[quality]]&gt;=7,"High")</f>
        <v>Medium</v>
      </c>
      <c r="O205" s="2" t="str">
        <f>IF(AND(Table1[[#This Row],[fixed acidity]]&gt;Sheet1!$C$4,Table1[[#This Row],[pH]]&lt;Sheet1!$K$4),"High","Normal")</f>
        <v>Normal</v>
      </c>
      <c r="P205" s="1">
        <f>(Table1[[#This Row],[alcohol]]*2)+(Table1[[#This Row],[sulphates]]*1.5)-(Table1[[#This Row],[volatile acidity]]*2)</f>
        <v>18.384999999999998</v>
      </c>
      <c r="Q205" s="1">
        <f>RANK(Table1[[#This Row],[Quality_score_index]],Table1[Quality_score_index],0)</f>
        <v>1423</v>
      </c>
      <c r="R205" s="1">
        <f>Table1[[#This Row],[total sulfur dioxide]]-Table1[[#This Row],[free sulfur dioxide]]</f>
        <v>23</v>
      </c>
      <c r="S205" s="1" t="str">
        <f>IF(AND(Table1[[#This Row],[pH]]&gt;=3.2,Table1[[#This Row],[alcohol]]&gt;=10),"White wine","Red wine")</f>
        <v>Red wine</v>
      </c>
    </row>
    <row r="206" spans="1:19" x14ac:dyDescent="0.3">
      <c r="A206" s="13">
        <v>205</v>
      </c>
      <c r="B206" s="1">
        <v>7</v>
      </c>
      <c r="C206" s="1">
        <v>0.43</v>
      </c>
      <c r="D206" s="1">
        <v>0.36</v>
      </c>
      <c r="E206" s="1">
        <v>1.6</v>
      </c>
      <c r="F206" s="1">
        <v>8.8999999999999996E-2</v>
      </c>
      <c r="G206" s="1">
        <v>14</v>
      </c>
      <c r="H206" s="1">
        <v>37</v>
      </c>
      <c r="I206" s="1">
        <v>0.99614999999999998</v>
      </c>
      <c r="J206" s="1">
        <v>3.34</v>
      </c>
      <c r="K206" s="1">
        <v>0.56000000000000005</v>
      </c>
      <c r="L206" s="1">
        <v>9.1999999999999993</v>
      </c>
      <c r="M206" s="2">
        <v>6</v>
      </c>
      <c r="N206" s="2" t="str" cm="1">
        <f t="array" ref="N206">_xlfn.IFS(Table1[[#This Row],[quality]]&lt;=4,"Low",Table1[[#This Row],[quality]]&lt;=6,"Medium",Table1[[#This Row],[quality]]&gt;=7,"High")</f>
        <v>Medium</v>
      </c>
      <c r="O206" s="2" t="str">
        <f>IF(AND(Table1[[#This Row],[fixed acidity]]&gt;Sheet1!$C$4,Table1[[#This Row],[pH]]&lt;Sheet1!$K$4),"High","Normal")</f>
        <v>Normal</v>
      </c>
      <c r="P206" s="1">
        <f>(Table1[[#This Row],[alcohol]]*2)+(Table1[[#This Row],[sulphates]]*1.5)-(Table1[[#This Row],[volatile acidity]]*2)</f>
        <v>18.38</v>
      </c>
      <c r="Q206" s="1">
        <f>RANK(Table1[[#This Row],[Quality_score_index]],Table1[Quality_score_index],0)</f>
        <v>1424</v>
      </c>
      <c r="R206" s="1">
        <f>Table1[[#This Row],[total sulfur dioxide]]-Table1[[#This Row],[free sulfur dioxide]]</f>
        <v>23</v>
      </c>
      <c r="S206" s="1" t="str">
        <f>IF(AND(Table1[[#This Row],[pH]]&gt;=3.2,Table1[[#This Row],[alcohol]]&gt;=10),"White wine","Red wine")</f>
        <v>Red wine</v>
      </c>
    </row>
    <row r="207" spans="1:19" x14ac:dyDescent="0.3">
      <c r="A207" s="13">
        <v>206</v>
      </c>
      <c r="B207" s="1">
        <v>12.8</v>
      </c>
      <c r="C207" s="1">
        <v>0.3</v>
      </c>
      <c r="D207" s="1">
        <v>0.74</v>
      </c>
      <c r="E207" s="1">
        <v>2.6</v>
      </c>
      <c r="F207" s="1">
        <v>9.5000000000000001E-2</v>
      </c>
      <c r="G207" s="1">
        <v>9</v>
      </c>
      <c r="H207" s="1">
        <v>28</v>
      </c>
      <c r="I207" s="1">
        <v>0.99939999999999996</v>
      </c>
      <c r="J207" s="1">
        <v>3.2</v>
      </c>
      <c r="K207" s="1">
        <v>0.77</v>
      </c>
      <c r="L207" s="1">
        <v>10.8</v>
      </c>
      <c r="M207" s="2">
        <v>7</v>
      </c>
      <c r="N207" s="2" t="str" cm="1">
        <f t="array" ref="N207">_xlfn.IFS(Table1[[#This Row],[quality]]&lt;=4,"Low",Table1[[#This Row],[quality]]&lt;=6,"Medium",Table1[[#This Row],[quality]]&gt;=7,"High")</f>
        <v>High</v>
      </c>
      <c r="O207" s="2" t="str">
        <f>IF(AND(Table1[[#This Row],[fixed acidity]]&gt;Sheet1!$C$4,Table1[[#This Row],[pH]]&lt;Sheet1!$K$4),"High","Normal")</f>
        <v>High</v>
      </c>
      <c r="P207" s="1">
        <f>(Table1[[#This Row],[alcohol]]*2)+(Table1[[#This Row],[sulphates]]*1.5)-(Table1[[#This Row],[volatile acidity]]*2)</f>
        <v>22.155000000000001</v>
      </c>
      <c r="Q207" s="1">
        <f>RANK(Table1[[#This Row],[Quality_score_index]],Table1[Quality_score_index],0)</f>
        <v>426</v>
      </c>
      <c r="R207" s="1">
        <f>Table1[[#This Row],[total sulfur dioxide]]-Table1[[#This Row],[free sulfur dioxide]]</f>
        <v>19</v>
      </c>
      <c r="S207" s="1" t="str">
        <f>IF(AND(Table1[[#This Row],[pH]]&gt;=3.2,Table1[[#This Row],[alcohol]]&gt;=10),"White wine","Red wine")</f>
        <v>White wine</v>
      </c>
    </row>
    <row r="208" spans="1:19" x14ac:dyDescent="0.3">
      <c r="A208" s="13">
        <v>207</v>
      </c>
      <c r="B208" s="1">
        <v>12.8</v>
      </c>
      <c r="C208" s="1">
        <v>0.3</v>
      </c>
      <c r="D208" s="1">
        <v>0.74</v>
      </c>
      <c r="E208" s="1">
        <v>2.6</v>
      </c>
      <c r="F208" s="1">
        <v>9.5000000000000001E-2</v>
      </c>
      <c r="G208" s="1">
        <v>9</v>
      </c>
      <c r="H208" s="1">
        <v>28</v>
      </c>
      <c r="I208" s="1">
        <v>0.99939999999999996</v>
      </c>
      <c r="J208" s="1">
        <v>3.2</v>
      </c>
      <c r="K208" s="1">
        <v>0.77</v>
      </c>
      <c r="L208" s="1">
        <v>10.8</v>
      </c>
      <c r="M208" s="2">
        <v>7</v>
      </c>
      <c r="N208" s="2" t="str" cm="1">
        <f t="array" ref="N208">_xlfn.IFS(Table1[[#This Row],[quality]]&lt;=4,"Low",Table1[[#This Row],[quality]]&lt;=6,"Medium",Table1[[#This Row],[quality]]&gt;=7,"High")</f>
        <v>High</v>
      </c>
      <c r="O208" s="2" t="str">
        <f>IF(AND(Table1[[#This Row],[fixed acidity]]&gt;Sheet1!$C$4,Table1[[#This Row],[pH]]&lt;Sheet1!$K$4),"High","Normal")</f>
        <v>High</v>
      </c>
      <c r="P208" s="1">
        <f>(Table1[[#This Row],[alcohol]]*2)+(Table1[[#This Row],[sulphates]]*1.5)-(Table1[[#This Row],[volatile acidity]]*2)</f>
        <v>22.155000000000001</v>
      </c>
      <c r="Q208" s="1">
        <f>RANK(Table1[[#This Row],[Quality_score_index]],Table1[Quality_score_index],0)</f>
        <v>426</v>
      </c>
      <c r="R208" s="1">
        <f>Table1[[#This Row],[total sulfur dioxide]]-Table1[[#This Row],[free sulfur dioxide]]</f>
        <v>19</v>
      </c>
      <c r="S208" s="1" t="str">
        <f>IF(AND(Table1[[#This Row],[pH]]&gt;=3.2,Table1[[#This Row],[alcohol]]&gt;=10),"White wine","Red wine")</f>
        <v>White wine</v>
      </c>
    </row>
    <row r="209" spans="1:19" x14ac:dyDescent="0.3">
      <c r="A209" s="13">
        <v>208</v>
      </c>
      <c r="B209" s="1">
        <v>7.8</v>
      </c>
      <c r="C209" s="1">
        <v>0.56999999999999995</v>
      </c>
      <c r="D209" s="1">
        <v>0.31</v>
      </c>
      <c r="E209" s="1">
        <v>1.8</v>
      </c>
      <c r="F209" s="1">
        <v>6.9000000000000006E-2</v>
      </c>
      <c r="G209" s="1">
        <v>26</v>
      </c>
      <c r="H209" s="1">
        <v>120</v>
      </c>
      <c r="I209" s="1">
        <v>0.99624999999999997</v>
      </c>
      <c r="J209" s="1">
        <v>3.29</v>
      </c>
      <c r="K209" s="1">
        <v>0.53</v>
      </c>
      <c r="L209" s="1">
        <v>9.3000000000000007</v>
      </c>
      <c r="M209" s="2">
        <v>5</v>
      </c>
      <c r="N209" s="2" t="str" cm="1">
        <f t="array" ref="N209">_xlfn.IFS(Table1[[#This Row],[quality]]&lt;=4,"Low",Table1[[#This Row],[quality]]&lt;=6,"Medium",Table1[[#This Row],[quality]]&gt;=7,"High")</f>
        <v>Medium</v>
      </c>
      <c r="O209" s="2" t="str">
        <f>IF(AND(Table1[[#This Row],[fixed acidity]]&gt;Sheet1!$C$4,Table1[[#This Row],[pH]]&lt;Sheet1!$K$4),"High","Normal")</f>
        <v>Normal</v>
      </c>
      <c r="P209" s="1">
        <f>(Table1[[#This Row],[alcohol]]*2)+(Table1[[#This Row],[sulphates]]*1.5)-(Table1[[#This Row],[volatile acidity]]*2)</f>
        <v>18.255000000000003</v>
      </c>
      <c r="Q209" s="1">
        <f>RANK(Table1[[#This Row],[Quality_score_index]],Table1[Quality_score_index],0)</f>
        <v>1464</v>
      </c>
      <c r="R209" s="1">
        <f>Table1[[#This Row],[total sulfur dioxide]]-Table1[[#This Row],[free sulfur dioxide]]</f>
        <v>94</v>
      </c>
      <c r="S209" s="1" t="str">
        <f>IF(AND(Table1[[#This Row],[pH]]&gt;=3.2,Table1[[#This Row],[alcohol]]&gt;=10),"White wine","Red wine")</f>
        <v>Red wine</v>
      </c>
    </row>
    <row r="210" spans="1:19" x14ac:dyDescent="0.3">
      <c r="A210" s="13">
        <v>209</v>
      </c>
      <c r="B210" s="1">
        <v>7.8</v>
      </c>
      <c r="C210" s="1">
        <v>0.44</v>
      </c>
      <c r="D210" s="1">
        <v>0.28000000000000003</v>
      </c>
      <c r="E210" s="1">
        <v>2.7</v>
      </c>
      <c r="F210" s="1">
        <v>0.1</v>
      </c>
      <c r="G210" s="1">
        <v>18</v>
      </c>
      <c r="H210" s="1">
        <v>95</v>
      </c>
      <c r="I210" s="1">
        <v>0.99660000000000004</v>
      </c>
      <c r="J210" s="1">
        <v>3.22</v>
      </c>
      <c r="K210" s="1">
        <v>0.67</v>
      </c>
      <c r="L210" s="1">
        <v>9.4</v>
      </c>
      <c r="M210" s="2">
        <v>5</v>
      </c>
      <c r="N210" s="2" t="str" cm="1">
        <f t="array" ref="N210">_xlfn.IFS(Table1[[#This Row],[quality]]&lt;=4,"Low",Table1[[#This Row],[quality]]&lt;=6,"Medium",Table1[[#This Row],[quality]]&gt;=7,"High")</f>
        <v>Medium</v>
      </c>
      <c r="O210" s="2" t="str">
        <f>IF(AND(Table1[[#This Row],[fixed acidity]]&gt;Sheet1!$C$4,Table1[[#This Row],[pH]]&lt;Sheet1!$K$4),"High","Normal")</f>
        <v>Normal</v>
      </c>
      <c r="P210" s="1">
        <f>(Table1[[#This Row],[alcohol]]*2)+(Table1[[#This Row],[sulphates]]*1.5)-(Table1[[#This Row],[volatile acidity]]*2)</f>
        <v>18.925000000000001</v>
      </c>
      <c r="Q210" s="1">
        <f>RANK(Table1[[#This Row],[Quality_score_index]],Table1[Quality_score_index],0)</f>
        <v>1193</v>
      </c>
      <c r="R210" s="1">
        <f>Table1[[#This Row],[total sulfur dioxide]]-Table1[[#This Row],[free sulfur dioxide]]</f>
        <v>77</v>
      </c>
      <c r="S210" s="1" t="str">
        <f>IF(AND(Table1[[#This Row],[pH]]&gt;=3.2,Table1[[#This Row],[alcohol]]&gt;=10),"White wine","Red wine")</f>
        <v>Red wine</v>
      </c>
    </row>
    <row r="211" spans="1:19" x14ac:dyDescent="0.3">
      <c r="A211" s="13">
        <v>210</v>
      </c>
      <c r="B211" s="1">
        <v>11</v>
      </c>
      <c r="C211" s="1">
        <v>0.3</v>
      </c>
      <c r="D211" s="1">
        <v>0.57999999999999996</v>
      </c>
      <c r="E211" s="1">
        <v>2.1</v>
      </c>
      <c r="F211" s="1">
        <v>5.3999999999999999E-2</v>
      </c>
      <c r="G211" s="1">
        <v>7</v>
      </c>
      <c r="H211" s="1">
        <v>19</v>
      </c>
      <c r="I211" s="1">
        <v>0.998</v>
      </c>
      <c r="J211" s="1">
        <v>3.31</v>
      </c>
      <c r="K211" s="1">
        <v>0.88</v>
      </c>
      <c r="L211" s="1">
        <v>10.5</v>
      </c>
      <c r="M211" s="2">
        <v>7</v>
      </c>
      <c r="N211" s="2" t="str" cm="1">
        <f t="array" ref="N211">_xlfn.IFS(Table1[[#This Row],[quality]]&lt;=4,"Low",Table1[[#This Row],[quality]]&lt;=6,"Medium",Table1[[#This Row],[quality]]&gt;=7,"High")</f>
        <v>High</v>
      </c>
      <c r="O211" s="2" t="str">
        <f>IF(AND(Table1[[#This Row],[fixed acidity]]&gt;Sheet1!$C$4,Table1[[#This Row],[pH]]&lt;Sheet1!$K$4),"High","Normal")</f>
        <v>High</v>
      </c>
      <c r="P211" s="1">
        <f>(Table1[[#This Row],[alcohol]]*2)+(Table1[[#This Row],[sulphates]]*1.5)-(Table1[[#This Row],[volatile acidity]]*2)</f>
        <v>21.72</v>
      </c>
      <c r="Q211" s="1">
        <f>RANK(Table1[[#This Row],[Quality_score_index]],Table1[Quality_score_index],0)</f>
        <v>502</v>
      </c>
      <c r="R211" s="1">
        <f>Table1[[#This Row],[total sulfur dioxide]]-Table1[[#This Row],[free sulfur dioxide]]</f>
        <v>12</v>
      </c>
      <c r="S211" s="1" t="str">
        <f>IF(AND(Table1[[#This Row],[pH]]&gt;=3.2,Table1[[#This Row],[alcohol]]&gt;=10),"White wine","Red wine")</f>
        <v>White wine</v>
      </c>
    </row>
    <row r="212" spans="1:19" x14ac:dyDescent="0.3">
      <c r="A212" s="13">
        <v>211</v>
      </c>
      <c r="B212" s="1">
        <v>9.6999999999999993</v>
      </c>
      <c r="C212" s="1">
        <v>0.53</v>
      </c>
      <c r="D212" s="1">
        <v>0.6</v>
      </c>
      <c r="E212" s="1">
        <v>2</v>
      </c>
      <c r="F212" s="1">
        <v>3.9E-2</v>
      </c>
      <c r="G212" s="1">
        <v>5</v>
      </c>
      <c r="H212" s="1">
        <v>19</v>
      </c>
      <c r="I212" s="1">
        <v>0.99585000000000001</v>
      </c>
      <c r="J212" s="1">
        <v>3.3</v>
      </c>
      <c r="K212" s="1">
        <v>0.86</v>
      </c>
      <c r="L212" s="1">
        <v>12.4</v>
      </c>
      <c r="M212" s="2">
        <v>6</v>
      </c>
      <c r="N212" s="2" t="str" cm="1">
        <f t="array" ref="N212">_xlfn.IFS(Table1[[#This Row],[quality]]&lt;=4,"Low",Table1[[#This Row],[quality]]&lt;=6,"Medium",Table1[[#This Row],[quality]]&gt;=7,"High")</f>
        <v>Medium</v>
      </c>
      <c r="O212" s="2" t="str">
        <f>IF(AND(Table1[[#This Row],[fixed acidity]]&gt;Sheet1!$C$4,Table1[[#This Row],[pH]]&lt;Sheet1!$K$4),"High","Normal")</f>
        <v>High</v>
      </c>
      <c r="P212" s="1">
        <f>(Table1[[#This Row],[alcohol]]*2)+(Table1[[#This Row],[sulphates]]*1.5)-(Table1[[#This Row],[volatile acidity]]*2)</f>
        <v>25.03</v>
      </c>
      <c r="Q212" s="1">
        <f>RANK(Table1[[#This Row],[Quality_score_index]],Table1[Quality_score_index],0)</f>
        <v>92</v>
      </c>
      <c r="R212" s="1">
        <f>Table1[[#This Row],[total sulfur dioxide]]-Table1[[#This Row],[free sulfur dioxide]]</f>
        <v>14</v>
      </c>
      <c r="S212" s="1" t="str">
        <f>IF(AND(Table1[[#This Row],[pH]]&gt;=3.2,Table1[[#This Row],[alcohol]]&gt;=10),"White wine","Red wine")</f>
        <v>White wine</v>
      </c>
    </row>
    <row r="213" spans="1:19" x14ac:dyDescent="0.3">
      <c r="A213" s="13">
        <v>212</v>
      </c>
      <c r="B213" s="1">
        <v>8</v>
      </c>
      <c r="C213" s="1">
        <v>0.72499999999999998</v>
      </c>
      <c r="D213" s="1">
        <v>0.24</v>
      </c>
      <c r="E213" s="1">
        <v>2.8</v>
      </c>
      <c r="F213" s="1">
        <v>8.3000000000000004E-2</v>
      </c>
      <c r="G213" s="1">
        <v>10</v>
      </c>
      <c r="H213" s="1">
        <v>62</v>
      </c>
      <c r="I213" s="1">
        <v>0.99685000000000001</v>
      </c>
      <c r="J213" s="1">
        <v>3.35</v>
      </c>
      <c r="K213" s="1">
        <v>0.56000000000000005</v>
      </c>
      <c r="L213" s="1">
        <v>10</v>
      </c>
      <c r="M213" s="2">
        <v>6</v>
      </c>
      <c r="N213" s="2" t="str" cm="1">
        <f t="array" ref="N213">_xlfn.IFS(Table1[[#This Row],[quality]]&lt;=4,"Low",Table1[[#This Row],[quality]]&lt;=6,"Medium",Table1[[#This Row],[quality]]&gt;=7,"High")</f>
        <v>Medium</v>
      </c>
      <c r="O213" s="2" t="str">
        <f>IF(AND(Table1[[#This Row],[fixed acidity]]&gt;Sheet1!$C$4,Table1[[#This Row],[pH]]&lt;Sheet1!$K$4),"High","Normal")</f>
        <v>Normal</v>
      </c>
      <c r="P213" s="1">
        <f>(Table1[[#This Row],[alcohol]]*2)+(Table1[[#This Row],[sulphates]]*1.5)-(Table1[[#This Row],[volatile acidity]]*2)</f>
        <v>19.39</v>
      </c>
      <c r="Q213" s="1">
        <f>RANK(Table1[[#This Row],[Quality_score_index]],Table1[Quality_score_index],0)</f>
        <v>1008</v>
      </c>
      <c r="R213" s="1">
        <f>Table1[[#This Row],[total sulfur dioxide]]-Table1[[#This Row],[free sulfur dioxide]]</f>
        <v>52</v>
      </c>
      <c r="S213" s="1" t="str">
        <f>IF(AND(Table1[[#This Row],[pH]]&gt;=3.2,Table1[[#This Row],[alcohol]]&gt;=10),"White wine","Red wine")</f>
        <v>White wine</v>
      </c>
    </row>
    <row r="214" spans="1:19" x14ac:dyDescent="0.3">
      <c r="A214" s="13">
        <v>213</v>
      </c>
      <c r="B214" s="1">
        <v>11.6</v>
      </c>
      <c r="C214" s="1">
        <v>0.44</v>
      </c>
      <c r="D214" s="1">
        <v>0.64</v>
      </c>
      <c r="E214" s="1">
        <v>2.1</v>
      </c>
      <c r="F214" s="1">
        <v>5.8999999999999997E-2</v>
      </c>
      <c r="G214" s="1">
        <v>5</v>
      </c>
      <c r="H214" s="1">
        <v>15</v>
      </c>
      <c r="I214" s="1">
        <v>0.998</v>
      </c>
      <c r="J214" s="1">
        <v>3.21</v>
      </c>
      <c r="K214" s="1">
        <v>0.67</v>
      </c>
      <c r="L214" s="1">
        <v>10.199999999999999</v>
      </c>
      <c r="M214" s="2">
        <v>6</v>
      </c>
      <c r="N214" s="2" t="str" cm="1">
        <f t="array" ref="N214">_xlfn.IFS(Table1[[#This Row],[quality]]&lt;=4,"Low",Table1[[#This Row],[quality]]&lt;=6,"Medium",Table1[[#This Row],[quality]]&gt;=7,"High")</f>
        <v>Medium</v>
      </c>
      <c r="O214" s="2" t="str">
        <f>IF(AND(Table1[[#This Row],[fixed acidity]]&gt;Sheet1!$C$4,Table1[[#This Row],[pH]]&lt;Sheet1!$K$4),"High","Normal")</f>
        <v>High</v>
      </c>
      <c r="P214" s="1">
        <f>(Table1[[#This Row],[alcohol]]*2)+(Table1[[#This Row],[sulphates]]*1.5)-(Table1[[#This Row],[volatile acidity]]*2)</f>
        <v>20.524999999999999</v>
      </c>
      <c r="Q214" s="1">
        <f>RANK(Table1[[#This Row],[Quality_score_index]],Table1[Quality_score_index],0)</f>
        <v>753</v>
      </c>
      <c r="R214" s="1">
        <f>Table1[[#This Row],[total sulfur dioxide]]-Table1[[#This Row],[free sulfur dioxide]]</f>
        <v>10</v>
      </c>
      <c r="S214" s="1" t="str">
        <f>IF(AND(Table1[[#This Row],[pH]]&gt;=3.2,Table1[[#This Row],[alcohol]]&gt;=10),"White wine","Red wine")</f>
        <v>White wine</v>
      </c>
    </row>
    <row r="215" spans="1:19" x14ac:dyDescent="0.3">
      <c r="A215" s="13">
        <v>214</v>
      </c>
      <c r="B215" s="1">
        <v>8.1999999999999993</v>
      </c>
      <c r="C215" s="1">
        <v>0.56999999999999995</v>
      </c>
      <c r="D215" s="1">
        <v>0.26</v>
      </c>
      <c r="E215" s="1">
        <v>2.2000000000000002</v>
      </c>
      <c r="F215" s="1">
        <v>0.06</v>
      </c>
      <c r="G215" s="1">
        <v>28</v>
      </c>
      <c r="H215" s="1">
        <v>65</v>
      </c>
      <c r="I215" s="1">
        <v>0.99590000000000001</v>
      </c>
      <c r="J215" s="1">
        <v>3.3</v>
      </c>
      <c r="K215" s="1">
        <v>0.43</v>
      </c>
      <c r="L215" s="1">
        <v>10.1</v>
      </c>
      <c r="M215" s="2">
        <v>5</v>
      </c>
      <c r="N215" s="2" t="str" cm="1">
        <f t="array" ref="N215">_xlfn.IFS(Table1[[#This Row],[quality]]&lt;=4,"Low",Table1[[#This Row],[quality]]&lt;=6,"Medium",Table1[[#This Row],[quality]]&gt;=7,"High")</f>
        <v>Medium</v>
      </c>
      <c r="O215" s="2" t="str">
        <f>IF(AND(Table1[[#This Row],[fixed acidity]]&gt;Sheet1!$C$4,Table1[[#This Row],[pH]]&lt;Sheet1!$K$4),"High","Normal")</f>
        <v>Normal</v>
      </c>
      <c r="P215" s="1">
        <f>(Table1[[#This Row],[alcohol]]*2)+(Table1[[#This Row],[sulphates]]*1.5)-(Table1[[#This Row],[volatile acidity]]*2)</f>
        <v>19.704999999999998</v>
      </c>
      <c r="Q215" s="1">
        <f>RANK(Table1[[#This Row],[Quality_score_index]],Table1[Quality_score_index],0)</f>
        <v>927</v>
      </c>
      <c r="R215" s="1">
        <f>Table1[[#This Row],[total sulfur dioxide]]-Table1[[#This Row],[free sulfur dioxide]]</f>
        <v>37</v>
      </c>
      <c r="S215" s="1" t="str">
        <f>IF(AND(Table1[[#This Row],[pH]]&gt;=3.2,Table1[[#This Row],[alcohol]]&gt;=10),"White wine","Red wine")</f>
        <v>White wine</v>
      </c>
    </row>
    <row r="216" spans="1:19" x14ac:dyDescent="0.3">
      <c r="A216" s="13">
        <v>215</v>
      </c>
      <c r="B216" s="1">
        <v>7.8</v>
      </c>
      <c r="C216" s="1">
        <v>0.73499999999999999</v>
      </c>
      <c r="D216" s="1">
        <v>0.08</v>
      </c>
      <c r="E216" s="1">
        <v>2.4</v>
      </c>
      <c r="F216" s="1">
        <v>9.1999999999999998E-2</v>
      </c>
      <c r="G216" s="1">
        <v>10</v>
      </c>
      <c r="H216" s="1">
        <v>41</v>
      </c>
      <c r="I216" s="1">
        <v>0.99739999999999995</v>
      </c>
      <c r="J216" s="1">
        <v>3.24</v>
      </c>
      <c r="K216" s="1">
        <v>0.71</v>
      </c>
      <c r="L216" s="1">
        <v>9.8000000000000007</v>
      </c>
      <c r="M216" s="2">
        <v>6</v>
      </c>
      <c r="N216" s="2" t="str" cm="1">
        <f t="array" ref="N216">_xlfn.IFS(Table1[[#This Row],[quality]]&lt;=4,"Low",Table1[[#This Row],[quality]]&lt;=6,"Medium",Table1[[#This Row],[quality]]&gt;=7,"High")</f>
        <v>Medium</v>
      </c>
      <c r="O216" s="2" t="str">
        <f>IF(AND(Table1[[#This Row],[fixed acidity]]&gt;Sheet1!$C$4,Table1[[#This Row],[pH]]&lt;Sheet1!$K$4),"High","Normal")</f>
        <v>Normal</v>
      </c>
      <c r="P216" s="1">
        <f>(Table1[[#This Row],[alcohol]]*2)+(Table1[[#This Row],[sulphates]]*1.5)-(Table1[[#This Row],[volatile acidity]]*2)</f>
        <v>19.195000000000004</v>
      </c>
      <c r="Q216" s="1">
        <f>RANK(Table1[[#This Row],[Quality_score_index]],Table1[Quality_score_index],0)</f>
        <v>1083</v>
      </c>
      <c r="R216" s="1">
        <f>Table1[[#This Row],[total sulfur dioxide]]-Table1[[#This Row],[free sulfur dioxide]]</f>
        <v>31</v>
      </c>
      <c r="S216" s="1" t="str">
        <f>IF(AND(Table1[[#This Row],[pH]]&gt;=3.2,Table1[[#This Row],[alcohol]]&gt;=10),"White wine","Red wine")</f>
        <v>Red wine</v>
      </c>
    </row>
    <row r="217" spans="1:19" x14ac:dyDescent="0.3">
      <c r="A217" s="13">
        <v>216</v>
      </c>
      <c r="B217" s="1">
        <v>7</v>
      </c>
      <c r="C217" s="1">
        <v>0.49</v>
      </c>
      <c r="D217" s="1">
        <v>0.49</v>
      </c>
      <c r="E217" s="1">
        <v>5.6</v>
      </c>
      <c r="F217" s="1">
        <v>0.06</v>
      </c>
      <c r="G217" s="1">
        <v>26</v>
      </c>
      <c r="H217" s="1">
        <v>121</v>
      </c>
      <c r="I217" s="1">
        <v>0.99739999999999995</v>
      </c>
      <c r="J217" s="1">
        <v>3.34</v>
      </c>
      <c r="K217" s="1">
        <v>0.76</v>
      </c>
      <c r="L217" s="1">
        <v>10.5</v>
      </c>
      <c r="M217" s="2">
        <v>5</v>
      </c>
      <c r="N217" s="2" t="str" cm="1">
        <f t="array" ref="N217">_xlfn.IFS(Table1[[#This Row],[quality]]&lt;=4,"Low",Table1[[#This Row],[quality]]&lt;=6,"Medium",Table1[[#This Row],[quality]]&gt;=7,"High")</f>
        <v>Medium</v>
      </c>
      <c r="O217" s="2" t="str">
        <f>IF(AND(Table1[[#This Row],[fixed acidity]]&gt;Sheet1!$C$4,Table1[[#This Row],[pH]]&lt;Sheet1!$K$4),"High","Normal")</f>
        <v>Normal</v>
      </c>
      <c r="P217" s="1">
        <f>(Table1[[#This Row],[alcohol]]*2)+(Table1[[#This Row],[sulphates]]*1.5)-(Table1[[#This Row],[volatile acidity]]*2)</f>
        <v>21.16</v>
      </c>
      <c r="Q217" s="1">
        <f>RANK(Table1[[#This Row],[Quality_score_index]],Table1[Quality_score_index],0)</f>
        <v>624</v>
      </c>
      <c r="R217" s="1">
        <f>Table1[[#This Row],[total sulfur dioxide]]-Table1[[#This Row],[free sulfur dioxide]]</f>
        <v>95</v>
      </c>
      <c r="S217" s="1" t="str">
        <f>IF(AND(Table1[[#This Row],[pH]]&gt;=3.2,Table1[[#This Row],[alcohol]]&gt;=10),"White wine","Red wine")</f>
        <v>White wine</v>
      </c>
    </row>
    <row r="218" spans="1:19" x14ac:dyDescent="0.3">
      <c r="A218" s="13">
        <v>217</v>
      </c>
      <c r="B218" s="1">
        <v>8.6999999999999993</v>
      </c>
      <c r="C218" s="1">
        <v>0.625</v>
      </c>
      <c r="D218" s="1">
        <v>0.16</v>
      </c>
      <c r="E218" s="1">
        <v>2</v>
      </c>
      <c r="F218" s="1">
        <v>0.10100000000000001</v>
      </c>
      <c r="G218" s="1">
        <v>13</v>
      </c>
      <c r="H218" s="1">
        <v>49</v>
      </c>
      <c r="I218" s="1">
        <v>0.99619999999999997</v>
      </c>
      <c r="J218" s="1">
        <v>3.14</v>
      </c>
      <c r="K218" s="1">
        <v>0.56999999999999995</v>
      </c>
      <c r="L218" s="1">
        <v>11</v>
      </c>
      <c r="M218" s="2">
        <v>5</v>
      </c>
      <c r="N218" s="2" t="str" cm="1">
        <f t="array" ref="N218">_xlfn.IFS(Table1[[#This Row],[quality]]&lt;=4,"Low",Table1[[#This Row],[quality]]&lt;=6,"Medium",Table1[[#This Row],[quality]]&gt;=7,"High")</f>
        <v>Medium</v>
      </c>
      <c r="O218" s="2" t="str">
        <f>IF(AND(Table1[[#This Row],[fixed acidity]]&gt;Sheet1!$C$4,Table1[[#This Row],[pH]]&lt;Sheet1!$K$4),"High","Normal")</f>
        <v>High</v>
      </c>
      <c r="P218" s="1">
        <f>(Table1[[#This Row],[alcohol]]*2)+(Table1[[#This Row],[sulphates]]*1.5)-(Table1[[#This Row],[volatile acidity]]*2)</f>
        <v>21.605</v>
      </c>
      <c r="Q218" s="1">
        <f>RANK(Table1[[#This Row],[Quality_score_index]],Table1[Quality_score_index],0)</f>
        <v>524</v>
      </c>
      <c r="R218" s="1">
        <f>Table1[[#This Row],[total sulfur dioxide]]-Table1[[#This Row],[free sulfur dioxide]]</f>
        <v>36</v>
      </c>
      <c r="S218" s="1" t="str">
        <f>IF(AND(Table1[[#This Row],[pH]]&gt;=3.2,Table1[[#This Row],[alcohol]]&gt;=10),"White wine","Red wine")</f>
        <v>Red wine</v>
      </c>
    </row>
    <row r="219" spans="1:19" x14ac:dyDescent="0.3">
      <c r="A219" s="13">
        <v>218</v>
      </c>
      <c r="B219" s="1">
        <v>8.1</v>
      </c>
      <c r="C219" s="1">
        <v>0.72499999999999998</v>
      </c>
      <c r="D219" s="1">
        <v>0.22</v>
      </c>
      <c r="E219" s="1">
        <v>2.2000000000000002</v>
      </c>
      <c r="F219" s="1">
        <v>7.1999999999999995E-2</v>
      </c>
      <c r="G219" s="1">
        <v>11</v>
      </c>
      <c r="H219" s="1">
        <v>41</v>
      </c>
      <c r="I219" s="1">
        <v>0.99670000000000003</v>
      </c>
      <c r="J219" s="1">
        <v>3.36</v>
      </c>
      <c r="K219" s="1">
        <v>0.55000000000000004</v>
      </c>
      <c r="L219" s="1">
        <v>9.1</v>
      </c>
      <c r="M219" s="2">
        <v>5</v>
      </c>
      <c r="N219" s="2" t="str" cm="1">
        <f t="array" ref="N219">_xlfn.IFS(Table1[[#This Row],[quality]]&lt;=4,"Low",Table1[[#This Row],[quality]]&lt;=6,"Medium",Table1[[#This Row],[quality]]&gt;=7,"High")</f>
        <v>Medium</v>
      </c>
      <c r="O219" s="2" t="str">
        <f>IF(AND(Table1[[#This Row],[fixed acidity]]&gt;Sheet1!$C$4,Table1[[#This Row],[pH]]&lt;Sheet1!$K$4),"High","Normal")</f>
        <v>Normal</v>
      </c>
      <c r="P219" s="1">
        <f>(Table1[[#This Row],[alcohol]]*2)+(Table1[[#This Row],[sulphates]]*1.5)-(Table1[[#This Row],[volatile acidity]]*2)</f>
        <v>17.574999999999999</v>
      </c>
      <c r="Q219" s="1">
        <f>RANK(Table1[[#This Row],[Quality_score_index]],Table1[Quality_score_index],0)</f>
        <v>1580</v>
      </c>
      <c r="R219" s="1">
        <f>Table1[[#This Row],[total sulfur dioxide]]-Table1[[#This Row],[free sulfur dioxide]]</f>
        <v>30</v>
      </c>
      <c r="S219" s="1" t="str">
        <f>IF(AND(Table1[[#This Row],[pH]]&gt;=3.2,Table1[[#This Row],[alcohol]]&gt;=10),"White wine","Red wine")</f>
        <v>Red wine</v>
      </c>
    </row>
    <row r="220" spans="1:19" x14ac:dyDescent="0.3">
      <c r="A220" s="13">
        <v>219</v>
      </c>
      <c r="B220" s="1">
        <v>7.5</v>
      </c>
      <c r="C220" s="1">
        <v>0.49</v>
      </c>
      <c r="D220" s="1">
        <v>0.19</v>
      </c>
      <c r="E220" s="1">
        <v>1.9</v>
      </c>
      <c r="F220" s="1">
        <v>7.5999999999999998E-2</v>
      </c>
      <c r="G220" s="1">
        <v>10</v>
      </c>
      <c r="H220" s="1">
        <v>44</v>
      </c>
      <c r="I220" s="1">
        <v>0.99570000000000003</v>
      </c>
      <c r="J220" s="1">
        <v>3.39</v>
      </c>
      <c r="K220" s="1">
        <v>0.54</v>
      </c>
      <c r="L220" s="1">
        <v>9.6999999999999993</v>
      </c>
      <c r="M220" s="2">
        <v>5</v>
      </c>
      <c r="N220" s="2" t="str" cm="1">
        <f t="array" ref="N220">_xlfn.IFS(Table1[[#This Row],[quality]]&lt;=4,"Low",Table1[[#This Row],[quality]]&lt;=6,"Medium",Table1[[#This Row],[quality]]&gt;=7,"High")</f>
        <v>Medium</v>
      </c>
      <c r="O220" s="2" t="str">
        <f>IF(AND(Table1[[#This Row],[fixed acidity]]&gt;Sheet1!$C$4,Table1[[#This Row],[pH]]&lt;Sheet1!$K$4),"High","Normal")</f>
        <v>Normal</v>
      </c>
      <c r="P220" s="1">
        <f>(Table1[[#This Row],[alcohol]]*2)+(Table1[[#This Row],[sulphates]]*1.5)-(Table1[[#This Row],[volatile acidity]]*2)</f>
        <v>19.229999999999997</v>
      </c>
      <c r="Q220" s="1">
        <f>RANK(Table1[[#This Row],[Quality_score_index]],Table1[Quality_score_index],0)</f>
        <v>1070</v>
      </c>
      <c r="R220" s="1">
        <f>Table1[[#This Row],[total sulfur dioxide]]-Table1[[#This Row],[free sulfur dioxide]]</f>
        <v>34</v>
      </c>
      <c r="S220" s="1" t="str">
        <f>IF(AND(Table1[[#This Row],[pH]]&gt;=3.2,Table1[[#This Row],[alcohol]]&gt;=10),"White wine","Red wine")</f>
        <v>Red wine</v>
      </c>
    </row>
    <row r="221" spans="1:19" x14ac:dyDescent="0.3">
      <c r="A221" s="13">
        <v>220</v>
      </c>
      <c r="B221" s="1">
        <v>7.8</v>
      </c>
      <c r="C221" s="1">
        <v>0.53</v>
      </c>
      <c r="D221" s="1">
        <v>0.33</v>
      </c>
      <c r="E221" s="1">
        <v>2.4</v>
      </c>
      <c r="F221" s="1">
        <v>0.08</v>
      </c>
      <c r="G221" s="1">
        <v>24</v>
      </c>
      <c r="H221" s="1">
        <v>144</v>
      </c>
      <c r="I221" s="1">
        <v>0.99655000000000005</v>
      </c>
      <c r="J221" s="1">
        <v>3.3</v>
      </c>
      <c r="K221" s="1">
        <v>0.6</v>
      </c>
      <c r="L221" s="1">
        <v>9.5</v>
      </c>
      <c r="M221" s="2">
        <v>5</v>
      </c>
      <c r="N221" s="2" t="str" cm="1">
        <f t="array" ref="N221">_xlfn.IFS(Table1[[#This Row],[quality]]&lt;=4,"Low",Table1[[#This Row],[quality]]&lt;=6,"Medium",Table1[[#This Row],[quality]]&gt;=7,"High")</f>
        <v>Medium</v>
      </c>
      <c r="O221" s="2" t="str">
        <f>IF(AND(Table1[[#This Row],[fixed acidity]]&gt;Sheet1!$C$4,Table1[[#This Row],[pH]]&lt;Sheet1!$K$4),"High","Normal")</f>
        <v>Normal</v>
      </c>
      <c r="P221" s="1">
        <f>(Table1[[#This Row],[alcohol]]*2)+(Table1[[#This Row],[sulphates]]*1.5)-(Table1[[#This Row],[volatile acidity]]*2)</f>
        <v>18.84</v>
      </c>
      <c r="Q221" s="1">
        <f>RANK(Table1[[#This Row],[Quality_score_index]],Table1[Quality_score_index],0)</f>
        <v>1229</v>
      </c>
      <c r="R221" s="1">
        <f>Table1[[#This Row],[total sulfur dioxide]]-Table1[[#This Row],[free sulfur dioxide]]</f>
        <v>120</v>
      </c>
      <c r="S221" s="1" t="str">
        <f>IF(AND(Table1[[#This Row],[pH]]&gt;=3.2,Table1[[#This Row],[alcohol]]&gt;=10),"White wine","Red wine")</f>
        <v>Red wine</v>
      </c>
    </row>
    <row r="222" spans="1:19" x14ac:dyDescent="0.3">
      <c r="A222" s="13">
        <v>221</v>
      </c>
      <c r="B222" s="1">
        <v>7.8</v>
      </c>
      <c r="C222" s="1">
        <v>0.34</v>
      </c>
      <c r="D222" s="1">
        <v>0.37</v>
      </c>
      <c r="E222" s="1">
        <v>2</v>
      </c>
      <c r="F222" s="1">
        <v>8.2000000000000003E-2</v>
      </c>
      <c r="G222" s="1">
        <v>24</v>
      </c>
      <c r="H222" s="1">
        <v>58</v>
      </c>
      <c r="I222" s="1">
        <v>0.99639999999999995</v>
      </c>
      <c r="J222" s="1">
        <v>3.34</v>
      </c>
      <c r="K222" s="1">
        <v>0.59</v>
      </c>
      <c r="L222" s="1">
        <v>9.4</v>
      </c>
      <c r="M222" s="2">
        <v>6</v>
      </c>
      <c r="N222" s="2" t="str" cm="1">
        <f t="array" ref="N222">_xlfn.IFS(Table1[[#This Row],[quality]]&lt;=4,"Low",Table1[[#This Row],[quality]]&lt;=6,"Medium",Table1[[#This Row],[quality]]&gt;=7,"High")</f>
        <v>Medium</v>
      </c>
      <c r="O222" s="2" t="str">
        <f>IF(AND(Table1[[#This Row],[fixed acidity]]&gt;Sheet1!$C$4,Table1[[#This Row],[pH]]&lt;Sheet1!$K$4),"High","Normal")</f>
        <v>Normal</v>
      </c>
      <c r="P222" s="1">
        <f>(Table1[[#This Row],[alcohol]]*2)+(Table1[[#This Row],[sulphates]]*1.5)-(Table1[[#This Row],[volatile acidity]]*2)</f>
        <v>19.005000000000003</v>
      </c>
      <c r="Q222" s="1">
        <f>RANK(Table1[[#This Row],[Quality_score_index]],Table1[Quality_score_index],0)</f>
        <v>1163</v>
      </c>
      <c r="R222" s="1">
        <f>Table1[[#This Row],[total sulfur dioxide]]-Table1[[#This Row],[free sulfur dioxide]]</f>
        <v>34</v>
      </c>
      <c r="S222" s="1" t="str">
        <f>IF(AND(Table1[[#This Row],[pH]]&gt;=3.2,Table1[[#This Row],[alcohol]]&gt;=10),"White wine","Red wine")</f>
        <v>Red wine</v>
      </c>
    </row>
    <row r="223" spans="1:19" x14ac:dyDescent="0.3">
      <c r="A223" s="13">
        <v>222</v>
      </c>
      <c r="B223" s="1">
        <v>7.4</v>
      </c>
      <c r="C223" s="1">
        <v>0.53</v>
      </c>
      <c r="D223" s="1">
        <v>0.26</v>
      </c>
      <c r="E223" s="1">
        <v>2</v>
      </c>
      <c r="F223" s="1">
        <v>0.10100000000000001</v>
      </c>
      <c r="G223" s="1">
        <v>16</v>
      </c>
      <c r="H223" s="1">
        <v>72</v>
      </c>
      <c r="I223" s="1">
        <v>0.99570000000000003</v>
      </c>
      <c r="J223" s="1">
        <v>3.15</v>
      </c>
      <c r="K223" s="1">
        <v>0.56999999999999995</v>
      </c>
      <c r="L223" s="1">
        <v>9.4</v>
      </c>
      <c r="M223" s="2">
        <v>5</v>
      </c>
      <c r="N223" s="2" t="str" cm="1">
        <f t="array" ref="N223">_xlfn.IFS(Table1[[#This Row],[quality]]&lt;=4,"Low",Table1[[#This Row],[quality]]&lt;=6,"Medium",Table1[[#This Row],[quality]]&gt;=7,"High")</f>
        <v>Medium</v>
      </c>
      <c r="O223" s="2" t="str">
        <f>IF(AND(Table1[[#This Row],[fixed acidity]]&gt;Sheet1!$C$4,Table1[[#This Row],[pH]]&lt;Sheet1!$K$4),"High","Normal")</f>
        <v>Normal</v>
      </c>
      <c r="P223" s="1">
        <f>(Table1[[#This Row],[alcohol]]*2)+(Table1[[#This Row],[sulphates]]*1.5)-(Table1[[#This Row],[volatile acidity]]*2)</f>
        <v>18.595000000000002</v>
      </c>
      <c r="Q223" s="1">
        <f>RANK(Table1[[#This Row],[Quality_score_index]],Table1[Quality_score_index],0)</f>
        <v>1345</v>
      </c>
      <c r="R223" s="1">
        <f>Table1[[#This Row],[total sulfur dioxide]]-Table1[[#This Row],[free sulfur dioxide]]</f>
        <v>56</v>
      </c>
      <c r="S223" s="1" t="str">
        <f>IF(AND(Table1[[#This Row],[pH]]&gt;=3.2,Table1[[#This Row],[alcohol]]&gt;=10),"White wine","Red wine")</f>
        <v>Red wine</v>
      </c>
    </row>
    <row r="224" spans="1:19" x14ac:dyDescent="0.3">
      <c r="A224" s="13">
        <v>223</v>
      </c>
      <c r="B224" s="1">
        <v>6.8</v>
      </c>
      <c r="C224" s="1">
        <v>0.61</v>
      </c>
      <c r="D224" s="1">
        <v>0.04</v>
      </c>
      <c r="E224" s="1">
        <v>1.5</v>
      </c>
      <c r="F224" s="1">
        <v>5.7000000000000002E-2</v>
      </c>
      <c r="G224" s="1">
        <v>5</v>
      </c>
      <c r="H224" s="1">
        <v>10</v>
      </c>
      <c r="I224" s="1">
        <v>0.99524999999999997</v>
      </c>
      <c r="J224" s="1">
        <v>3.42</v>
      </c>
      <c r="K224" s="1">
        <v>0.6</v>
      </c>
      <c r="L224" s="1">
        <v>9.5</v>
      </c>
      <c r="M224" s="2">
        <v>5</v>
      </c>
      <c r="N224" s="2" t="str" cm="1">
        <f t="array" ref="N224">_xlfn.IFS(Table1[[#This Row],[quality]]&lt;=4,"Low",Table1[[#This Row],[quality]]&lt;=6,"Medium",Table1[[#This Row],[quality]]&gt;=7,"High")</f>
        <v>Medium</v>
      </c>
      <c r="O224" s="2" t="str">
        <f>IF(AND(Table1[[#This Row],[fixed acidity]]&gt;Sheet1!$C$4,Table1[[#This Row],[pH]]&lt;Sheet1!$K$4),"High","Normal")</f>
        <v>Normal</v>
      </c>
      <c r="P224" s="1">
        <f>(Table1[[#This Row],[alcohol]]*2)+(Table1[[#This Row],[sulphates]]*1.5)-(Table1[[#This Row],[volatile acidity]]*2)</f>
        <v>18.68</v>
      </c>
      <c r="Q224" s="1">
        <f>RANK(Table1[[#This Row],[Quality_score_index]],Table1[Quality_score_index],0)</f>
        <v>1301</v>
      </c>
      <c r="R224" s="1">
        <f>Table1[[#This Row],[total sulfur dioxide]]-Table1[[#This Row],[free sulfur dioxide]]</f>
        <v>5</v>
      </c>
      <c r="S224" s="1" t="str">
        <f>IF(AND(Table1[[#This Row],[pH]]&gt;=3.2,Table1[[#This Row],[alcohol]]&gt;=10),"White wine","Red wine")</f>
        <v>Red wine</v>
      </c>
    </row>
    <row r="225" spans="1:19" x14ac:dyDescent="0.3">
      <c r="A225" s="13">
        <v>224</v>
      </c>
      <c r="B225" s="1">
        <v>8.6</v>
      </c>
      <c r="C225" s="1">
        <v>0.64500000000000002</v>
      </c>
      <c r="D225" s="1">
        <v>0.25</v>
      </c>
      <c r="E225" s="1">
        <v>2</v>
      </c>
      <c r="F225" s="1">
        <v>8.3000000000000004E-2</v>
      </c>
      <c r="G225" s="1">
        <v>8</v>
      </c>
      <c r="H225" s="1">
        <v>28</v>
      </c>
      <c r="I225" s="1">
        <v>0.99814999999999998</v>
      </c>
      <c r="J225" s="1">
        <v>3.28</v>
      </c>
      <c r="K225" s="1">
        <v>0.6</v>
      </c>
      <c r="L225" s="1">
        <v>10</v>
      </c>
      <c r="M225" s="2">
        <v>6</v>
      </c>
      <c r="N225" s="2" t="str" cm="1">
        <f t="array" ref="N225">_xlfn.IFS(Table1[[#This Row],[quality]]&lt;=4,"Low",Table1[[#This Row],[quality]]&lt;=6,"Medium",Table1[[#This Row],[quality]]&gt;=7,"High")</f>
        <v>Medium</v>
      </c>
      <c r="O225" s="2" t="str">
        <f>IF(AND(Table1[[#This Row],[fixed acidity]]&gt;Sheet1!$C$4,Table1[[#This Row],[pH]]&lt;Sheet1!$K$4),"High","Normal")</f>
        <v>High</v>
      </c>
      <c r="P225" s="1">
        <f>(Table1[[#This Row],[alcohol]]*2)+(Table1[[#This Row],[sulphates]]*1.5)-(Table1[[#This Row],[volatile acidity]]*2)</f>
        <v>19.61</v>
      </c>
      <c r="Q225" s="1">
        <f>RANK(Table1[[#This Row],[Quality_score_index]],Table1[Quality_score_index],0)</f>
        <v>951</v>
      </c>
      <c r="R225" s="1">
        <f>Table1[[#This Row],[total sulfur dioxide]]-Table1[[#This Row],[free sulfur dioxide]]</f>
        <v>20</v>
      </c>
      <c r="S225" s="1" t="str">
        <f>IF(AND(Table1[[#This Row],[pH]]&gt;=3.2,Table1[[#This Row],[alcohol]]&gt;=10),"White wine","Red wine")</f>
        <v>White wine</v>
      </c>
    </row>
    <row r="226" spans="1:19" x14ac:dyDescent="0.3">
      <c r="A226" s="13">
        <v>225</v>
      </c>
      <c r="B226" s="1">
        <v>8.4</v>
      </c>
      <c r="C226" s="1">
        <v>0.63500000000000001</v>
      </c>
      <c r="D226" s="1">
        <v>0.36</v>
      </c>
      <c r="E226" s="1">
        <v>2</v>
      </c>
      <c r="F226" s="1">
        <v>8.8999999999999996E-2</v>
      </c>
      <c r="G226" s="1">
        <v>15</v>
      </c>
      <c r="H226" s="1">
        <v>55</v>
      </c>
      <c r="I226" s="1">
        <v>0.99744999999999995</v>
      </c>
      <c r="J226" s="1">
        <v>3.31</v>
      </c>
      <c r="K226" s="1">
        <v>0.56999999999999995</v>
      </c>
      <c r="L226" s="1">
        <v>10.4</v>
      </c>
      <c r="M226" s="2">
        <v>4</v>
      </c>
      <c r="N226" s="2" t="str" cm="1">
        <f t="array" ref="N226">_xlfn.IFS(Table1[[#This Row],[quality]]&lt;=4,"Low",Table1[[#This Row],[quality]]&lt;=6,"Medium",Table1[[#This Row],[quality]]&gt;=7,"High")</f>
        <v>Low</v>
      </c>
      <c r="O226" s="2" t="str">
        <f>IF(AND(Table1[[#This Row],[fixed acidity]]&gt;Sheet1!$C$4,Table1[[#This Row],[pH]]&lt;Sheet1!$K$4),"High","Normal")</f>
        <v>High</v>
      </c>
      <c r="P226" s="1">
        <f>(Table1[[#This Row],[alcohol]]*2)+(Table1[[#This Row],[sulphates]]*1.5)-(Table1[[#This Row],[volatile acidity]]*2)</f>
        <v>20.385000000000002</v>
      </c>
      <c r="Q226" s="1">
        <f>RANK(Table1[[#This Row],[Quality_score_index]],Table1[Quality_score_index],0)</f>
        <v>772</v>
      </c>
      <c r="R226" s="1">
        <f>Table1[[#This Row],[total sulfur dioxide]]-Table1[[#This Row],[free sulfur dioxide]]</f>
        <v>40</v>
      </c>
      <c r="S226" s="1" t="str">
        <f>IF(AND(Table1[[#This Row],[pH]]&gt;=3.2,Table1[[#This Row],[alcohol]]&gt;=10),"White wine","Red wine")</f>
        <v>White wine</v>
      </c>
    </row>
    <row r="227" spans="1:19" x14ac:dyDescent="0.3">
      <c r="A227" s="13">
        <v>226</v>
      </c>
      <c r="B227" s="1">
        <v>7.7</v>
      </c>
      <c r="C227" s="1">
        <v>0.43</v>
      </c>
      <c r="D227" s="1">
        <v>0.25</v>
      </c>
      <c r="E227" s="1">
        <v>2.6</v>
      </c>
      <c r="F227" s="1">
        <v>7.2999999999999995E-2</v>
      </c>
      <c r="G227" s="1">
        <v>29</v>
      </c>
      <c r="H227" s="1">
        <v>63</v>
      </c>
      <c r="I227" s="1">
        <v>0.99614999999999998</v>
      </c>
      <c r="J227" s="1">
        <v>3.37</v>
      </c>
      <c r="K227" s="1">
        <v>0.57999999999999996</v>
      </c>
      <c r="L227" s="1">
        <v>10.5</v>
      </c>
      <c r="M227" s="2">
        <v>6</v>
      </c>
      <c r="N227" s="2" t="str" cm="1">
        <f t="array" ref="N227">_xlfn.IFS(Table1[[#This Row],[quality]]&lt;=4,"Low",Table1[[#This Row],[quality]]&lt;=6,"Medium",Table1[[#This Row],[quality]]&gt;=7,"High")</f>
        <v>Medium</v>
      </c>
      <c r="O227" s="2" t="str">
        <f>IF(AND(Table1[[#This Row],[fixed acidity]]&gt;Sheet1!$C$4,Table1[[#This Row],[pH]]&lt;Sheet1!$K$4),"High","Normal")</f>
        <v>Normal</v>
      </c>
      <c r="P227" s="1">
        <f>(Table1[[#This Row],[alcohol]]*2)+(Table1[[#This Row],[sulphates]]*1.5)-(Table1[[#This Row],[volatile acidity]]*2)</f>
        <v>21.01</v>
      </c>
      <c r="Q227" s="1">
        <f>RANK(Table1[[#This Row],[Quality_score_index]],Table1[Quality_score_index],0)</f>
        <v>650</v>
      </c>
      <c r="R227" s="1">
        <f>Table1[[#This Row],[total sulfur dioxide]]-Table1[[#This Row],[free sulfur dioxide]]</f>
        <v>34</v>
      </c>
      <c r="S227" s="1" t="str">
        <f>IF(AND(Table1[[#This Row],[pH]]&gt;=3.2,Table1[[#This Row],[alcohol]]&gt;=10),"White wine","Red wine")</f>
        <v>White wine</v>
      </c>
    </row>
    <row r="228" spans="1:19" x14ac:dyDescent="0.3">
      <c r="A228" s="13">
        <v>227</v>
      </c>
      <c r="B228" s="1">
        <v>8.9</v>
      </c>
      <c r="C228" s="1">
        <v>0.59</v>
      </c>
      <c r="D228" s="1">
        <v>0.5</v>
      </c>
      <c r="E228" s="1">
        <v>2</v>
      </c>
      <c r="F228" s="1">
        <v>0.33700000000000002</v>
      </c>
      <c r="G228" s="1">
        <v>27</v>
      </c>
      <c r="H228" s="1">
        <v>81</v>
      </c>
      <c r="I228" s="1">
        <v>0.99639999999999995</v>
      </c>
      <c r="J228" s="1">
        <v>3.04</v>
      </c>
      <c r="K228" s="1">
        <v>1.61</v>
      </c>
      <c r="L228" s="1">
        <v>9.5</v>
      </c>
      <c r="M228" s="2">
        <v>6</v>
      </c>
      <c r="N228" s="2" t="str" cm="1">
        <f t="array" ref="N228">_xlfn.IFS(Table1[[#This Row],[quality]]&lt;=4,"Low",Table1[[#This Row],[quality]]&lt;=6,"Medium",Table1[[#This Row],[quality]]&gt;=7,"High")</f>
        <v>Medium</v>
      </c>
      <c r="O228" s="2" t="str">
        <f>IF(AND(Table1[[#This Row],[fixed acidity]]&gt;Sheet1!$C$4,Table1[[#This Row],[pH]]&lt;Sheet1!$K$4),"High","Normal")</f>
        <v>High</v>
      </c>
      <c r="P228" s="1">
        <f>(Table1[[#This Row],[alcohol]]*2)+(Table1[[#This Row],[sulphates]]*1.5)-(Table1[[#This Row],[volatile acidity]]*2)</f>
        <v>20.234999999999999</v>
      </c>
      <c r="Q228" s="1">
        <f>RANK(Table1[[#This Row],[Quality_score_index]],Table1[Quality_score_index],0)</f>
        <v>801</v>
      </c>
      <c r="R228" s="1">
        <f>Table1[[#This Row],[total sulfur dioxide]]-Table1[[#This Row],[free sulfur dioxide]]</f>
        <v>54</v>
      </c>
      <c r="S228" s="1" t="str">
        <f>IF(AND(Table1[[#This Row],[pH]]&gt;=3.2,Table1[[#This Row],[alcohol]]&gt;=10),"White wine","Red wine")</f>
        <v>Red wine</v>
      </c>
    </row>
    <row r="229" spans="1:19" x14ac:dyDescent="0.3">
      <c r="A229" s="13">
        <v>228</v>
      </c>
      <c r="B229" s="1">
        <v>9</v>
      </c>
      <c r="C229" s="1">
        <v>0.82</v>
      </c>
      <c r="D229" s="1">
        <v>0.14000000000000001</v>
      </c>
      <c r="E229" s="1">
        <v>2.6</v>
      </c>
      <c r="F229" s="1">
        <v>8.8999999999999996E-2</v>
      </c>
      <c r="G229" s="1">
        <v>9</v>
      </c>
      <c r="H229" s="1">
        <v>23</v>
      </c>
      <c r="I229" s="1">
        <v>0.99839999999999995</v>
      </c>
      <c r="J229" s="1">
        <v>3.39</v>
      </c>
      <c r="K229" s="1">
        <v>0.63</v>
      </c>
      <c r="L229" s="1">
        <v>9.8000000000000007</v>
      </c>
      <c r="M229" s="2">
        <v>5</v>
      </c>
      <c r="N229" s="2" t="str" cm="1">
        <f t="array" ref="N229">_xlfn.IFS(Table1[[#This Row],[quality]]&lt;=4,"Low",Table1[[#This Row],[quality]]&lt;=6,"Medium",Table1[[#This Row],[quality]]&gt;=7,"High")</f>
        <v>Medium</v>
      </c>
      <c r="O229" s="2" t="str">
        <f>IF(AND(Table1[[#This Row],[fixed acidity]]&gt;Sheet1!$C$4,Table1[[#This Row],[pH]]&lt;Sheet1!$K$4),"High","Normal")</f>
        <v>Normal</v>
      </c>
      <c r="P229" s="1">
        <f>(Table1[[#This Row],[alcohol]]*2)+(Table1[[#This Row],[sulphates]]*1.5)-(Table1[[#This Row],[volatile acidity]]*2)</f>
        <v>18.905000000000001</v>
      </c>
      <c r="Q229" s="1">
        <f>RANK(Table1[[#This Row],[Quality_score_index]],Table1[Quality_score_index],0)</f>
        <v>1203</v>
      </c>
      <c r="R229" s="1">
        <f>Table1[[#This Row],[total sulfur dioxide]]-Table1[[#This Row],[free sulfur dioxide]]</f>
        <v>14</v>
      </c>
      <c r="S229" s="1" t="str">
        <f>IF(AND(Table1[[#This Row],[pH]]&gt;=3.2,Table1[[#This Row],[alcohol]]&gt;=10),"White wine","Red wine")</f>
        <v>Red wine</v>
      </c>
    </row>
    <row r="230" spans="1:19" x14ac:dyDescent="0.3">
      <c r="A230" s="13">
        <v>229</v>
      </c>
      <c r="B230" s="1">
        <v>7.7</v>
      </c>
      <c r="C230" s="1">
        <v>0.43</v>
      </c>
      <c r="D230" s="1">
        <v>0.25</v>
      </c>
      <c r="E230" s="1">
        <v>2.6</v>
      </c>
      <c r="F230" s="1">
        <v>7.2999999999999995E-2</v>
      </c>
      <c r="G230" s="1">
        <v>29</v>
      </c>
      <c r="H230" s="1">
        <v>63</v>
      </c>
      <c r="I230" s="1">
        <v>0.99614999999999998</v>
      </c>
      <c r="J230" s="1">
        <v>3.37</v>
      </c>
      <c r="K230" s="1">
        <v>0.57999999999999996</v>
      </c>
      <c r="L230" s="1">
        <v>10.5</v>
      </c>
      <c r="M230" s="2">
        <v>6</v>
      </c>
      <c r="N230" s="2" t="str" cm="1">
        <f t="array" ref="N230">_xlfn.IFS(Table1[[#This Row],[quality]]&lt;=4,"Low",Table1[[#This Row],[quality]]&lt;=6,"Medium",Table1[[#This Row],[quality]]&gt;=7,"High")</f>
        <v>Medium</v>
      </c>
      <c r="O230" s="2" t="str">
        <f>IF(AND(Table1[[#This Row],[fixed acidity]]&gt;Sheet1!$C$4,Table1[[#This Row],[pH]]&lt;Sheet1!$K$4),"High","Normal")</f>
        <v>Normal</v>
      </c>
      <c r="P230" s="1">
        <f>(Table1[[#This Row],[alcohol]]*2)+(Table1[[#This Row],[sulphates]]*1.5)-(Table1[[#This Row],[volatile acidity]]*2)</f>
        <v>21.01</v>
      </c>
      <c r="Q230" s="1">
        <f>RANK(Table1[[#This Row],[Quality_score_index]],Table1[Quality_score_index],0)</f>
        <v>650</v>
      </c>
      <c r="R230" s="1">
        <f>Table1[[#This Row],[total sulfur dioxide]]-Table1[[#This Row],[free sulfur dioxide]]</f>
        <v>34</v>
      </c>
      <c r="S230" s="1" t="str">
        <f>IF(AND(Table1[[#This Row],[pH]]&gt;=3.2,Table1[[#This Row],[alcohol]]&gt;=10),"White wine","Red wine")</f>
        <v>White wine</v>
      </c>
    </row>
    <row r="231" spans="1:19" x14ac:dyDescent="0.3">
      <c r="A231" s="13">
        <v>230</v>
      </c>
      <c r="B231" s="1">
        <v>6.9</v>
      </c>
      <c r="C231" s="1">
        <v>0.52</v>
      </c>
      <c r="D231" s="1">
        <v>0.25</v>
      </c>
      <c r="E231" s="1">
        <v>2.6</v>
      </c>
      <c r="F231" s="1">
        <v>8.1000000000000003E-2</v>
      </c>
      <c r="G231" s="1">
        <v>10</v>
      </c>
      <c r="H231" s="1">
        <v>37</v>
      </c>
      <c r="I231" s="1">
        <v>0.99685000000000001</v>
      </c>
      <c r="J231" s="1">
        <v>3.46</v>
      </c>
      <c r="K231" s="1">
        <v>0.5</v>
      </c>
      <c r="L231" s="1">
        <v>11</v>
      </c>
      <c r="M231" s="2">
        <v>5</v>
      </c>
      <c r="N231" s="2" t="str" cm="1">
        <f t="array" ref="N231">_xlfn.IFS(Table1[[#This Row],[quality]]&lt;=4,"Low",Table1[[#This Row],[quality]]&lt;=6,"Medium",Table1[[#This Row],[quality]]&gt;=7,"High")</f>
        <v>Medium</v>
      </c>
      <c r="O231" s="2" t="str">
        <f>IF(AND(Table1[[#This Row],[fixed acidity]]&gt;Sheet1!$C$4,Table1[[#This Row],[pH]]&lt;Sheet1!$K$4),"High","Normal")</f>
        <v>Normal</v>
      </c>
      <c r="P231" s="1">
        <f>(Table1[[#This Row],[alcohol]]*2)+(Table1[[#This Row],[sulphates]]*1.5)-(Table1[[#This Row],[volatile acidity]]*2)</f>
        <v>21.71</v>
      </c>
      <c r="Q231" s="1">
        <f>RANK(Table1[[#This Row],[Quality_score_index]],Table1[Quality_score_index],0)</f>
        <v>503</v>
      </c>
      <c r="R231" s="1">
        <f>Table1[[#This Row],[total sulfur dioxide]]-Table1[[#This Row],[free sulfur dioxide]]</f>
        <v>27</v>
      </c>
      <c r="S231" s="1" t="str">
        <f>IF(AND(Table1[[#This Row],[pH]]&gt;=3.2,Table1[[#This Row],[alcohol]]&gt;=10),"White wine","Red wine")</f>
        <v>White wine</v>
      </c>
    </row>
    <row r="232" spans="1:19" x14ac:dyDescent="0.3">
      <c r="A232" s="13">
        <v>231</v>
      </c>
      <c r="B232" s="1">
        <v>5.2</v>
      </c>
      <c r="C232" s="1">
        <v>0.48</v>
      </c>
      <c r="D232" s="1">
        <v>0.04</v>
      </c>
      <c r="E232" s="1">
        <v>1.6</v>
      </c>
      <c r="F232" s="1">
        <v>5.3999999999999999E-2</v>
      </c>
      <c r="G232" s="1">
        <v>19</v>
      </c>
      <c r="H232" s="1">
        <v>106</v>
      </c>
      <c r="I232" s="1">
        <v>0.99270000000000003</v>
      </c>
      <c r="J232" s="1">
        <v>3.54</v>
      </c>
      <c r="K232" s="1">
        <v>0.62</v>
      </c>
      <c r="L232" s="1">
        <v>12.2</v>
      </c>
      <c r="M232" s="2">
        <v>7</v>
      </c>
      <c r="N232" s="2" t="str" cm="1">
        <f t="array" ref="N232">_xlfn.IFS(Table1[[#This Row],[quality]]&lt;=4,"Low",Table1[[#This Row],[quality]]&lt;=6,"Medium",Table1[[#This Row],[quality]]&gt;=7,"High")</f>
        <v>High</v>
      </c>
      <c r="O232" s="2" t="str">
        <f>IF(AND(Table1[[#This Row],[fixed acidity]]&gt;Sheet1!$C$4,Table1[[#This Row],[pH]]&lt;Sheet1!$K$4),"High","Normal")</f>
        <v>Normal</v>
      </c>
      <c r="P232" s="1">
        <f>(Table1[[#This Row],[alcohol]]*2)+(Table1[[#This Row],[sulphates]]*1.5)-(Table1[[#This Row],[volatile acidity]]*2)</f>
        <v>24.369999999999997</v>
      </c>
      <c r="Q232" s="1">
        <f>RANK(Table1[[#This Row],[Quality_score_index]],Table1[Quality_score_index],0)</f>
        <v>145</v>
      </c>
      <c r="R232" s="1">
        <f>Table1[[#This Row],[total sulfur dioxide]]-Table1[[#This Row],[free sulfur dioxide]]</f>
        <v>87</v>
      </c>
      <c r="S232" s="1" t="str">
        <f>IF(AND(Table1[[#This Row],[pH]]&gt;=3.2,Table1[[#This Row],[alcohol]]&gt;=10),"White wine","Red wine")</f>
        <v>White wine</v>
      </c>
    </row>
    <row r="233" spans="1:19" x14ac:dyDescent="0.3">
      <c r="A233" s="13">
        <v>232</v>
      </c>
      <c r="B233" s="1">
        <v>8</v>
      </c>
      <c r="C233" s="1">
        <v>0.38</v>
      </c>
      <c r="D233" s="1">
        <v>0.06</v>
      </c>
      <c r="E233" s="1">
        <v>1.8</v>
      </c>
      <c r="F233" s="1">
        <v>7.8E-2</v>
      </c>
      <c r="G233" s="1">
        <v>12</v>
      </c>
      <c r="H233" s="1">
        <v>49</v>
      </c>
      <c r="I233" s="1">
        <v>0.99624999999999997</v>
      </c>
      <c r="J233" s="1">
        <v>3.37</v>
      </c>
      <c r="K233" s="1">
        <v>0.52</v>
      </c>
      <c r="L233" s="1">
        <v>9.9</v>
      </c>
      <c r="M233" s="2">
        <v>6</v>
      </c>
      <c r="N233" s="2" t="str" cm="1">
        <f t="array" ref="N233">_xlfn.IFS(Table1[[#This Row],[quality]]&lt;=4,"Low",Table1[[#This Row],[quality]]&lt;=6,"Medium",Table1[[#This Row],[quality]]&gt;=7,"High")</f>
        <v>Medium</v>
      </c>
      <c r="O233" s="2" t="str">
        <f>IF(AND(Table1[[#This Row],[fixed acidity]]&gt;Sheet1!$C$4,Table1[[#This Row],[pH]]&lt;Sheet1!$K$4),"High","Normal")</f>
        <v>Normal</v>
      </c>
      <c r="P233" s="1">
        <f>(Table1[[#This Row],[alcohol]]*2)+(Table1[[#This Row],[sulphates]]*1.5)-(Table1[[#This Row],[volatile acidity]]*2)</f>
        <v>19.82</v>
      </c>
      <c r="Q233" s="1">
        <f>RANK(Table1[[#This Row],[Quality_score_index]],Table1[Quality_score_index],0)</f>
        <v>900</v>
      </c>
      <c r="R233" s="1">
        <f>Table1[[#This Row],[total sulfur dioxide]]-Table1[[#This Row],[free sulfur dioxide]]</f>
        <v>37</v>
      </c>
      <c r="S233" s="1" t="str">
        <f>IF(AND(Table1[[#This Row],[pH]]&gt;=3.2,Table1[[#This Row],[alcohol]]&gt;=10),"White wine","Red wine")</f>
        <v>Red wine</v>
      </c>
    </row>
    <row r="234" spans="1:19" x14ac:dyDescent="0.3">
      <c r="A234" s="13">
        <v>233</v>
      </c>
      <c r="B234" s="1">
        <v>8.5</v>
      </c>
      <c r="C234" s="1">
        <v>0.37</v>
      </c>
      <c r="D234" s="1">
        <v>0.2</v>
      </c>
      <c r="E234" s="1">
        <v>2.8</v>
      </c>
      <c r="F234" s="1">
        <v>0.09</v>
      </c>
      <c r="G234" s="1">
        <v>18</v>
      </c>
      <c r="H234" s="1">
        <v>58</v>
      </c>
      <c r="I234" s="1">
        <v>0.998</v>
      </c>
      <c r="J234" s="1">
        <v>3.34</v>
      </c>
      <c r="K234" s="1">
        <v>0.7</v>
      </c>
      <c r="L234" s="1">
        <v>9.6</v>
      </c>
      <c r="M234" s="2">
        <v>6</v>
      </c>
      <c r="N234" s="2" t="str" cm="1">
        <f t="array" ref="N234">_xlfn.IFS(Table1[[#This Row],[quality]]&lt;=4,"Low",Table1[[#This Row],[quality]]&lt;=6,"Medium",Table1[[#This Row],[quality]]&gt;=7,"High")</f>
        <v>Medium</v>
      </c>
      <c r="O234" s="2" t="str">
        <f>IF(AND(Table1[[#This Row],[fixed acidity]]&gt;Sheet1!$C$4,Table1[[#This Row],[pH]]&lt;Sheet1!$K$4),"High","Normal")</f>
        <v>Normal</v>
      </c>
      <c r="P234" s="1">
        <f>(Table1[[#This Row],[alcohol]]*2)+(Table1[[#This Row],[sulphates]]*1.5)-(Table1[[#This Row],[volatile acidity]]*2)</f>
        <v>19.510000000000002</v>
      </c>
      <c r="Q234" s="1">
        <f>RANK(Table1[[#This Row],[Quality_score_index]],Table1[Quality_score_index],0)</f>
        <v>970</v>
      </c>
      <c r="R234" s="1">
        <f>Table1[[#This Row],[total sulfur dioxide]]-Table1[[#This Row],[free sulfur dioxide]]</f>
        <v>40</v>
      </c>
      <c r="S234" s="1" t="str">
        <f>IF(AND(Table1[[#This Row],[pH]]&gt;=3.2,Table1[[#This Row],[alcohol]]&gt;=10),"White wine","Red wine")</f>
        <v>Red wine</v>
      </c>
    </row>
    <row r="235" spans="1:19" x14ac:dyDescent="0.3">
      <c r="A235" s="13">
        <v>234</v>
      </c>
      <c r="B235" s="1">
        <v>6.9</v>
      </c>
      <c r="C235" s="1">
        <v>0.52</v>
      </c>
      <c r="D235" s="1">
        <v>0.25</v>
      </c>
      <c r="E235" s="1">
        <v>2.6</v>
      </c>
      <c r="F235" s="1">
        <v>8.1000000000000003E-2</v>
      </c>
      <c r="G235" s="1">
        <v>10</v>
      </c>
      <c r="H235" s="1">
        <v>37</v>
      </c>
      <c r="I235" s="1">
        <v>0.99685000000000001</v>
      </c>
      <c r="J235" s="1">
        <v>3.46</v>
      </c>
      <c r="K235" s="1">
        <v>0.5</v>
      </c>
      <c r="L235" s="1">
        <v>11</v>
      </c>
      <c r="M235" s="2">
        <v>5</v>
      </c>
      <c r="N235" s="2" t="str" cm="1">
        <f t="array" ref="N235">_xlfn.IFS(Table1[[#This Row],[quality]]&lt;=4,"Low",Table1[[#This Row],[quality]]&lt;=6,"Medium",Table1[[#This Row],[quality]]&gt;=7,"High")</f>
        <v>Medium</v>
      </c>
      <c r="O235" s="2" t="str">
        <f>IF(AND(Table1[[#This Row],[fixed acidity]]&gt;Sheet1!$C$4,Table1[[#This Row],[pH]]&lt;Sheet1!$K$4),"High","Normal")</f>
        <v>Normal</v>
      </c>
      <c r="P235" s="1">
        <f>(Table1[[#This Row],[alcohol]]*2)+(Table1[[#This Row],[sulphates]]*1.5)-(Table1[[#This Row],[volatile acidity]]*2)</f>
        <v>21.71</v>
      </c>
      <c r="Q235" s="1">
        <f>RANK(Table1[[#This Row],[Quality_score_index]],Table1[Quality_score_index],0)</f>
        <v>503</v>
      </c>
      <c r="R235" s="1">
        <f>Table1[[#This Row],[total sulfur dioxide]]-Table1[[#This Row],[free sulfur dioxide]]</f>
        <v>27</v>
      </c>
      <c r="S235" s="1" t="str">
        <f>IF(AND(Table1[[#This Row],[pH]]&gt;=3.2,Table1[[#This Row],[alcohol]]&gt;=10),"White wine","Red wine")</f>
        <v>White wine</v>
      </c>
    </row>
    <row r="236" spans="1:19" x14ac:dyDescent="0.3">
      <c r="A236" s="13">
        <v>235</v>
      </c>
      <c r="B236" s="1">
        <v>8.1999999999999993</v>
      </c>
      <c r="C236" s="1">
        <v>1</v>
      </c>
      <c r="D236" s="1">
        <v>0.09</v>
      </c>
      <c r="E236" s="1">
        <v>2.2999999999999998</v>
      </c>
      <c r="F236" s="1">
        <v>6.5000000000000002E-2</v>
      </c>
      <c r="G236" s="1">
        <v>7</v>
      </c>
      <c r="H236" s="1">
        <v>37</v>
      </c>
      <c r="I236" s="1">
        <v>0.99685000000000001</v>
      </c>
      <c r="J236" s="1">
        <v>3.32</v>
      </c>
      <c r="K236" s="1">
        <v>0.55000000000000004</v>
      </c>
      <c r="L236" s="1">
        <v>9</v>
      </c>
      <c r="M236" s="2">
        <v>6</v>
      </c>
      <c r="N236" s="2" t="str" cm="1">
        <f t="array" ref="N236">_xlfn.IFS(Table1[[#This Row],[quality]]&lt;=4,"Low",Table1[[#This Row],[quality]]&lt;=6,"Medium",Table1[[#This Row],[quality]]&gt;=7,"High")</f>
        <v>Medium</v>
      </c>
      <c r="O236" s="2" t="str">
        <f>IF(AND(Table1[[#This Row],[fixed acidity]]&gt;Sheet1!$C$4,Table1[[#This Row],[pH]]&lt;Sheet1!$K$4),"High","Normal")</f>
        <v>Normal</v>
      </c>
      <c r="P236" s="1">
        <f>(Table1[[#This Row],[alcohol]]*2)+(Table1[[#This Row],[sulphates]]*1.5)-(Table1[[#This Row],[volatile acidity]]*2)</f>
        <v>16.824999999999999</v>
      </c>
      <c r="Q236" s="1">
        <f>RANK(Table1[[#This Row],[Quality_score_index]],Table1[Quality_score_index],0)</f>
        <v>1596</v>
      </c>
      <c r="R236" s="1">
        <f>Table1[[#This Row],[total sulfur dioxide]]-Table1[[#This Row],[free sulfur dioxide]]</f>
        <v>30</v>
      </c>
      <c r="S236" s="1" t="str">
        <f>IF(AND(Table1[[#This Row],[pH]]&gt;=3.2,Table1[[#This Row],[alcohol]]&gt;=10),"White wine","Red wine")</f>
        <v>Red wine</v>
      </c>
    </row>
    <row r="237" spans="1:19" x14ac:dyDescent="0.3">
      <c r="A237" s="13">
        <v>236</v>
      </c>
      <c r="B237" s="1">
        <v>7.2</v>
      </c>
      <c r="C237" s="1">
        <v>0.63</v>
      </c>
      <c r="D237" s="1">
        <v>0</v>
      </c>
      <c r="E237" s="1">
        <v>1.9</v>
      </c>
      <c r="F237" s="1">
        <v>9.7000000000000003E-2</v>
      </c>
      <c r="G237" s="1">
        <v>14</v>
      </c>
      <c r="H237" s="1">
        <v>38</v>
      </c>
      <c r="I237" s="1">
        <v>0.99675000000000002</v>
      </c>
      <c r="J237" s="1">
        <v>3.37</v>
      </c>
      <c r="K237" s="1">
        <v>0.57999999999999996</v>
      </c>
      <c r="L237" s="1">
        <v>9</v>
      </c>
      <c r="M237" s="2">
        <v>6</v>
      </c>
      <c r="N237" s="2" t="str" cm="1">
        <f t="array" ref="N237">_xlfn.IFS(Table1[[#This Row],[quality]]&lt;=4,"Low",Table1[[#This Row],[quality]]&lt;=6,"Medium",Table1[[#This Row],[quality]]&gt;=7,"High")</f>
        <v>Medium</v>
      </c>
      <c r="O237" s="2" t="str">
        <f>IF(AND(Table1[[#This Row],[fixed acidity]]&gt;Sheet1!$C$4,Table1[[#This Row],[pH]]&lt;Sheet1!$K$4),"High","Normal")</f>
        <v>Normal</v>
      </c>
      <c r="P237" s="1">
        <f>(Table1[[#This Row],[alcohol]]*2)+(Table1[[#This Row],[sulphates]]*1.5)-(Table1[[#This Row],[volatile acidity]]*2)</f>
        <v>17.61</v>
      </c>
      <c r="Q237" s="1">
        <f>RANK(Table1[[#This Row],[Quality_score_index]],Table1[Quality_score_index],0)</f>
        <v>1577</v>
      </c>
      <c r="R237" s="1">
        <f>Table1[[#This Row],[total sulfur dioxide]]-Table1[[#This Row],[free sulfur dioxide]]</f>
        <v>24</v>
      </c>
      <c r="S237" s="1" t="str">
        <f>IF(AND(Table1[[#This Row],[pH]]&gt;=3.2,Table1[[#This Row],[alcohol]]&gt;=10),"White wine","Red wine")</f>
        <v>Red wine</v>
      </c>
    </row>
    <row r="238" spans="1:19" x14ac:dyDescent="0.3">
      <c r="A238" s="13">
        <v>237</v>
      </c>
      <c r="B238" s="1">
        <v>7.2</v>
      </c>
      <c r="C238" s="1">
        <v>0.63</v>
      </c>
      <c r="D238" s="1">
        <v>0</v>
      </c>
      <c r="E238" s="1">
        <v>1.9</v>
      </c>
      <c r="F238" s="1">
        <v>9.7000000000000003E-2</v>
      </c>
      <c r="G238" s="1">
        <v>14</v>
      </c>
      <c r="H238" s="1">
        <v>38</v>
      </c>
      <c r="I238" s="1">
        <v>0.99675000000000002</v>
      </c>
      <c r="J238" s="1">
        <v>3.37</v>
      </c>
      <c r="K238" s="1">
        <v>0.57999999999999996</v>
      </c>
      <c r="L238" s="1">
        <v>9</v>
      </c>
      <c r="M238" s="2">
        <v>6</v>
      </c>
      <c r="N238" s="2" t="str" cm="1">
        <f t="array" ref="N238">_xlfn.IFS(Table1[[#This Row],[quality]]&lt;=4,"Low",Table1[[#This Row],[quality]]&lt;=6,"Medium",Table1[[#This Row],[quality]]&gt;=7,"High")</f>
        <v>Medium</v>
      </c>
      <c r="O238" s="2" t="str">
        <f>IF(AND(Table1[[#This Row],[fixed acidity]]&gt;Sheet1!$C$4,Table1[[#This Row],[pH]]&lt;Sheet1!$K$4),"High","Normal")</f>
        <v>Normal</v>
      </c>
      <c r="P238" s="1">
        <f>(Table1[[#This Row],[alcohol]]*2)+(Table1[[#This Row],[sulphates]]*1.5)-(Table1[[#This Row],[volatile acidity]]*2)</f>
        <v>17.61</v>
      </c>
      <c r="Q238" s="1">
        <f>RANK(Table1[[#This Row],[Quality_score_index]],Table1[Quality_score_index],0)</f>
        <v>1577</v>
      </c>
      <c r="R238" s="1">
        <f>Table1[[#This Row],[total sulfur dioxide]]-Table1[[#This Row],[free sulfur dioxide]]</f>
        <v>24</v>
      </c>
      <c r="S238" s="1" t="str">
        <f>IF(AND(Table1[[#This Row],[pH]]&gt;=3.2,Table1[[#This Row],[alcohol]]&gt;=10),"White wine","Red wine")</f>
        <v>Red wine</v>
      </c>
    </row>
    <row r="239" spans="1:19" x14ac:dyDescent="0.3">
      <c r="A239" s="13">
        <v>238</v>
      </c>
      <c r="B239" s="1">
        <v>7.2</v>
      </c>
      <c r="C239" s="1">
        <v>0.64500000000000002</v>
      </c>
      <c r="D239" s="1">
        <v>0</v>
      </c>
      <c r="E239" s="1">
        <v>1.9</v>
      </c>
      <c r="F239" s="1">
        <v>9.7000000000000003E-2</v>
      </c>
      <c r="G239" s="1">
        <v>15</v>
      </c>
      <c r="H239" s="1">
        <v>39</v>
      </c>
      <c r="I239" s="1">
        <v>0.99675000000000002</v>
      </c>
      <c r="J239" s="1">
        <v>3.37</v>
      </c>
      <c r="K239" s="1">
        <v>0.57999999999999996</v>
      </c>
      <c r="L239" s="1">
        <v>9.1999999999999993</v>
      </c>
      <c r="M239" s="2">
        <v>6</v>
      </c>
      <c r="N239" s="2" t="str" cm="1">
        <f t="array" ref="N239">_xlfn.IFS(Table1[[#This Row],[quality]]&lt;=4,"Low",Table1[[#This Row],[quality]]&lt;=6,"Medium",Table1[[#This Row],[quality]]&gt;=7,"High")</f>
        <v>Medium</v>
      </c>
      <c r="O239" s="2" t="str">
        <f>IF(AND(Table1[[#This Row],[fixed acidity]]&gt;Sheet1!$C$4,Table1[[#This Row],[pH]]&lt;Sheet1!$K$4),"High","Normal")</f>
        <v>Normal</v>
      </c>
      <c r="P239" s="1">
        <f>(Table1[[#This Row],[alcohol]]*2)+(Table1[[#This Row],[sulphates]]*1.5)-(Table1[[#This Row],[volatile acidity]]*2)</f>
        <v>17.98</v>
      </c>
      <c r="Q239" s="1">
        <f>RANK(Table1[[#This Row],[Quality_score_index]],Table1[Quality_score_index],0)</f>
        <v>1524</v>
      </c>
      <c r="R239" s="1">
        <f>Table1[[#This Row],[total sulfur dioxide]]-Table1[[#This Row],[free sulfur dioxide]]</f>
        <v>24</v>
      </c>
      <c r="S239" s="1" t="str">
        <f>IF(AND(Table1[[#This Row],[pH]]&gt;=3.2,Table1[[#This Row],[alcohol]]&gt;=10),"White wine","Red wine")</f>
        <v>Red wine</v>
      </c>
    </row>
    <row r="240" spans="1:19" x14ac:dyDescent="0.3">
      <c r="A240" s="13">
        <v>239</v>
      </c>
      <c r="B240" s="1">
        <v>7.2</v>
      </c>
      <c r="C240" s="1">
        <v>0.63</v>
      </c>
      <c r="D240" s="1">
        <v>0</v>
      </c>
      <c r="E240" s="1">
        <v>1.9</v>
      </c>
      <c r="F240" s="1">
        <v>9.7000000000000003E-2</v>
      </c>
      <c r="G240" s="1">
        <v>14</v>
      </c>
      <c r="H240" s="1">
        <v>38</v>
      </c>
      <c r="I240" s="1">
        <v>0.99675000000000002</v>
      </c>
      <c r="J240" s="1">
        <v>3.37</v>
      </c>
      <c r="K240" s="1">
        <v>0.57999999999999996</v>
      </c>
      <c r="L240" s="1">
        <v>9</v>
      </c>
      <c r="M240" s="2">
        <v>6</v>
      </c>
      <c r="N240" s="2" t="str" cm="1">
        <f t="array" ref="N240">_xlfn.IFS(Table1[[#This Row],[quality]]&lt;=4,"Low",Table1[[#This Row],[quality]]&lt;=6,"Medium",Table1[[#This Row],[quality]]&gt;=7,"High")</f>
        <v>Medium</v>
      </c>
      <c r="O240" s="2" t="str">
        <f>IF(AND(Table1[[#This Row],[fixed acidity]]&gt;Sheet1!$C$4,Table1[[#This Row],[pH]]&lt;Sheet1!$K$4),"High","Normal")</f>
        <v>Normal</v>
      </c>
      <c r="P240" s="1">
        <f>(Table1[[#This Row],[alcohol]]*2)+(Table1[[#This Row],[sulphates]]*1.5)-(Table1[[#This Row],[volatile acidity]]*2)</f>
        <v>17.61</v>
      </c>
      <c r="Q240" s="1">
        <f>RANK(Table1[[#This Row],[Quality_score_index]],Table1[Quality_score_index],0)</f>
        <v>1577</v>
      </c>
      <c r="R240" s="1">
        <f>Table1[[#This Row],[total sulfur dioxide]]-Table1[[#This Row],[free sulfur dioxide]]</f>
        <v>24</v>
      </c>
      <c r="S240" s="1" t="str">
        <f>IF(AND(Table1[[#This Row],[pH]]&gt;=3.2,Table1[[#This Row],[alcohol]]&gt;=10),"White wine","Red wine")</f>
        <v>Red wine</v>
      </c>
    </row>
    <row r="241" spans="1:19" x14ac:dyDescent="0.3">
      <c r="A241" s="13">
        <v>240</v>
      </c>
      <c r="B241" s="1">
        <v>8.1999999999999993</v>
      </c>
      <c r="C241" s="1">
        <v>1</v>
      </c>
      <c r="D241" s="1">
        <v>0.09</v>
      </c>
      <c r="E241" s="1">
        <v>2.2999999999999998</v>
      </c>
      <c r="F241" s="1">
        <v>6.5000000000000002E-2</v>
      </c>
      <c r="G241" s="1">
        <v>7</v>
      </c>
      <c r="H241" s="1">
        <v>37</v>
      </c>
      <c r="I241" s="1">
        <v>0.99685000000000001</v>
      </c>
      <c r="J241" s="1">
        <v>3.32</v>
      </c>
      <c r="K241" s="1">
        <v>0.55000000000000004</v>
      </c>
      <c r="L241" s="1">
        <v>9</v>
      </c>
      <c r="M241" s="2">
        <v>6</v>
      </c>
      <c r="N241" s="2" t="str" cm="1">
        <f t="array" ref="N241">_xlfn.IFS(Table1[[#This Row],[quality]]&lt;=4,"Low",Table1[[#This Row],[quality]]&lt;=6,"Medium",Table1[[#This Row],[quality]]&gt;=7,"High")</f>
        <v>Medium</v>
      </c>
      <c r="O241" s="2" t="str">
        <f>IF(AND(Table1[[#This Row],[fixed acidity]]&gt;Sheet1!$C$4,Table1[[#This Row],[pH]]&lt;Sheet1!$K$4),"High","Normal")</f>
        <v>Normal</v>
      </c>
      <c r="P241" s="1">
        <f>(Table1[[#This Row],[alcohol]]*2)+(Table1[[#This Row],[sulphates]]*1.5)-(Table1[[#This Row],[volatile acidity]]*2)</f>
        <v>16.824999999999999</v>
      </c>
      <c r="Q241" s="1">
        <f>RANK(Table1[[#This Row],[Quality_score_index]],Table1[Quality_score_index],0)</f>
        <v>1596</v>
      </c>
      <c r="R241" s="1">
        <f>Table1[[#This Row],[total sulfur dioxide]]-Table1[[#This Row],[free sulfur dioxide]]</f>
        <v>30</v>
      </c>
      <c r="S241" s="1" t="str">
        <f>IF(AND(Table1[[#This Row],[pH]]&gt;=3.2,Table1[[#This Row],[alcohol]]&gt;=10),"White wine","Red wine")</f>
        <v>Red wine</v>
      </c>
    </row>
    <row r="242" spans="1:19" x14ac:dyDescent="0.3">
      <c r="A242" s="13">
        <v>241</v>
      </c>
      <c r="B242" s="1">
        <v>8.9</v>
      </c>
      <c r="C242" s="1">
        <v>0.63500000000000001</v>
      </c>
      <c r="D242" s="1">
        <v>0.37</v>
      </c>
      <c r="E242" s="1">
        <v>1.7</v>
      </c>
      <c r="F242" s="1">
        <v>0.26300000000000001</v>
      </c>
      <c r="G242" s="1">
        <v>5</v>
      </c>
      <c r="H242" s="1">
        <v>62</v>
      </c>
      <c r="I242" s="1">
        <v>0.99709999999999999</v>
      </c>
      <c r="J242" s="1">
        <v>3</v>
      </c>
      <c r="K242" s="1">
        <v>1.0900000000000001</v>
      </c>
      <c r="L242" s="1">
        <v>9.3000000000000007</v>
      </c>
      <c r="M242" s="2">
        <v>5</v>
      </c>
      <c r="N242" s="2" t="str" cm="1">
        <f t="array" ref="N242">_xlfn.IFS(Table1[[#This Row],[quality]]&lt;=4,"Low",Table1[[#This Row],[quality]]&lt;=6,"Medium",Table1[[#This Row],[quality]]&gt;=7,"High")</f>
        <v>Medium</v>
      </c>
      <c r="O242" s="2" t="str">
        <f>IF(AND(Table1[[#This Row],[fixed acidity]]&gt;Sheet1!$C$4,Table1[[#This Row],[pH]]&lt;Sheet1!$K$4),"High","Normal")</f>
        <v>High</v>
      </c>
      <c r="P242" s="1">
        <f>(Table1[[#This Row],[alcohol]]*2)+(Table1[[#This Row],[sulphates]]*1.5)-(Table1[[#This Row],[volatile acidity]]*2)</f>
        <v>18.965000000000003</v>
      </c>
      <c r="Q242" s="1">
        <f>RANK(Table1[[#This Row],[Quality_score_index]],Table1[Quality_score_index],0)</f>
        <v>1174</v>
      </c>
      <c r="R242" s="1">
        <f>Table1[[#This Row],[total sulfur dioxide]]-Table1[[#This Row],[free sulfur dioxide]]</f>
        <v>57</v>
      </c>
      <c r="S242" s="1" t="str">
        <f>IF(AND(Table1[[#This Row],[pH]]&gt;=3.2,Table1[[#This Row],[alcohol]]&gt;=10),"White wine","Red wine")</f>
        <v>Red wine</v>
      </c>
    </row>
    <row r="243" spans="1:19" x14ac:dyDescent="0.3">
      <c r="A243" s="13">
        <v>242</v>
      </c>
      <c r="B243" s="1">
        <v>12</v>
      </c>
      <c r="C243" s="1">
        <v>0.38</v>
      </c>
      <c r="D243" s="1">
        <v>0.56000000000000005</v>
      </c>
      <c r="E243" s="1">
        <v>2.1</v>
      </c>
      <c r="F243" s="1">
        <v>9.2999999999999999E-2</v>
      </c>
      <c r="G243" s="1">
        <v>6</v>
      </c>
      <c r="H243" s="1">
        <v>24</v>
      </c>
      <c r="I243" s="1">
        <v>0.99924999999999997</v>
      </c>
      <c r="J243" s="1">
        <v>3.14</v>
      </c>
      <c r="K243" s="1">
        <v>0.71</v>
      </c>
      <c r="L243" s="1">
        <v>10.9</v>
      </c>
      <c r="M243" s="2">
        <v>6</v>
      </c>
      <c r="N243" s="2" t="str" cm="1">
        <f t="array" ref="N243">_xlfn.IFS(Table1[[#This Row],[quality]]&lt;=4,"Low",Table1[[#This Row],[quality]]&lt;=6,"Medium",Table1[[#This Row],[quality]]&gt;=7,"High")</f>
        <v>Medium</v>
      </c>
      <c r="O243" s="2" t="str">
        <f>IF(AND(Table1[[#This Row],[fixed acidity]]&gt;Sheet1!$C$4,Table1[[#This Row],[pH]]&lt;Sheet1!$K$4),"High","Normal")</f>
        <v>High</v>
      </c>
      <c r="P243" s="1">
        <f>(Table1[[#This Row],[alcohol]]*2)+(Table1[[#This Row],[sulphates]]*1.5)-(Table1[[#This Row],[volatile acidity]]*2)</f>
        <v>22.105</v>
      </c>
      <c r="Q243" s="1">
        <f>RANK(Table1[[#This Row],[Quality_score_index]],Table1[Quality_score_index],0)</f>
        <v>440</v>
      </c>
      <c r="R243" s="1">
        <f>Table1[[#This Row],[total sulfur dioxide]]-Table1[[#This Row],[free sulfur dioxide]]</f>
        <v>18</v>
      </c>
      <c r="S243" s="1" t="str">
        <f>IF(AND(Table1[[#This Row],[pH]]&gt;=3.2,Table1[[#This Row],[alcohol]]&gt;=10),"White wine","Red wine")</f>
        <v>Red wine</v>
      </c>
    </row>
    <row r="244" spans="1:19" x14ac:dyDescent="0.3">
      <c r="A244" s="13">
        <v>243</v>
      </c>
      <c r="B244" s="1">
        <v>7.7</v>
      </c>
      <c r="C244" s="1">
        <v>0.57999999999999996</v>
      </c>
      <c r="D244" s="1">
        <v>0.1</v>
      </c>
      <c r="E244" s="1">
        <v>1.8</v>
      </c>
      <c r="F244" s="1">
        <v>0.10199999999999999</v>
      </c>
      <c r="G244" s="1">
        <v>28</v>
      </c>
      <c r="H244" s="1">
        <v>109</v>
      </c>
      <c r="I244" s="1">
        <v>0.99565000000000003</v>
      </c>
      <c r="J244" s="1">
        <v>3.08</v>
      </c>
      <c r="K244" s="1">
        <v>0.49</v>
      </c>
      <c r="L244" s="1">
        <v>9.8000000000000007</v>
      </c>
      <c r="M244" s="2">
        <v>6</v>
      </c>
      <c r="N244" s="2" t="str" cm="1">
        <f t="array" ref="N244">_xlfn.IFS(Table1[[#This Row],[quality]]&lt;=4,"Low",Table1[[#This Row],[quality]]&lt;=6,"Medium",Table1[[#This Row],[quality]]&gt;=7,"High")</f>
        <v>Medium</v>
      </c>
      <c r="O244" s="2" t="str">
        <f>IF(AND(Table1[[#This Row],[fixed acidity]]&gt;Sheet1!$C$4,Table1[[#This Row],[pH]]&lt;Sheet1!$K$4),"High","Normal")</f>
        <v>Normal</v>
      </c>
      <c r="P244" s="1">
        <f>(Table1[[#This Row],[alcohol]]*2)+(Table1[[#This Row],[sulphates]]*1.5)-(Table1[[#This Row],[volatile acidity]]*2)</f>
        <v>19.175000000000001</v>
      </c>
      <c r="Q244" s="1">
        <f>RANK(Table1[[#This Row],[Quality_score_index]],Table1[Quality_score_index],0)</f>
        <v>1096</v>
      </c>
      <c r="R244" s="1">
        <f>Table1[[#This Row],[total sulfur dioxide]]-Table1[[#This Row],[free sulfur dioxide]]</f>
        <v>81</v>
      </c>
      <c r="S244" s="1" t="str">
        <f>IF(AND(Table1[[#This Row],[pH]]&gt;=3.2,Table1[[#This Row],[alcohol]]&gt;=10),"White wine","Red wine")</f>
        <v>Red wine</v>
      </c>
    </row>
    <row r="245" spans="1:19" x14ac:dyDescent="0.3">
      <c r="A245" s="13">
        <v>244</v>
      </c>
      <c r="B245" s="1">
        <v>15</v>
      </c>
      <c r="C245" s="1">
        <v>0.21</v>
      </c>
      <c r="D245" s="1">
        <v>0.44</v>
      </c>
      <c r="E245" s="1">
        <v>2.2000000000000002</v>
      </c>
      <c r="F245" s="1">
        <v>7.4999999999999997E-2</v>
      </c>
      <c r="G245" s="1">
        <v>10</v>
      </c>
      <c r="H245" s="1">
        <v>24</v>
      </c>
      <c r="I245" s="1">
        <v>1.0000500000000001</v>
      </c>
      <c r="J245" s="1">
        <v>3.07</v>
      </c>
      <c r="K245" s="1">
        <v>0.84</v>
      </c>
      <c r="L245" s="1">
        <v>9.1999999999999993</v>
      </c>
      <c r="M245" s="2">
        <v>7</v>
      </c>
      <c r="N245" s="2" t="str" cm="1">
        <f t="array" ref="N245">_xlfn.IFS(Table1[[#This Row],[quality]]&lt;=4,"Low",Table1[[#This Row],[quality]]&lt;=6,"Medium",Table1[[#This Row],[quality]]&gt;=7,"High")</f>
        <v>High</v>
      </c>
      <c r="O245" s="2" t="str">
        <f>IF(AND(Table1[[#This Row],[fixed acidity]]&gt;Sheet1!$C$4,Table1[[#This Row],[pH]]&lt;Sheet1!$K$4),"High","Normal")</f>
        <v>High</v>
      </c>
      <c r="P245" s="1">
        <f>(Table1[[#This Row],[alcohol]]*2)+(Table1[[#This Row],[sulphates]]*1.5)-(Table1[[#This Row],[volatile acidity]]*2)</f>
        <v>19.239999999999998</v>
      </c>
      <c r="Q245" s="1">
        <f>RANK(Table1[[#This Row],[Quality_score_index]],Table1[Quality_score_index],0)</f>
        <v>1062</v>
      </c>
      <c r="R245" s="1">
        <f>Table1[[#This Row],[total sulfur dioxide]]-Table1[[#This Row],[free sulfur dioxide]]</f>
        <v>14</v>
      </c>
      <c r="S245" s="1" t="str">
        <f>IF(AND(Table1[[#This Row],[pH]]&gt;=3.2,Table1[[#This Row],[alcohol]]&gt;=10),"White wine","Red wine")</f>
        <v>Red wine</v>
      </c>
    </row>
    <row r="246" spans="1:19" x14ac:dyDescent="0.3">
      <c r="A246" s="13">
        <v>245</v>
      </c>
      <c r="B246" s="1">
        <v>15</v>
      </c>
      <c r="C246" s="1">
        <v>0.21</v>
      </c>
      <c r="D246" s="1">
        <v>0.44</v>
      </c>
      <c r="E246" s="1">
        <v>2.2000000000000002</v>
      </c>
      <c r="F246" s="1">
        <v>7.4999999999999997E-2</v>
      </c>
      <c r="G246" s="1">
        <v>10</v>
      </c>
      <c r="H246" s="1">
        <v>24</v>
      </c>
      <c r="I246" s="1">
        <v>1.0000500000000001</v>
      </c>
      <c r="J246" s="1">
        <v>3.07</v>
      </c>
      <c r="K246" s="1">
        <v>0.84</v>
      </c>
      <c r="L246" s="1">
        <v>9.1999999999999993</v>
      </c>
      <c r="M246" s="2">
        <v>7</v>
      </c>
      <c r="N246" s="2" t="str" cm="1">
        <f t="array" ref="N246">_xlfn.IFS(Table1[[#This Row],[quality]]&lt;=4,"Low",Table1[[#This Row],[quality]]&lt;=6,"Medium",Table1[[#This Row],[quality]]&gt;=7,"High")</f>
        <v>High</v>
      </c>
      <c r="O246" s="2" t="str">
        <f>IF(AND(Table1[[#This Row],[fixed acidity]]&gt;Sheet1!$C$4,Table1[[#This Row],[pH]]&lt;Sheet1!$K$4),"High","Normal")</f>
        <v>High</v>
      </c>
      <c r="P246" s="1">
        <f>(Table1[[#This Row],[alcohol]]*2)+(Table1[[#This Row],[sulphates]]*1.5)-(Table1[[#This Row],[volatile acidity]]*2)</f>
        <v>19.239999999999998</v>
      </c>
      <c r="Q246" s="1">
        <f>RANK(Table1[[#This Row],[Quality_score_index]],Table1[Quality_score_index],0)</f>
        <v>1062</v>
      </c>
      <c r="R246" s="1">
        <f>Table1[[#This Row],[total sulfur dioxide]]-Table1[[#This Row],[free sulfur dioxide]]</f>
        <v>14</v>
      </c>
      <c r="S246" s="1" t="str">
        <f>IF(AND(Table1[[#This Row],[pH]]&gt;=3.2,Table1[[#This Row],[alcohol]]&gt;=10),"White wine","Red wine")</f>
        <v>Red wine</v>
      </c>
    </row>
    <row r="247" spans="1:19" x14ac:dyDescent="0.3">
      <c r="A247" s="13">
        <v>246</v>
      </c>
      <c r="B247" s="1">
        <v>7.3</v>
      </c>
      <c r="C247" s="1">
        <v>0.66</v>
      </c>
      <c r="D247" s="1">
        <v>0</v>
      </c>
      <c r="E247" s="1">
        <v>2</v>
      </c>
      <c r="F247" s="1">
        <v>8.4000000000000005E-2</v>
      </c>
      <c r="G247" s="1">
        <v>6</v>
      </c>
      <c r="H247" s="1">
        <v>23</v>
      </c>
      <c r="I247" s="1">
        <v>0.99829999999999997</v>
      </c>
      <c r="J247" s="1">
        <v>3.61</v>
      </c>
      <c r="K247" s="1">
        <v>0.96</v>
      </c>
      <c r="L247" s="1">
        <v>9.9</v>
      </c>
      <c r="M247" s="2">
        <v>6</v>
      </c>
      <c r="N247" s="2" t="str" cm="1">
        <f t="array" ref="N247">_xlfn.IFS(Table1[[#This Row],[quality]]&lt;=4,"Low",Table1[[#This Row],[quality]]&lt;=6,"Medium",Table1[[#This Row],[quality]]&gt;=7,"High")</f>
        <v>Medium</v>
      </c>
      <c r="O247" s="2" t="str">
        <f>IF(AND(Table1[[#This Row],[fixed acidity]]&gt;Sheet1!$C$4,Table1[[#This Row],[pH]]&lt;Sheet1!$K$4),"High","Normal")</f>
        <v>Normal</v>
      </c>
      <c r="P247" s="1">
        <f>(Table1[[#This Row],[alcohol]]*2)+(Table1[[#This Row],[sulphates]]*1.5)-(Table1[[#This Row],[volatile acidity]]*2)</f>
        <v>19.920000000000002</v>
      </c>
      <c r="Q247" s="1">
        <f>RANK(Table1[[#This Row],[Quality_score_index]],Table1[Quality_score_index],0)</f>
        <v>871</v>
      </c>
      <c r="R247" s="1">
        <f>Table1[[#This Row],[total sulfur dioxide]]-Table1[[#This Row],[free sulfur dioxide]]</f>
        <v>17</v>
      </c>
      <c r="S247" s="1" t="str">
        <f>IF(AND(Table1[[#This Row],[pH]]&gt;=3.2,Table1[[#This Row],[alcohol]]&gt;=10),"White wine","Red wine")</f>
        <v>Red wine</v>
      </c>
    </row>
    <row r="248" spans="1:19" x14ac:dyDescent="0.3">
      <c r="A248" s="13">
        <v>247</v>
      </c>
      <c r="B248" s="1">
        <v>7.1</v>
      </c>
      <c r="C248" s="1">
        <v>0.68</v>
      </c>
      <c r="D248" s="1">
        <v>7.0000000000000007E-2</v>
      </c>
      <c r="E248" s="1">
        <v>1.9</v>
      </c>
      <c r="F248" s="1">
        <v>7.4999999999999997E-2</v>
      </c>
      <c r="G248" s="1">
        <v>16</v>
      </c>
      <c r="H248" s="1">
        <v>51</v>
      </c>
      <c r="I248" s="1">
        <v>0.99685000000000001</v>
      </c>
      <c r="J248" s="1">
        <v>3.38</v>
      </c>
      <c r="K248" s="1">
        <v>0.52</v>
      </c>
      <c r="L248" s="1">
        <v>9.5</v>
      </c>
      <c r="M248" s="2">
        <v>5</v>
      </c>
      <c r="N248" s="2" t="str" cm="1">
        <f t="array" ref="N248">_xlfn.IFS(Table1[[#This Row],[quality]]&lt;=4,"Low",Table1[[#This Row],[quality]]&lt;=6,"Medium",Table1[[#This Row],[quality]]&gt;=7,"High")</f>
        <v>Medium</v>
      </c>
      <c r="O248" s="2" t="str">
        <f>IF(AND(Table1[[#This Row],[fixed acidity]]&gt;Sheet1!$C$4,Table1[[#This Row],[pH]]&lt;Sheet1!$K$4),"High","Normal")</f>
        <v>Normal</v>
      </c>
      <c r="P248" s="1">
        <f>(Table1[[#This Row],[alcohol]]*2)+(Table1[[#This Row],[sulphates]]*1.5)-(Table1[[#This Row],[volatile acidity]]*2)</f>
        <v>18.420000000000002</v>
      </c>
      <c r="Q248" s="1">
        <f>RANK(Table1[[#This Row],[Quality_score_index]],Table1[Quality_score_index],0)</f>
        <v>1407</v>
      </c>
      <c r="R248" s="1">
        <f>Table1[[#This Row],[total sulfur dioxide]]-Table1[[#This Row],[free sulfur dioxide]]</f>
        <v>35</v>
      </c>
      <c r="S248" s="1" t="str">
        <f>IF(AND(Table1[[#This Row],[pH]]&gt;=3.2,Table1[[#This Row],[alcohol]]&gt;=10),"White wine","Red wine")</f>
        <v>Red wine</v>
      </c>
    </row>
    <row r="249" spans="1:19" x14ac:dyDescent="0.3">
      <c r="A249" s="13">
        <v>248</v>
      </c>
      <c r="B249" s="1">
        <v>8.1999999999999993</v>
      </c>
      <c r="C249" s="1">
        <v>0.6</v>
      </c>
      <c r="D249" s="1">
        <v>0.17</v>
      </c>
      <c r="E249" s="1">
        <v>2.2999999999999998</v>
      </c>
      <c r="F249" s="1">
        <v>7.1999999999999995E-2</v>
      </c>
      <c r="G249" s="1">
        <v>11</v>
      </c>
      <c r="H249" s="1">
        <v>73</v>
      </c>
      <c r="I249" s="1">
        <v>0.99629999999999996</v>
      </c>
      <c r="J249" s="1">
        <v>3.2</v>
      </c>
      <c r="K249" s="1">
        <v>0.45</v>
      </c>
      <c r="L249" s="1">
        <v>9.3000000000000007</v>
      </c>
      <c r="M249" s="2">
        <v>5</v>
      </c>
      <c r="N249" s="2" t="str" cm="1">
        <f t="array" ref="N249">_xlfn.IFS(Table1[[#This Row],[quality]]&lt;=4,"Low",Table1[[#This Row],[quality]]&lt;=6,"Medium",Table1[[#This Row],[quality]]&gt;=7,"High")</f>
        <v>Medium</v>
      </c>
      <c r="O249" s="2" t="str">
        <f>IF(AND(Table1[[#This Row],[fixed acidity]]&gt;Sheet1!$C$4,Table1[[#This Row],[pH]]&lt;Sheet1!$K$4),"High","Normal")</f>
        <v>Normal</v>
      </c>
      <c r="P249" s="1">
        <f>(Table1[[#This Row],[alcohol]]*2)+(Table1[[#This Row],[sulphates]]*1.5)-(Table1[[#This Row],[volatile acidity]]*2)</f>
        <v>18.075000000000003</v>
      </c>
      <c r="Q249" s="1">
        <f>RANK(Table1[[#This Row],[Quality_score_index]],Table1[Quality_score_index],0)</f>
        <v>1505</v>
      </c>
      <c r="R249" s="1">
        <f>Table1[[#This Row],[total sulfur dioxide]]-Table1[[#This Row],[free sulfur dioxide]]</f>
        <v>62</v>
      </c>
      <c r="S249" s="1" t="str">
        <f>IF(AND(Table1[[#This Row],[pH]]&gt;=3.2,Table1[[#This Row],[alcohol]]&gt;=10),"White wine","Red wine")</f>
        <v>Red wine</v>
      </c>
    </row>
    <row r="250" spans="1:19" x14ac:dyDescent="0.3">
      <c r="A250" s="13">
        <v>249</v>
      </c>
      <c r="B250" s="1">
        <v>7.7</v>
      </c>
      <c r="C250" s="1">
        <v>0.53</v>
      </c>
      <c r="D250" s="1">
        <v>0.06</v>
      </c>
      <c r="E250" s="1">
        <v>1.7</v>
      </c>
      <c r="F250" s="1">
        <v>7.3999999999999996E-2</v>
      </c>
      <c r="G250" s="1">
        <v>9</v>
      </c>
      <c r="H250" s="1">
        <v>39</v>
      </c>
      <c r="I250" s="1">
        <v>0.99614999999999998</v>
      </c>
      <c r="J250" s="1">
        <v>3.35</v>
      </c>
      <c r="K250" s="1">
        <v>0.48</v>
      </c>
      <c r="L250" s="1">
        <v>9.8000000000000007</v>
      </c>
      <c r="M250" s="2">
        <v>6</v>
      </c>
      <c r="N250" s="2" t="str" cm="1">
        <f t="array" ref="N250">_xlfn.IFS(Table1[[#This Row],[quality]]&lt;=4,"Low",Table1[[#This Row],[quality]]&lt;=6,"Medium",Table1[[#This Row],[quality]]&gt;=7,"High")</f>
        <v>Medium</v>
      </c>
      <c r="O250" s="2" t="str">
        <f>IF(AND(Table1[[#This Row],[fixed acidity]]&gt;Sheet1!$C$4,Table1[[#This Row],[pH]]&lt;Sheet1!$K$4),"High","Normal")</f>
        <v>Normal</v>
      </c>
      <c r="P250" s="1">
        <f>(Table1[[#This Row],[alcohol]]*2)+(Table1[[#This Row],[sulphates]]*1.5)-(Table1[[#This Row],[volatile acidity]]*2)</f>
        <v>19.260000000000002</v>
      </c>
      <c r="Q250" s="1">
        <f>RANK(Table1[[#This Row],[Quality_score_index]],Table1[Quality_score_index],0)</f>
        <v>1056</v>
      </c>
      <c r="R250" s="1">
        <f>Table1[[#This Row],[total sulfur dioxide]]-Table1[[#This Row],[free sulfur dioxide]]</f>
        <v>30</v>
      </c>
      <c r="S250" s="1" t="str">
        <f>IF(AND(Table1[[#This Row],[pH]]&gt;=3.2,Table1[[#This Row],[alcohol]]&gt;=10),"White wine","Red wine")</f>
        <v>Red wine</v>
      </c>
    </row>
    <row r="251" spans="1:19" x14ac:dyDescent="0.3">
      <c r="A251" s="13">
        <v>250</v>
      </c>
      <c r="B251" s="1">
        <v>7.3</v>
      </c>
      <c r="C251" s="1">
        <v>0.66</v>
      </c>
      <c r="D251" s="1">
        <v>0</v>
      </c>
      <c r="E251" s="1">
        <v>2</v>
      </c>
      <c r="F251" s="1">
        <v>8.4000000000000005E-2</v>
      </c>
      <c r="G251" s="1">
        <v>6</v>
      </c>
      <c r="H251" s="1">
        <v>23</v>
      </c>
      <c r="I251" s="1">
        <v>0.99829999999999997</v>
      </c>
      <c r="J251" s="1">
        <v>3.61</v>
      </c>
      <c r="K251" s="1">
        <v>0.96</v>
      </c>
      <c r="L251" s="1">
        <v>9.9</v>
      </c>
      <c r="M251" s="2">
        <v>6</v>
      </c>
      <c r="N251" s="2" t="str" cm="1">
        <f t="array" ref="N251">_xlfn.IFS(Table1[[#This Row],[quality]]&lt;=4,"Low",Table1[[#This Row],[quality]]&lt;=6,"Medium",Table1[[#This Row],[quality]]&gt;=7,"High")</f>
        <v>Medium</v>
      </c>
      <c r="O251" s="2" t="str">
        <f>IF(AND(Table1[[#This Row],[fixed acidity]]&gt;Sheet1!$C$4,Table1[[#This Row],[pH]]&lt;Sheet1!$K$4),"High","Normal")</f>
        <v>Normal</v>
      </c>
      <c r="P251" s="1">
        <f>(Table1[[#This Row],[alcohol]]*2)+(Table1[[#This Row],[sulphates]]*1.5)-(Table1[[#This Row],[volatile acidity]]*2)</f>
        <v>19.920000000000002</v>
      </c>
      <c r="Q251" s="1">
        <f>RANK(Table1[[#This Row],[Quality_score_index]],Table1[Quality_score_index],0)</f>
        <v>871</v>
      </c>
      <c r="R251" s="1">
        <f>Table1[[#This Row],[total sulfur dioxide]]-Table1[[#This Row],[free sulfur dioxide]]</f>
        <v>17</v>
      </c>
      <c r="S251" s="1" t="str">
        <f>IF(AND(Table1[[#This Row],[pH]]&gt;=3.2,Table1[[#This Row],[alcohol]]&gt;=10),"White wine","Red wine")</f>
        <v>Red wine</v>
      </c>
    </row>
    <row r="252" spans="1:19" x14ac:dyDescent="0.3">
      <c r="A252" s="13">
        <v>251</v>
      </c>
      <c r="B252" s="1">
        <v>10.8</v>
      </c>
      <c r="C252" s="1">
        <v>0.32</v>
      </c>
      <c r="D252" s="1">
        <v>0.44</v>
      </c>
      <c r="E252" s="1">
        <v>1.6</v>
      </c>
      <c r="F252" s="1">
        <v>6.3E-2</v>
      </c>
      <c r="G252" s="1">
        <v>16</v>
      </c>
      <c r="H252" s="1">
        <v>37</v>
      </c>
      <c r="I252" s="1">
        <v>0.99850000000000005</v>
      </c>
      <c r="J252" s="1">
        <v>3.22</v>
      </c>
      <c r="K252" s="1">
        <v>0.78</v>
      </c>
      <c r="L252" s="1">
        <v>10</v>
      </c>
      <c r="M252" s="2">
        <v>6</v>
      </c>
      <c r="N252" s="2" t="str" cm="1">
        <f t="array" ref="N252">_xlfn.IFS(Table1[[#This Row],[quality]]&lt;=4,"Low",Table1[[#This Row],[quality]]&lt;=6,"Medium",Table1[[#This Row],[quality]]&gt;=7,"High")</f>
        <v>Medium</v>
      </c>
      <c r="O252" s="2" t="str">
        <f>IF(AND(Table1[[#This Row],[fixed acidity]]&gt;Sheet1!$C$4,Table1[[#This Row],[pH]]&lt;Sheet1!$K$4),"High","Normal")</f>
        <v>High</v>
      </c>
      <c r="P252" s="1">
        <f>(Table1[[#This Row],[alcohol]]*2)+(Table1[[#This Row],[sulphates]]*1.5)-(Table1[[#This Row],[volatile acidity]]*2)</f>
        <v>20.53</v>
      </c>
      <c r="Q252" s="1">
        <f>RANK(Table1[[#This Row],[Quality_score_index]],Table1[Quality_score_index],0)</f>
        <v>751</v>
      </c>
      <c r="R252" s="1">
        <f>Table1[[#This Row],[total sulfur dioxide]]-Table1[[#This Row],[free sulfur dioxide]]</f>
        <v>21</v>
      </c>
      <c r="S252" s="1" t="str">
        <f>IF(AND(Table1[[#This Row],[pH]]&gt;=3.2,Table1[[#This Row],[alcohol]]&gt;=10),"White wine","Red wine")</f>
        <v>White wine</v>
      </c>
    </row>
    <row r="253" spans="1:19" x14ac:dyDescent="0.3">
      <c r="A253" s="13">
        <v>252</v>
      </c>
      <c r="B253" s="1">
        <v>7.1</v>
      </c>
      <c r="C253" s="1">
        <v>0.6</v>
      </c>
      <c r="D253" s="1">
        <v>0</v>
      </c>
      <c r="E253" s="1">
        <v>1.8</v>
      </c>
      <c r="F253" s="1">
        <v>7.3999999999999996E-2</v>
      </c>
      <c r="G253" s="1">
        <v>16</v>
      </c>
      <c r="H253" s="1">
        <v>34</v>
      </c>
      <c r="I253" s="1">
        <v>0.99719999999999998</v>
      </c>
      <c r="J253" s="1">
        <v>3.47</v>
      </c>
      <c r="K253" s="1">
        <v>0.7</v>
      </c>
      <c r="L253" s="1">
        <v>9.9</v>
      </c>
      <c r="M253" s="2">
        <v>6</v>
      </c>
      <c r="N253" s="2" t="str" cm="1">
        <f t="array" ref="N253">_xlfn.IFS(Table1[[#This Row],[quality]]&lt;=4,"Low",Table1[[#This Row],[quality]]&lt;=6,"Medium",Table1[[#This Row],[quality]]&gt;=7,"High")</f>
        <v>Medium</v>
      </c>
      <c r="O253" s="2" t="str">
        <f>IF(AND(Table1[[#This Row],[fixed acidity]]&gt;Sheet1!$C$4,Table1[[#This Row],[pH]]&lt;Sheet1!$K$4),"High","Normal")</f>
        <v>Normal</v>
      </c>
      <c r="P253" s="1">
        <f>(Table1[[#This Row],[alcohol]]*2)+(Table1[[#This Row],[sulphates]]*1.5)-(Table1[[#This Row],[volatile acidity]]*2)</f>
        <v>19.650000000000002</v>
      </c>
      <c r="Q253" s="1">
        <f>RANK(Table1[[#This Row],[Quality_score_index]],Table1[Quality_score_index],0)</f>
        <v>940</v>
      </c>
      <c r="R253" s="1">
        <f>Table1[[#This Row],[total sulfur dioxide]]-Table1[[#This Row],[free sulfur dioxide]]</f>
        <v>18</v>
      </c>
      <c r="S253" s="1" t="str">
        <f>IF(AND(Table1[[#This Row],[pH]]&gt;=3.2,Table1[[#This Row],[alcohol]]&gt;=10),"White wine","Red wine")</f>
        <v>Red wine</v>
      </c>
    </row>
    <row r="254" spans="1:19" x14ac:dyDescent="0.3">
      <c r="A254" s="13">
        <v>253</v>
      </c>
      <c r="B254" s="1">
        <v>11.1</v>
      </c>
      <c r="C254" s="1">
        <v>0.35</v>
      </c>
      <c r="D254" s="1">
        <v>0.48</v>
      </c>
      <c r="E254" s="1">
        <v>3.1</v>
      </c>
      <c r="F254" s="1">
        <v>0.09</v>
      </c>
      <c r="G254" s="1">
        <v>5</v>
      </c>
      <c r="H254" s="1">
        <v>21</v>
      </c>
      <c r="I254" s="1">
        <v>0.99860000000000004</v>
      </c>
      <c r="J254" s="1">
        <v>3.17</v>
      </c>
      <c r="K254" s="1">
        <v>0.53</v>
      </c>
      <c r="L254" s="1">
        <v>10.5</v>
      </c>
      <c r="M254" s="2">
        <v>5</v>
      </c>
      <c r="N254" s="2" t="str" cm="1">
        <f t="array" ref="N254">_xlfn.IFS(Table1[[#This Row],[quality]]&lt;=4,"Low",Table1[[#This Row],[quality]]&lt;=6,"Medium",Table1[[#This Row],[quality]]&gt;=7,"High")</f>
        <v>Medium</v>
      </c>
      <c r="O254" s="2" t="str">
        <f>IF(AND(Table1[[#This Row],[fixed acidity]]&gt;Sheet1!$C$4,Table1[[#This Row],[pH]]&lt;Sheet1!$K$4),"High","Normal")</f>
        <v>High</v>
      </c>
      <c r="P254" s="1">
        <f>(Table1[[#This Row],[alcohol]]*2)+(Table1[[#This Row],[sulphates]]*1.5)-(Table1[[#This Row],[volatile acidity]]*2)</f>
        <v>21.095000000000002</v>
      </c>
      <c r="Q254" s="1">
        <f>RANK(Table1[[#This Row],[Quality_score_index]],Table1[Quality_score_index],0)</f>
        <v>631</v>
      </c>
      <c r="R254" s="1">
        <f>Table1[[#This Row],[total sulfur dioxide]]-Table1[[#This Row],[free sulfur dioxide]]</f>
        <v>16</v>
      </c>
      <c r="S254" s="1" t="str">
        <f>IF(AND(Table1[[#This Row],[pH]]&gt;=3.2,Table1[[#This Row],[alcohol]]&gt;=10),"White wine","Red wine")</f>
        <v>Red wine</v>
      </c>
    </row>
    <row r="255" spans="1:19" x14ac:dyDescent="0.3">
      <c r="A255" s="13">
        <v>254</v>
      </c>
      <c r="B255" s="1">
        <v>7.7</v>
      </c>
      <c r="C255" s="1">
        <v>0.77500000000000002</v>
      </c>
      <c r="D255" s="1">
        <v>0.42</v>
      </c>
      <c r="E255" s="1">
        <v>1.9</v>
      </c>
      <c r="F255" s="1">
        <v>9.1999999999999998E-2</v>
      </c>
      <c r="G255" s="1">
        <v>8</v>
      </c>
      <c r="H255" s="1">
        <v>86</v>
      </c>
      <c r="I255" s="1">
        <v>0.99590000000000001</v>
      </c>
      <c r="J255" s="1">
        <v>3.23</v>
      </c>
      <c r="K255" s="1">
        <v>0.59</v>
      </c>
      <c r="L255" s="1">
        <v>9.5</v>
      </c>
      <c r="M255" s="2">
        <v>5</v>
      </c>
      <c r="N255" s="2" t="str" cm="1">
        <f t="array" ref="N255">_xlfn.IFS(Table1[[#This Row],[quality]]&lt;=4,"Low",Table1[[#This Row],[quality]]&lt;=6,"Medium",Table1[[#This Row],[quality]]&gt;=7,"High")</f>
        <v>Medium</v>
      </c>
      <c r="O255" s="2" t="str">
        <f>IF(AND(Table1[[#This Row],[fixed acidity]]&gt;Sheet1!$C$4,Table1[[#This Row],[pH]]&lt;Sheet1!$K$4),"High","Normal")</f>
        <v>Normal</v>
      </c>
      <c r="P255" s="1">
        <f>(Table1[[#This Row],[alcohol]]*2)+(Table1[[#This Row],[sulphates]]*1.5)-(Table1[[#This Row],[volatile acidity]]*2)</f>
        <v>18.335000000000001</v>
      </c>
      <c r="Q255" s="1">
        <f>RANK(Table1[[#This Row],[Quality_score_index]],Table1[Quality_score_index],0)</f>
        <v>1444</v>
      </c>
      <c r="R255" s="1">
        <f>Table1[[#This Row],[total sulfur dioxide]]-Table1[[#This Row],[free sulfur dioxide]]</f>
        <v>78</v>
      </c>
      <c r="S255" s="1" t="str">
        <f>IF(AND(Table1[[#This Row],[pH]]&gt;=3.2,Table1[[#This Row],[alcohol]]&gt;=10),"White wine","Red wine")</f>
        <v>Red wine</v>
      </c>
    </row>
    <row r="256" spans="1:19" x14ac:dyDescent="0.3">
      <c r="A256" s="13">
        <v>255</v>
      </c>
      <c r="B256" s="1">
        <v>7.1</v>
      </c>
      <c r="C256" s="1">
        <v>0.6</v>
      </c>
      <c r="D256" s="1">
        <v>0</v>
      </c>
      <c r="E256" s="1">
        <v>1.8</v>
      </c>
      <c r="F256" s="1">
        <v>7.3999999999999996E-2</v>
      </c>
      <c r="G256" s="1">
        <v>16</v>
      </c>
      <c r="H256" s="1">
        <v>34</v>
      </c>
      <c r="I256" s="1">
        <v>0.99719999999999998</v>
      </c>
      <c r="J256" s="1">
        <v>3.47</v>
      </c>
      <c r="K256" s="1">
        <v>0.7</v>
      </c>
      <c r="L256" s="1">
        <v>9.9</v>
      </c>
      <c r="M256" s="2">
        <v>6</v>
      </c>
      <c r="N256" s="2" t="str" cm="1">
        <f t="array" ref="N256">_xlfn.IFS(Table1[[#This Row],[quality]]&lt;=4,"Low",Table1[[#This Row],[quality]]&lt;=6,"Medium",Table1[[#This Row],[quality]]&gt;=7,"High")</f>
        <v>Medium</v>
      </c>
      <c r="O256" s="2" t="str">
        <f>IF(AND(Table1[[#This Row],[fixed acidity]]&gt;Sheet1!$C$4,Table1[[#This Row],[pH]]&lt;Sheet1!$K$4),"High","Normal")</f>
        <v>Normal</v>
      </c>
      <c r="P256" s="1">
        <f>(Table1[[#This Row],[alcohol]]*2)+(Table1[[#This Row],[sulphates]]*1.5)-(Table1[[#This Row],[volatile acidity]]*2)</f>
        <v>19.650000000000002</v>
      </c>
      <c r="Q256" s="1">
        <f>RANK(Table1[[#This Row],[Quality_score_index]],Table1[Quality_score_index],0)</f>
        <v>940</v>
      </c>
      <c r="R256" s="1">
        <f>Table1[[#This Row],[total sulfur dioxide]]-Table1[[#This Row],[free sulfur dioxide]]</f>
        <v>18</v>
      </c>
      <c r="S256" s="1" t="str">
        <f>IF(AND(Table1[[#This Row],[pH]]&gt;=3.2,Table1[[#This Row],[alcohol]]&gt;=10),"White wine","Red wine")</f>
        <v>Red wine</v>
      </c>
    </row>
    <row r="257" spans="1:19" x14ac:dyDescent="0.3">
      <c r="A257" s="13">
        <v>256</v>
      </c>
      <c r="B257" s="1">
        <v>8</v>
      </c>
      <c r="C257" s="1">
        <v>0.56999999999999995</v>
      </c>
      <c r="D257" s="1">
        <v>0.23</v>
      </c>
      <c r="E257" s="1">
        <v>3.2</v>
      </c>
      <c r="F257" s="1">
        <v>7.2999999999999995E-2</v>
      </c>
      <c r="G257" s="1">
        <v>17</v>
      </c>
      <c r="H257" s="1">
        <v>119</v>
      </c>
      <c r="I257" s="1">
        <v>0.99675000000000002</v>
      </c>
      <c r="J257" s="1">
        <v>3.26</v>
      </c>
      <c r="K257" s="1">
        <v>0.56999999999999995</v>
      </c>
      <c r="L257" s="1">
        <v>9.3000000000000007</v>
      </c>
      <c r="M257" s="2">
        <v>5</v>
      </c>
      <c r="N257" s="2" t="str" cm="1">
        <f t="array" ref="N257">_xlfn.IFS(Table1[[#This Row],[quality]]&lt;=4,"Low",Table1[[#This Row],[quality]]&lt;=6,"Medium",Table1[[#This Row],[quality]]&gt;=7,"High")</f>
        <v>Medium</v>
      </c>
      <c r="O257" s="2" t="str">
        <f>IF(AND(Table1[[#This Row],[fixed acidity]]&gt;Sheet1!$C$4,Table1[[#This Row],[pH]]&lt;Sheet1!$K$4),"High","Normal")</f>
        <v>Normal</v>
      </c>
      <c r="P257" s="1">
        <f>(Table1[[#This Row],[alcohol]]*2)+(Table1[[#This Row],[sulphates]]*1.5)-(Table1[[#This Row],[volatile acidity]]*2)</f>
        <v>18.315000000000001</v>
      </c>
      <c r="Q257" s="1">
        <f>RANK(Table1[[#This Row],[Quality_score_index]],Table1[Quality_score_index],0)</f>
        <v>1452</v>
      </c>
      <c r="R257" s="1">
        <f>Table1[[#This Row],[total sulfur dioxide]]-Table1[[#This Row],[free sulfur dioxide]]</f>
        <v>102</v>
      </c>
      <c r="S257" s="1" t="str">
        <f>IF(AND(Table1[[#This Row],[pH]]&gt;=3.2,Table1[[#This Row],[alcohol]]&gt;=10),"White wine","Red wine")</f>
        <v>Red wine</v>
      </c>
    </row>
    <row r="258" spans="1:19" x14ac:dyDescent="0.3">
      <c r="A258" s="13">
        <v>257</v>
      </c>
      <c r="B258" s="1">
        <v>9.4</v>
      </c>
      <c r="C258" s="1">
        <v>0.34</v>
      </c>
      <c r="D258" s="1">
        <v>0.37</v>
      </c>
      <c r="E258" s="1">
        <v>2.2000000000000002</v>
      </c>
      <c r="F258" s="1">
        <v>7.4999999999999997E-2</v>
      </c>
      <c r="G258" s="1">
        <v>5</v>
      </c>
      <c r="H258" s="1">
        <v>13</v>
      </c>
      <c r="I258" s="1">
        <v>0.998</v>
      </c>
      <c r="J258" s="1">
        <v>3.22</v>
      </c>
      <c r="K258" s="1">
        <v>0.62</v>
      </c>
      <c r="L258" s="1">
        <v>9.1999999999999993</v>
      </c>
      <c r="M258" s="2">
        <v>5</v>
      </c>
      <c r="N258" s="2" t="str" cm="1">
        <f t="array" ref="N258">_xlfn.IFS(Table1[[#This Row],[quality]]&lt;=4,"Low",Table1[[#This Row],[quality]]&lt;=6,"Medium",Table1[[#This Row],[quality]]&gt;=7,"High")</f>
        <v>Medium</v>
      </c>
      <c r="O258" s="2" t="str">
        <f>IF(AND(Table1[[#This Row],[fixed acidity]]&gt;Sheet1!$C$4,Table1[[#This Row],[pH]]&lt;Sheet1!$K$4),"High","Normal")</f>
        <v>High</v>
      </c>
      <c r="P258" s="1">
        <f>(Table1[[#This Row],[alcohol]]*2)+(Table1[[#This Row],[sulphates]]*1.5)-(Table1[[#This Row],[volatile acidity]]*2)</f>
        <v>18.649999999999999</v>
      </c>
      <c r="Q258" s="1">
        <f>RANK(Table1[[#This Row],[Quality_score_index]],Table1[Quality_score_index],0)</f>
        <v>1321</v>
      </c>
      <c r="R258" s="1">
        <f>Table1[[#This Row],[total sulfur dioxide]]-Table1[[#This Row],[free sulfur dioxide]]</f>
        <v>8</v>
      </c>
      <c r="S258" s="1" t="str">
        <f>IF(AND(Table1[[#This Row],[pH]]&gt;=3.2,Table1[[#This Row],[alcohol]]&gt;=10),"White wine","Red wine")</f>
        <v>Red wine</v>
      </c>
    </row>
    <row r="259" spans="1:19" x14ac:dyDescent="0.3">
      <c r="A259" s="13">
        <v>258</v>
      </c>
      <c r="B259" s="1">
        <v>6.6</v>
      </c>
      <c r="C259" s="1">
        <v>0.69499999999999995</v>
      </c>
      <c r="D259" s="1">
        <v>0</v>
      </c>
      <c r="E259" s="1">
        <v>2.1</v>
      </c>
      <c r="F259" s="1">
        <v>7.4999999999999997E-2</v>
      </c>
      <c r="G259" s="1">
        <v>12</v>
      </c>
      <c r="H259" s="1">
        <v>56</v>
      </c>
      <c r="I259" s="1">
        <v>0.99680000000000002</v>
      </c>
      <c r="J259" s="1">
        <v>3.49</v>
      </c>
      <c r="K259" s="1">
        <v>0.67</v>
      </c>
      <c r="L259" s="1">
        <v>9.1999999999999993</v>
      </c>
      <c r="M259" s="2">
        <v>5</v>
      </c>
      <c r="N259" s="2" t="str" cm="1">
        <f t="array" ref="N259">_xlfn.IFS(Table1[[#This Row],[quality]]&lt;=4,"Low",Table1[[#This Row],[quality]]&lt;=6,"Medium",Table1[[#This Row],[quality]]&gt;=7,"High")</f>
        <v>Medium</v>
      </c>
      <c r="O259" s="2" t="str">
        <f>IF(AND(Table1[[#This Row],[fixed acidity]]&gt;Sheet1!$C$4,Table1[[#This Row],[pH]]&lt;Sheet1!$K$4),"High","Normal")</f>
        <v>Normal</v>
      </c>
      <c r="P259" s="1">
        <f>(Table1[[#This Row],[alcohol]]*2)+(Table1[[#This Row],[sulphates]]*1.5)-(Table1[[#This Row],[volatile acidity]]*2)</f>
        <v>18.014999999999997</v>
      </c>
      <c r="Q259" s="1">
        <f>RANK(Table1[[#This Row],[Quality_score_index]],Table1[Quality_score_index],0)</f>
        <v>1521</v>
      </c>
      <c r="R259" s="1">
        <f>Table1[[#This Row],[total sulfur dioxide]]-Table1[[#This Row],[free sulfur dioxide]]</f>
        <v>44</v>
      </c>
      <c r="S259" s="1" t="str">
        <f>IF(AND(Table1[[#This Row],[pH]]&gt;=3.2,Table1[[#This Row],[alcohol]]&gt;=10),"White wine","Red wine")</f>
        <v>Red wine</v>
      </c>
    </row>
    <row r="260" spans="1:19" x14ac:dyDescent="0.3">
      <c r="A260" s="13">
        <v>259</v>
      </c>
      <c r="B260" s="1">
        <v>7.7</v>
      </c>
      <c r="C260" s="1">
        <v>0.41</v>
      </c>
      <c r="D260" s="1">
        <v>0.76</v>
      </c>
      <c r="E260" s="1">
        <v>1.8</v>
      </c>
      <c r="F260" s="1">
        <v>0.61099999999999999</v>
      </c>
      <c r="G260" s="1">
        <v>8</v>
      </c>
      <c r="H260" s="1">
        <v>45</v>
      </c>
      <c r="I260" s="1">
        <v>0.99680000000000002</v>
      </c>
      <c r="J260" s="1">
        <v>3.06</v>
      </c>
      <c r="K260" s="1">
        <v>1.26</v>
      </c>
      <c r="L260" s="1">
        <v>9.4</v>
      </c>
      <c r="M260" s="2">
        <v>5</v>
      </c>
      <c r="N260" s="2" t="str" cm="1">
        <f t="array" ref="N260">_xlfn.IFS(Table1[[#This Row],[quality]]&lt;=4,"Low",Table1[[#This Row],[quality]]&lt;=6,"Medium",Table1[[#This Row],[quality]]&gt;=7,"High")</f>
        <v>Medium</v>
      </c>
      <c r="O260" s="2" t="str">
        <f>IF(AND(Table1[[#This Row],[fixed acidity]]&gt;Sheet1!$C$4,Table1[[#This Row],[pH]]&lt;Sheet1!$K$4),"High","Normal")</f>
        <v>Normal</v>
      </c>
      <c r="P260" s="1">
        <f>(Table1[[#This Row],[alcohol]]*2)+(Table1[[#This Row],[sulphates]]*1.5)-(Table1[[#This Row],[volatile acidity]]*2)</f>
        <v>19.87</v>
      </c>
      <c r="Q260" s="1">
        <f>RANK(Table1[[#This Row],[Quality_score_index]],Table1[Quality_score_index],0)</f>
        <v>887</v>
      </c>
      <c r="R260" s="1">
        <f>Table1[[#This Row],[total sulfur dioxide]]-Table1[[#This Row],[free sulfur dioxide]]</f>
        <v>37</v>
      </c>
      <c r="S260" s="1" t="str">
        <f>IF(AND(Table1[[#This Row],[pH]]&gt;=3.2,Table1[[#This Row],[alcohol]]&gt;=10),"White wine","Red wine")</f>
        <v>Red wine</v>
      </c>
    </row>
    <row r="261" spans="1:19" x14ac:dyDescent="0.3">
      <c r="A261" s="13">
        <v>260</v>
      </c>
      <c r="B261" s="1">
        <v>10</v>
      </c>
      <c r="C261" s="1">
        <v>0.31</v>
      </c>
      <c r="D261" s="1">
        <v>0.47</v>
      </c>
      <c r="E261" s="1">
        <v>2.6</v>
      </c>
      <c r="F261" s="1">
        <v>8.5000000000000006E-2</v>
      </c>
      <c r="G261" s="1">
        <v>14</v>
      </c>
      <c r="H261" s="1">
        <v>33</v>
      </c>
      <c r="I261" s="1">
        <v>0.99965000000000004</v>
      </c>
      <c r="J261" s="1">
        <v>3.36</v>
      </c>
      <c r="K261" s="1">
        <v>0.8</v>
      </c>
      <c r="L261" s="1">
        <v>10.5</v>
      </c>
      <c r="M261" s="2">
        <v>7</v>
      </c>
      <c r="N261" s="2" t="str" cm="1">
        <f t="array" ref="N261">_xlfn.IFS(Table1[[#This Row],[quality]]&lt;=4,"Low",Table1[[#This Row],[quality]]&lt;=6,"Medium",Table1[[#This Row],[quality]]&gt;=7,"High")</f>
        <v>High</v>
      </c>
      <c r="O261" s="2" t="str">
        <f>IF(AND(Table1[[#This Row],[fixed acidity]]&gt;Sheet1!$C$4,Table1[[#This Row],[pH]]&lt;Sheet1!$K$4),"High","Normal")</f>
        <v>Normal</v>
      </c>
      <c r="P261" s="1">
        <f>(Table1[[#This Row],[alcohol]]*2)+(Table1[[#This Row],[sulphates]]*1.5)-(Table1[[#This Row],[volatile acidity]]*2)</f>
        <v>21.58</v>
      </c>
      <c r="Q261" s="1">
        <f>RANK(Table1[[#This Row],[Quality_score_index]],Table1[Quality_score_index],0)</f>
        <v>531</v>
      </c>
      <c r="R261" s="1">
        <f>Table1[[#This Row],[total sulfur dioxide]]-Table1[[#This Row],[free sulfur dioxide]]</f>
        <v>19</v>
      </c>
      <c r="S261" s="1" t="str">
        <f>IF(AND(Table1[[#This Row],[pH]]&gt;=3.2,Table1[[#This Row],[alcohol]]&gt;=10),"White wine","Red wine")</f>
        <v>White wine</v>
      </c>
    </row>
    <row r="262" spans="1:19" x14ac:dyDescent="0.3">
      <c r="A262" s="13">
        <v>261</v>
      </c>
      <c r="B262" s="1">
        <v>7.9</v>
      </c>
      <c r="C262" s="1">
        <v>0.33</v>
      </c>
      <c r="D262" s="1">
        <v>0.23</v>
      </c>
      <c r="E262" s="1">
        <v>1.7</v>
      </c>
      <c r="F262" s="1">
        <v>7.6999999999999999E-2</v>
      </c>
      <c r="G262" s="1">
        <v>18</v>
      </c>
      <c r="H262" s="1">
        <v>45</v>
      </c>
      <c r="I262" s="1">
        <v>0.99624999999999997</v>
      </c>
      <c r="J262" s="1">
        <v>3.29</v>
      </c>
      <c r="K262" s="1">
        <v>0.65</v>
      </c>
      <c r="L262" s="1">
        <v>9.3000000000000007</v>
      </c>
      <c r="M262" s="2">
        <v>5</v>
      </c>
      <c r="N262" s="2" t="str" cm="1">
        <f t="array" ref="N262">_xlfn.IFS(Table1[[#This Row],[quality]]&lt;=4,"Low",Table1[[#This Row],[quality]]&lt;=6,"Medium",Table1[[#This Row],[quality]]&gt;=7,"High")</f>
        <v>Medium</v>
      </c>
      <c r="O262" s="2" t="str">
        <f>IF(AND(Table1[[#This Row],[fixed acidity]]&gt;Sheet1!$C$4,Table1[[#This Row],[pH]]&lt;Sheet1!$K$4),"High","Normal")</f>
        <v>Normal</v>
      </c>
      <c r="P262" s="1">
        <f>(Table1[[#This Row],[alcohol]]*2)+(Table1[[#This Row],[sulphates]]*1.5)-(Table1[[#This Row],[volatile acidity]]*2)</f>
        <v>18.915000000000003</v>
      </c>
      <c r="Q262" s="1">
        <f>RANK(Table1[[#This Row],[Quality_score_index]],Table1[Quality_score_index],0)</f>
        <v>1200</v>
      </c>
      <c r="R262" s="1">
        <f>Table1[[#This Row],[total sulfur dioxide]]-Table1[[#This Row],[free sulfur dioxide]]</f>
        <v>27</v>
      </c>
      <c r="S262" s="1" t="str">
        <f>IF(AND(Table1[[#This Row],[pH]]&gt;=3.2,Table1[[#This Row],[alcohol]]&gt;=10),"White wine","Red wine")</f>
        <v>Red wine</v>
      </c>
    </row>
    <row r="263" spans="1:19" x14ac:dyDescent="0.3">
      <c r="A263" s="13">
        <v>262</v>
      </c>
      <c r="B263" s="1">
        <v>7</v>
      </c>
      <c r="C263" s="1">
        <v>0.97499999999999998</v>
      </c>
      <c r="D263" s="1">
        <v>0.04</v>
      </c>
      <c r="E263" s="1">
        <v>2</v>
      </c>
      <c r="F263" s="1">
        <v>8.6999999999999994E-2</v>
      </c>
      <c r="G263" s="1">
        <v>12</v>
      </c>
      <c r="H263" s="1">
        <v>67</v>
      </c>
      <c r="I263" s="1">
        <v>0.99565000000000003</v>
      </c>
      <c r="J263" s="1">
        <v>3.35</v>
      </c>
      <c r="K263" s="1">
        <v>0.6</v>
      </c>
      <c r="L263" s="1">
        <v>9.4</v>
      </c>
      <c r="M263" s="2">
        <v>4</v>
      </c>
      <c r="N263" s="2" t="str" cm="1">
        <f t="array" ref="N263">_xlfn.IFS(Table1[[#This Row],[quality]]&lt;=4,"Low",Table1[[#This Row],[quality]]&lt;=6,"Medium",Table1[[#This Row],[quality]]&gt;=7,"High")</f>
        <v>Low</v>
      </c>
      <c r="O263" s="2" t="str">
        <f>IF(AND(Table1[[#This Row],[fixed acidity]]&gt;Sheet1!$C$4,Table1[[#This Row],[pH]]&lt;Sheet1!$K$4),"High","Normal")</f>
        <v>Normal</v>
      </c>
      <c r="P263" s="1">
        <f>(Table1[[#This Row],[alcohol]]*2)+(Table1[[#This Row],[sulphates]]*1.5)-(Table1[[#This Row],[volatile acidity]]*2)</f>
        <v>17.75</v>
      </c>
      <c r="Q263" s="1">
        <f>RANK(Table1[[#This Row],[Quality_score_index]],Table1[Quality_score_index],0)</f>
        <v>1563</v>
      </c>
      <c r="R263" s="1">
        <f>Table1[[#This Row],[total sulfur dioxide]]-Table1[[#This Row],[free sulfur dioxide]]</f>
        <v>55</v>
      </c>
      <c r="S263" s="1" t="str">
        <f>IF(AND(Table1[[#This Row],[pH]]&gt;=3.2,Table1[[#This Row],[alcohol]]&gt;=10),"White wine","Red wine")</f>
        <v>Red wine</v>
      </c>
    </row>
    <row r="264" spans="1:19" x14ac:dyDescent="0.3">
      <c r="A264" s="13">
        <v>263</v>
      </c>
      <c r="B264" s="1">
        <v>8</v>
      </c>
      <c r="C264" s="1">
        <v>0.52</v>
      </c>
      <c r="D264" s="1">
        <v>0.03</v>
      </c>
      <c r="E264" s="1">
        <v>1.7</v>
      </c>
      <c r="F264" s="1">
        <v>7.0000000000000007E-2</v>
      </c>
      <c r="G264" s="1">
        <v>10</v>
      </c>
      <c r="H264" s="1">
        <v>35</v>
      </c>
      <c r="I264" s="1">
        <v>0.99575000000000002</v>
      </c>
      <c r="J264" s="1">
        <v>3.34</v>
      </c>
      <c r="K264" s="1">
        <v>0.56999999999999995</v>
      </c>
      <c r="L264" s="1">
        <v>10</v>
      </c>
      <c r="M264" s="2">
        <v>5</v>
      </c>
      <c r="N264" s="2" t="str" cm="1">
        <f t="array" ref="N264">_xlfn.IFS(Table1[[#This Row],[quality]]&lt;=4,"Low",Table1[[#This Row],[quality]]&lt;=6,"Medium",Table1[[#This Row],[quality]]&gt;=7,"High")</f>
        <v>Medium</v>
      </c>
      <c r="O264" s="2" t="str">
        <f>IF(AND(Table1[[#This Row],[fixed acidity]]&gt;Sheet1!$C$4,Table1[[#This Row],[pH]]&lt;Sheet1!$K$4),"High","Normal")</f>
        <v>Normal</v>
      </c>
      <c r="P264" s="1">
        <f>(Table1[[#This Row],[alcohol]]*2)+(Table1[[#This Row],[sulphates]]*1.5)-(Table1[[#This Row],[volatile acidity]]*2)</f>
        <v>19.815000000000001</v>
      </c>
      <c r="Q264" s="1">
        <f>RANK(Table1[[#This Row],[Quality_score_index]],Table1[Quality_score_index],0)</f>
        <v>901</v>
      </c>
      <c r="R264" s="1">
        <f>Table1[[#This Row],[total sulfur dioxide]]-Table1[[#This Row],[free sulfur dioxide]]</f>
        <v>25</v>
      </c>
      <c r="S264" s="1" t="str">
        <f>IF(AND(Table1[[#This Row],[pH]]&gt;=3.2,Table1[[#This Row],[alcohol]]&gt;=10),"White wine","Red wine")</f>
        <v>White wine</v>
      </c>
    </row>
    <row r="265" spans="1:19" x14ac:dyDescent="0.3">
      <c r="A265" s="13">
        <v>264</v>
      </c>
      <c r="B265" s="1">
        <v>7.9</v>
      </c>
      <c r="C265" s="1">
        <v>0.37</v>
      </c>
      <c r="D265" s="1">
        <v>0.23</v>
      </c>
      <c r="E265" s="1">
        <v>1.8</v>
      </c>
      <c r="F265" s="1">
        <v>7.6999999999999999E-2</v>
      </c>
      <c r="G265" s="1">
        <v>23</v>
      </c>
      <c r="H265" s="1">
        <v>49</v>
      </c>
      <c r="I265" s="1">
        <v>0.99629999999999996</v>
      </c>
      <c r="J265" s="1">
        <v>3.28</v>
      </c>
      <c r="K265" s="1">
        <v>0.67</v>
      </c>
      <c r="L265" s="1">
        <v>9.3000000000000007</v>
      </c>
      <c r="M265" s="2">
        <v>5</v>
      </c>
      <c r="N265" s="2" t="str" cm="1">
        <f t="array" ref="N265">_xlfn.IFS(Table1[[#This Row],[quality]]&lt;=4,"Low",Table1[[#This Row],[quality]]&lt;=6,"Medium",Table1[[#This Row],[quality]]&gt;=7,"High")</f>
        <v>Medium</v>
      </c>
      <c r="O265" s="2" t="str">
        <f>IF(AND(Table1[[#This Row],[fixed acidity]]&gt;Sheet1!$C$4,Table1[[#This Row],[pH]]&lt;Sheet1!$K$4),"High","Normal")</f>
        <v>Normal</v>
      </c>
      <c r="P265" s="1">
        <f>(Table1[[#This Row],[alcohol]]*2)+(Table1[[#This Row],[sulphates]]*1.5)-(Table1[[#This Row],[volatile acidity]]*2)</f>
        <v>18.865000000000002</v>
      </c>
      <c r="Q265" s="1">
        <f>RANK(Table1[[#This Row],[Quality_score_index]],Table1[Quality_score_index],0)</f>
        <v>1221</v>
      </c>
      <c r="R265" s="1">
        <f>Table1[[#This Row],[total sulfur dioxide]]-Table1[[#This Row],[free sulfur dioxide]]</f>
        <v>26</v>
      </c>
      <c r="S265" s="1" t="str">
        <f>IF(AND(Table1[[#This Row],[pH]]&gt;=3.2,Table1[[#This Row],[alcohol]]&gt;=10),"White wine","Red wine")</f>
        <v>Red wine</v>
      </c>
    </row>
    <row r="266" spans="1:19" x14ac:dyDescent="0.3">
      <c r="A266" s="13">
        <v>265</v>
      </c>
      <c r="B266" s="1">
        <v>12.5</v>
      </c>
      <c r="C266" s="1">
        <v>0.56000000000000005</v>
      </c>
      <c r="D266" s="1">
        <v>0.49</v>
      </c>
      <c r="E266" s="1">
        <v>2.4</v>
      </c>
      <c r="F266" s="1">
        <v>6.4000000000000001E-2</v>
      </c>
      <c r="G266" s="1">
        <v>5</v>
      </c>
      <c r="H266" s="1">
        <v>27</v>
      </c>
      <c r="I266" s="1">
        <v>0.99990000000000001</v>
      </c>
      <c r="J266" s="1">
        <v>3.08</v>
      </c>
      <c r="K266" s="1">
        <v>0.87</v>
      </c>
      <c r="L266" s="1">
        <v>10.9</v>
      </c>
      <c r="M266" s="2">
        <v>5</v>
      </c>
      <c r="N266" s="2" t="str" cm="1">
        <f t="array" ref="N266">_xlfn.IFS(Table1[[#This Row],[quality]]&lt;=4,"Low",Table1[[#This Row],[quality]]&lt;=6,"Medium",Table1[[#This Row],[quality]]&gt;=7,"High")</f>
        <v>Medium</v>
      </c>
      <c r="O266" s="2" t="str">
        <f>IF(AND(Table1[[#This Row],[fixed acidity]]&gt;Sheet1!$C$4,Table1[[#This Row],[pH]]&lt;Sheet1!$K$4),"High","Normal")</f>
        <v>High</v>
      </c>
      <c r="P266" s="1">
        <f>(Table1[[#This Row],[alcohol]]*2)+(Table1[[#This Row],[sulphates]]*1.5)-(Table1[[#This Row],[volatile acidity]]*2)</f>
        <v>21.984999999999999</v>
      </c>
      <c r="Q266" s="1">
        <f>RANK(Table1[[#This Row],[Quality_score_index]],Table1[Quality_score_index],0)</f>
        <v>458</v>
      </c>
      <c r="R266" s="1">
        <f>Table1[[#This Row],[total sulfur dioxide]]-Table1[[#This Row],[free sulfur dioxide]]</f>
        <v>22</v>
      </c>
      <c r="S266" s="1" t="str">
        <f>IF(AND(Table1[[#This Row],[pH]]&gt;=3.2,Table1[[#This Row],[alcohol]]&gt;=10),"White wine","Red wine")</f>
        <v>Red wine</v>
      </c>
    </row>
    <row r="267" spans="1:19" x14ac:dyDescent="0.3">
      <c r="A267" s="13">
        <v>266</v>
      </c>
      <c r="B267" s="1">
        <v>11.8</v>
      </c>
      <c r="C267" s="1">
        <v>0.26</v>
      </c>
      <c r="D267" s="1">
        <v>0.52</v>
      </c>
      <c r="E267" s="1">
        <v>1.8</v>
      </c>
      <c r="F267" s="1">
        <v>7.0999999999999994E-2</v>
      </c>
      <c r="G267" s="1">
        <v>6</v>
      </c>
      <c r="H267" s="1">
        <v>10</v>
      </c>
      <c r="I267" s="1">
        <v>0.99680000000000002</v>
      </c>
      <c r="J267" s="1">
        <v>3.2</v>
      </c>
      <c r="K267" s="1">
        <v>0.72</v>
      </c>
      <c r="L267" s="1">
        <v>10.199999999999999</v>
      </c>
      <c r="M267" s="2">
        <v>7</v>
      </c>
      <c r="N267" s="2" t="str" cm="1">
        <f t="array" ref="N267">_xlfn.IFS(Table1[[#This Row],[quality]]&lt;=4,"Low",Table1[[#This Row],[quality]]&lt;=6,"Medium",Table1[[#This Row],[quality]]&gt;=7,"High")</f>
        <v>High</v>
      </c>
      <c r="O267" s="2" t="str">
        <f>IF(AND(Table1[[#This Row],[fixed acidity]]&gt;Sheet1!$C$4,Table1[[#This Row],[pH]]&lt;Sheet1!$K$4),"High","Normal")</f>
        <v>High</v>
      </c>
      <c r="P267" s="1">
        <f>(Table1[[#This Row],[alcohol]]*2)+(Table1[[#This Row],[sulphates]]*1.5)-(Table1[[#This Row],[volatile acidity]]*2)</f>
        <v>20.959999999999997</v>
      </c>
      <c r="Q267" s="1">
        <f>RANK(Table1[[#This Row],[Quality_score_index]],Table1[Quality_score_index],0)</f>
        <v>658</v>
      </c>
      <c r="R267" s="1">
        <f>Table1[[#This Row],[total sulfur dioxide]]-Table1[[#This Row],[free sulfur dioxide]]</f>
        <v>4</v>
      </c>
      <c r="S267" s="1" t="str">
        <f>IF(AND(Table1[[#This Row],[pH]]&gt;=3.2,Table1[[#This Row],[alcohol]]&gt;=10),"White wine","Red wine")</f>
        <v>White wine</v>
      </c>
    </row>
    <row r="268" spans="1:19" x14ac:dyDescent="0.3">
      <c r="A268" s="13">
        <v>267</v>
      </c>
      <c r="B268" s="1">
        <v>8.1</v>
      </c>
      <c r="C268" s="1">
        <v>0.87</v>
      </c>
      <c r="D268" s="1">
        <v>0</v>
      </c>
      <c r="E268" s="1">
        <v>3.3</v>
      </c>
      <c r="F268" s="1">
        <v>9.6000000000000002E-2</v>
      </c>
      <c r="G268" s="1">
        <v>26</v>
      </c>
      <c r="H268" s="1">
        <v>61</v>
      </c>
      <c r="I268" s="1">
        <v>1.0002500000000001</v>
      </c>
      <c r="J268" s="1">
        <v>3.6</v>
      </c>
      <c r="K268" s="1">
        <v>0.72</v>
      </c>
      <c r="L268" s="1">
        <v>9.8000000000000007</v>
      </c>
      <c r="M268" s="2">
        <v>4</v>
      </c>
      <c r="N268" s="2" t="str" cm="1">
        <f t="array" ref="N268">_xlfn.IFS(Table1[[#This Row],[quality]]&lt;=4,"Low",Table1[[#This Row],[quality]]&lt;=6,"Medium",Table1[[#This Row],[quality]]&gt;=7,"High")</f>
        <v>Low</v>
      </c>
      <c r="O268" s="2" t="str">
        <f>IF(AND(Table1[[#This Row],[fixed acidity]]&gt;Sheet1!$C$4,Table1[[#This Row],[pH]]&lt;Sheet1!$K$4),"High","Normal")</f>
        <v>Normal</v>
      </c>
      <c r="P268" s="1">
        <f>(Table1[[#This Row],[alcohol]]*2)+(Table1[[#This Row],[sulphates]]*1.5)-(Table1[[#This Row],[volatile acidity]]*2)</f>
        <v>18.940000000000001</v>
      </c>
      <c r="Q268" s="1">
        <f>RANK(Table1[[#This Row],[Quality_score_index]],Table1[Quality_score_index],0)</f>
        <v>1184</v>
      </c>
      <c r="R268" s="1">
        <f>Table1[[#This Row],[total sulfur dioxide]]-Table1[[#This Row],[free sulfur dioxide]]</f>
        <v>35</v>
      </c>
      <c r="S268" s="1" t="str">
        <f>IF(AND(Table1[[#This Row],[pH]]&gt;=3.2,Table1[[#This Row],[alcohol]]&gt;=10),"White wine","Red wine")</f>
        <v>Red wine</v>
      </c>
    </row>
    <row r="269" spans="1:19" x14ac:dyDescent="0.3">
      <c r="A269" s="13">
        <v>268</v>
      </c>
      <c r="B269" s="1">
        <v>7.9</v>
      </c>
      <c r="C269" s="1">
        <v>0.35</v>
      </c>
      <c r="D269" s="1">
        <v>0.46</v>
      </c>
      <c r="E269" s="1">
        <v>3.6</v>
      </c>
      <c r="F269" s="1">
        <v>7.8E-2</v>
      </c>
      <c r="G269" s="1">
        <v>15</v>
      </c>
      <c r="H269" s="1">
        <v>37</v>
      </c>
      <c r="I269" s="1">
        <v>0.99729999999999996</v>
      </c>
      <c r="J269" s="1">
        <v>3.35</v>
      </c>
      <c r="K269" s="1">
        <v>0.86</v>
      </c>
      <c r="L269" s="1">
        <v>12.8</v>
      </c>
      <c r="M269" s="2">
        <v>8</v>
      </c>
      <c r="N269" s="2" t="str" cm="1">
        <f t="array" ref="N269">_xlfn.IFS(Table1[[#This Row],[quality]]&lt;=4,"Low",Table1[[#This Row],[quality]]&lt;=6,"Medium",Table1[[#This Row],[quality]]&gt;=7,"High")</f>
        <v>High</v>
      </c>
      <c r="O269" s="2" t="str">
        <f>IF(AND(Table1[[#This Row],[fixed acidity]]&gt;Sheet1!$C$4,Table1[[#This Row],[pH]]&lt;Sheet1!$K$4),"High","Normal")</f>
        <v>Normal</v>
      </c>
      <c r="P269" s="1">
        <f>(Table1[[#This Row],[alcohol]]*2)+(Table1[[#This Row],[sulphates]]*1.5)-(Table1[[#This Row],[volatile acidity]]*2)</f>
        <v>26.19</v>
      </c>
      <c r="Q269" s="1">
        <f>RANK(Table1[[#This Row],[Quality_score_index]],Table1[Quality_score_index],0)</f>
        <v>23</v>
      </c>
      <c r="R269" s="1">
        <f>Table1[[#This Row],[total sulfur dioxide]]-Table1[[#This Row],[free sulfur dioxide]]</f>
        <v>22</v>
      </c>
      <c r="S269" s="1" t="str">
        <f>IF(AND(Table1[[#This Row],[pH]]&gt;=3.2,Table1[[#This Row],[alcohol]]&gt;=10),"White wine","Red wine")</f>
        <v>White wine</v>
      </c>
    </row>
    <row r="270" spans="1:19" x14ac:dyDescent="0.3">
      <c r="A270" s="13">
        <v>269</v>
      </c>
      <c r="B270" s="1">
        <v>6.9</v>
      </c>
      <c r="C270" s="1">
        <v>0.54</v>
      </c>
      <c r="D270" s="1">
        <v>0.04</v>
      </c>
      <c r="E270" s="1">
        <v>3</v>
      </c>
      <c r="F270" s="1">
        <v>7.6999999999999999E-2</v>
      </c>
      <c r="G270" s="1">
        <v>7</v>
      </c>
      <c r="H270" s="1">
        <v>27</v>
      </c>
      <c r="I270" s="1">
        <v>0.99870000000000003</v>
      </c>
      <c r="J270" s="1">
        <v>3.69</v>
      </c>
      <c r="K270" s="1">
        <v>0.91</v>
      </c>
      <c r="L270" s="1">
        <v>9.4</v>
      </c>
      <c r="M270" s="2">
        <v>6</v>
      </c>
      <c r="N270" s="2" t="str" cm="1">
        <f t="array" ref="N270">_xlfn.IFS(Table1[[#This Row],[quality]]&lt;=4,"Low",Table1[[#This Row],[quality]]&lt;=6,"Medium",Table1[[#This Row],[quality]]&gt;=7,"High")</f>
        <v>Medium</v>
      </c>
      <c r="O270" s="2" t="str">
        <f>IF(AND(Table1[[#This Row],[fixed acidity]]&gt;Sheet1!$C$4,Table1[[#This Row],[pH]]&lt;Sheet1!$K$4),"High","Normal")</f>
        <v>Normal</v>
      </c>
      <c r="P270" s="1">
        <f>(Table1[[#This Row],[alcohol]]*2)+(Table1[[#This Row],[sulphates]]*1.5)-(Table1[[#This Row],[volatile acidity]]*2)</f>
        <v>19.085000000000001</v>
      </c>
      <c r="Q270" s="1">
        <f>RANK(Table1[[#This Row],[Quality_score_index]],Table1[Quality_score_index],0)</f>
        <v>1127</v>
      </c>
      <c r="R270" s="1">
        <f>Table1[[#This Row],[total sulfur dioxide]]-Table1[[#This Row],[free sulfur dioxide]]</f>
        <v>20</v>
      </c>
      <c r="S270" s="1" t="str">
        <f>IF(AND(Table1[[#This Row],[pH]]&gt;=3.2,Table1[[#This Row],[alcohol]]&gt;=10),"White wine","Red wine")</f>
        <v>Red wine</v>
      </c>
    </row>
    <row r="271" spans="1:19" x14ac:dyDescent="0.3">
      <c r="A271" s="13">
        <v>270</v>
      </c>
      <c r="B271" s="1">
        <v>11.5</v>
      </c>
      <c r="C271" s="1">
        <v>0.18</v>
      </c>
      <c r="D271" s="1">
        <v>0.51</v>
      </c>
      <c r="E271" s="1">
        <v>4</v>
      </c>
      <c r="F271" s="1">
        <v>0.104</v>
      </c>
      <c r="G271" s="1">
        <v>4</v>
      </c>
      <c r="H271" s="1">
        <v>23</v>
      </c>
      <c r="I271" s="1">
        <v>0.99960000000000004</v>
      </c>
      <c r="J271" s="1">
        <v>3.28</v>
      </c>
      <c r="K271" s="1">
        <v>0.97</v>
      </c>
      <c r="L271" s="1">
        <v>10.1</v>
      </c>
      <c r="M271" s="2">
        <v>6</v>
      </c>
      <c r="N271" s="2" t="str" cm="1">
        <f t="array" ref="N271">_xlfn.IFS(Table1[[#This Row],[quality]]&lt;=4,"Low",Table1[[#This Row],[quality]]&lt;=6,"Medium",Table1[[#This Row],[quality]]&gt;=7,"High")</f>
        <v>Medium</v>
      </c>
      <c r="O271" s="2" t="str">
        <f>IF(AND(Table1[[#This Row],[fixed acidity]]&gt;Sheet1!$C$4,Table1[[#This Row],[pH]]&lt;Sheet1!$K$4),"High","Normal")</f>
        <v>High</v>
      </c>
      <c r="P271" s="1">
        <f>(Table1[[#This Row],[alcohol]]*2)+(Table1[[#This Row],[sulphates]]*1.5)-(Table1[[#This Row],[volatile acidity]]*2)</f>
        <v>21.295000000000002</v>
      </c>
      <c r="Q271" s="1">
        <f>RANK(Table1[[#This Row],[Quality_score_index]],Table1[Quality_score_index],0)</f>
        <v>580</v>
      </c>
      <c r="R271" s="1">
        <f>Table1[[#This Row],[total sulfur dioxide]]-Table1[[#This Row],[free sulfur dioxide]]</f>
        <v>19</v>
      </c>
      <c r="S271" s="1" t="str">
        <f>IF(AND(Table1[[#This Row],[pH]]&gt;=3.2,Table1[[#This Row],[alcohol]]&gt;=10),"White wine","Red wine")</f>
        <v>White wine</v>
      </c>
    </row>
    <row r="272" spans="1:19" x14ac:dyDescent="0.3">
      <c r="A272" s="13">
        <v>271</v>
      </c>
      <c r="B272" s="1">
        <v>7.9</v>
      </c>
      <c r="C272" s="1">
        <v>0.54500000000000004</v>
      </c>
      <c r="D272" s="1">
        <v>0.06</v>
      </c>
      <c r="E272" s="1">
        <v>4</v>
      </c>
      <c r="F272" s="1">
        <v>8.6999999999999994E-2</v>
      </c>
      <c r="G272" s="1">
        <v>27</v>
      </c>
      <c r="H272" s="1">
        <v>61</v>
      </c>
      <c r="I272" s="1">
        <v>0.99650000000000005</v>
      </c>
      <c r="J272" s="1">
        <v>3.36</v>
      </c>
      <c r="K272" s="1">
        <v>0.67</v>
      </c>
      <c r="L272" s="1">
        <v>10.7</v>
      </c>
      <c r="M272" s="2">
        <v>6</v>
      </c>
      <c r="N272" s="2" t="str" cm="1">
        <f t="array" ref="N272">_xlfn.IFS(Table1[[#This Row],[quality]]&lt;=4,"Low",Table1[[#This Row],[quality]]&lt;=6,"Medium",Table1[[#This Row],[quality]]&gt;=7,"High")</f>
        <v>Medium</v>
      </c>
      <c r="O272" s="2" t="str">
        <f>IF(AND(Table1[[#This Row],[fixed acidity]]&gt;Sheet1!$C$4,Table1[[#This Row],[pH]]&lt;Sheet1!$K$4),"High","Normal")</f>
        <v>Normal</v>
      </c>
      <c r="P272" s="1">
        <f>(Table1[[#This Row],[alcohol]]*2)+(Table1[[#This Row],[sulphates]]*1.5)-(Table1[[#This Row],[volatile acidity]]*2)</f>
        <v>21.314999999999998</v>
      </c>
      <c r="Q272" s="1">
        <f>RANK(Table1[[#This Row],[Quality_score_index]],Table1[Quality_score_index],0)</f>
        <v>575</v>
      </c>
      <c r="R272" s="1">
        <f>Table1[[#This Row],[total sulfur dioxide]]-Table1[[#This Row],[free sulfur dioxide]]</f>
        <v>34</v>
      </c>
      <c r="S272" s="1" t="str">
        <f>IF(AND(Table1[[#This Row],[pH]]&gt;=3.2,Table1[[#This Row],[alcohol]]&gt;=10),"White wine","Red wine")</f>
        <v>White wine</v>
      </c>
    </row>
    <row r="273" spans="1:19" x14ac:dyDescent="0.3">
      <c r="A273" s="13">
        <v>272</v>
      </c>
      <c r="B273" s="1">
        <v>11.5</v>
      </c>
      <c r="C273" s="1">
        <v>0.18</v>
      </c>
      <c r="D273" s="1">
        <v>0.51</v>
      </c>
      <c r="E273" s="1">
        <v>4</v>
      </c>
      <c r="F273" s="1">
        <v>0.104</v>
      </c>
      <c r="G273" s="1">
        <v>4</v>
      </c>
      <c r="H273" s="1">
        <v>23</v>
      </c>
      <c r="I273" s="1">
        <v>0.99960000000000004</v>
      </c>
      <c r="J273" s="1">
        <v>3.28</v>
      </c>
      <c r="K273" s="1">
        <v>0.97</v>
      </c>
      <c r="L273" s="1">
        <v>10.1</v>
      </c>
      <c r="M273" s="2">
        <v>6</v>
      </c>
      <c r="N273" s="2" t="str" cm="1">
        <f t="array" ref="N273">_xlfn.IFS(Table1[[#This Row],[quality]]&lt;=4,"Low",Table1[[#This Row],[quality]]&lt;=6,"Medium",Table1[[#This Row],[quality]]&gt;=7,"High")</f>
        <v>Medium</v>
      </c>
      <c r="O273" s="2" t="str">
        <f>IF(AND(Table1[[#This Row],[fixed acidity]]&gt;Sheet1!$C$4,Table1[[#This Row],[pH]]&lt;Sheet1!$K$4),"High","Normal")</f>
        <v>High</v>
      </c>
      <c r="P273" s="1">
        <f>(Table1[[#This Row],[alcohol]]*2)+(Table1[[#This Row],[sulphates]]*1.5)-(Table1[[#This Row],[volatile acidity]]*2)</f>
        <v>21.295000000000002</v>
      </c>
      <c r="Q273" s="1">
        <f>RANK(Table1[[#This Row],[Quality_score_index]],Table1[Quality_score_index],0)</f>
        <v>580</v>
      </c>
      <c r="R273" s="1">
        <f>Table1[[#This Row],[total sulfur dioxide]]-Table1[[#This Row],[free sulfur dioxide]]</f>
        <v>19</v>
      </c>
      <c r="S273" s="1" t="str">
        <f>IF(AND(Table1[[#This Row],[pH]]&gt;=3.2,Table1[[#This Row],[alcohol]]&gt;=10),"White wine","Red wine")</f>
        <v>White wine</v>
      </c>
    </row>
    <row r="274" spans="1:19" x14ac:dyDescent="0.3">
      <c r="A274" s="13">
        <v>273</v>
      </c>
      <c r="B274" s="1">
        <v>10.9</v>
      </c>
      <c r="C274" s="1">
        <v>0.37</v>
      </c>
      <c r="D274" s="1">
        <v>0.57999999999999996</v>
      </c>
      <c r="E274" s="1">
        <v>4</v>
      </c>
      <c r="F274" s="1">
        <v>7.0999999999999994E-2</v>
      </c>
      <c r="G274" s="1">
        <v>17</v>
      </c>
      <c r="H274" s="1">
        <v>65</v>
      </c>
      <c r="I274" s="1">
        <v>0.99934999999999996</v>
      </c>
      <c r="J274" s="1">
        <v>3.22</v>
      </c>
      <c r="K274" s="1">
        <v>0.78</v>
      </c>
      <c r="L274" s="1">
        <v>10.1</v>
      </c>
      <c r="M274" s="2">
        <v>5</v>
      </c>
      <c r="N274" s="2" t="str" cm="1">
        <f t="array" ref="N274">_xlfn.IFS(Table1[[#This Row],[quality]]&lt;=4,"Low",Table1[[#This Row],[quality]]&lt;=6,"Medium",Table1[[#This Row],[quality]]&gt;=7,"High")</f>
        <v>Medium</v>
      </c>
      <c r="O274" s="2" t="str">
        <f>IF(AND(Table1[[#This Row],[fixed acidity]]&gt;Sheet1!$C$4,Table1[[#This Row],[pH]]&lt;Sheet1!$K$4),"High","Normal")</f>
        <v>High</v>
      </c>
      <c r="P274" s="1">
        <f>(Table1[[#This Row],[alcohol]]*2)+(Table1[[#This Row],[sulphates]]*1.5)-(Table1[[#This Row],[volatile acidity]]*2)</f>
        <v>20.63</v>
      </c>
      <c r="Q274" s="1">
        <f>RANK(Table1[[#This Row],[Quality_score_index]],Table1[Quality_score_index],0)</f>
        <v>734</v>
      </c>
      <c r="R274" s="1">
        <f>Table1[[#This Row],[total sulfur dioxide]]-Table1[[#This Row],[free sulfur dioxide]]</f>
        <v>48</v>
      </c>
      <c r="S274" s="1" t="str">
        <f>IF(AND(Table1[[#This Row],[pH]]&gt;=3.2,Table1[[#This Row],[alcohol]]&gt;=10),"White wine","Red wine")</f>
        <v>White wine</v>
      </c>
    </row>
    <row r="275" spans="1:19" x14ac:dyDescent="0.3">
      <c r="A275" s="13">
        <v>274</v>
      </c>
      <c r="B275" s="1">
        <v>8.4</v>
      </c>
      <c r="C275" s="1">
        <v>0.71499999999999997</v>
      </c>
      <c r="D275" s="1">
        <v>0.2</v>
      </c>
      <c r="E275" s="1">
        <v>2.4</v>
      </c>
      <c r="F275" s="1">
        <v>7.5999999999999998E-2</v>
      </c>
      <c r="G275" s="1">
        <v>10</v>
      </c>
      <c r="H275" s="1">
        <v>38</v>
      </c>
      <c r="I275" s="1">
        <v>0.99734999999999996</v>
      </c>
      <c r="J275" s="1">
        <v>3.31</v>
      </c>
      <c r="K275" s="1">
        <v>0.64</v>
      </c>
      <c r="L275" s="1">
        <v>9.4</v>
      </c>
      <c r="M275" s="2">
        <v>5</v>
      </c>
      <c r="N275" s="2" t="str" cm="1">
        <f t="array" ref="N275">_xlfn.IFS(Table1[[#This Row],[quality]]&lt;=4,"Low",Table1[[#This Row],[quality]]&lt;=6,"Medium",Table1[[#This Row],[quality]]&gt;=7,"High")</f>
        <v>Medium</v>
      </c>
      <c r="O275" s="2" t="str">
        <f>IF(AND(Table1[[#This Row],[fixed acidity]]&gt;Sheet1!$C$4,Table1[[#This Row],[pH]]&lt;Sheet1!$K$4),"High","Normal")</f>
        <v>High</v>
      </c>
      <c r="P275" s="1">
        <f>(Table1[[#This Row],[alcohol]]*2)+(Table1[[#This Row],[sulphates]]*1.5)-(Table1[[#This Row],[volatile acidity]]*2)</f>
        <v>18.330000000000002</v>
      </c>
      <c r="Q275" s="1">
        <f>RANK(Table1[[#This Row],[Quality_score_index]],Table1[Quality_score_index],0)</f>
        <v>1446</v>
      </c>
      <c r="R275" s="1">
        <f>Table1[[#This Row],[total sulfur dioxide]]-Table1[[#This Row],[free sulfur dioxide]]</f>
        <v>28</v>
      </c>
      <c r="S275" s="1" t="str">
        <f>IF(AND(Table1[[#This Row],[pH]]&gt;=3.2,Table1[[#This Row],[alcohol]]&gt;=10),"White wine","Red wine")</f>
        <v>Red wine</v>
      </c>
    </row>
    <row r="276" spans="1:19" x14ac:dyDescent="0.3">
      <c r="A276" s="13">
        <v>275</v>
      </c>
      <c r="B276" s="1">
        <v>7.5</v>
      </c>
      <c r="C276" s="1">
        <v>0.65</v>
      </c>
      <c r="D276" s="1">
        <v>0.18</v>
      </c>
      <c r="E276" s="1">
        <v>7</v>
      </c>
      <c r="F276" s="1">
        <v>8.7999999999999995E-2</v>
      </c>
      <c r="G276" s="1">
        <v>27</v>
      </c>
      <c r="H276" s="1">
        <v>94</v>
      </c>
      <c r="I276" s="1">
        <v>0.99914999999999998</v>
      </c>
      <c r="J276" s="1">
        <v>3.38</v>
      </c>
      <c r="K276" s="1">
        <v>0.77</v>
      </c>
      <c r="L276" s="1">
        <v>9.4</v>
      </c>
      <c r="M276" s="2">
        <v>5</v>
      </c>
      <c r="N276" s="2" t="str" cm="1">
        <f t="array" ref="N276">_xlfn.IFS(Table1[[#This Row],[quality]]&lt;=4,"Low",Table1[[#This Row],[quality]]&lt;=6,"Medium",Table1[[#This Row],[quality]]&gt;=7,"High")</f>
        <v>Medium</v>
      </c>
      <c r="O276" s="2" t="str">
        <f>IF(AND(Table1[[#This Row],[fixed acidity]]&gt;Sheet1!$C$4,Table1[[#This Row],[pH]]&lt;Sheet1!$K$4),"High","Normal")</f>
        <v>Normal</v>
      </c>
      <c r="P276" s="1">
        <f>(Table1[[#This Row],[alcohol]]*2)+(Table1[[#This Row],[sulphates]]*1.5)-(Table1[[#This Row],[volatile acidity]]*2)</f>
        <v>18.655000000000001</v>
      </c>
      <c r="Q276" s="1">
        <f>RANK(Table1[[#This Row],[Quality_score_index]],Table1[Quality_score_index],0)</f>
        <v>1316</v>
      </c>
      <c r="R276" s="1">
        <f>Table1[[#This Row],[total sulfur dioxide]]-Table1[[#This Row],[free sulfur dioxide]]</f>
        <v>67</v>
      </c>
      <c r="S276" s="1" t="str">
        <f>IF(AND(Table1[[#This Row],[pH]]&gt;=3.2,Table1[[#This Row],[alcohol]]&gt;=10),"White wine","Red wine")</f>
        <v>Red wine</v>
      </c>
    </row>
    <row r="277" spans="1:19" x14ac:dyDescent="0.3">
      <c r="A277" s="13">
        <v>276</v>
      </c>
      <c r="B277" s="1">
        <v>7.9</v>
      </c>
      <c r="C277" s="1">
        <v>0.54500000000000004</v>
      </c>
      <c r="D277" s="1">
        <v>0.06</v>
      </c>
      <c r="E277" s="1">
        <v>4</v>
      </c>
      <c r="F277" s="1">
        <v>8.6999999999999994E-2</v>
      </c>
      <c r="G277" s="1">
        <v>27</v>
      </c>
      <c r="H277" s="1">
        <v>61</v>
      </c>
      <c r="I277" s="1">
        <v>0.99650000000000005</v>
      </c>
      <c r="J277" s="1">
        <v>3.36</v>
      </c>
      <c r="K277" s="1">
        <v>0.67</v>
      </c>
      <c r="L277" s="1">
        <v>10.7</v>
      </c>
      <c r="M277" s="2">
        <v>6</v>
      </c>
      <c r="N277" s="2" t="str" cm="1">
        <f t="array" ref="N277">_xlfn.IFS(Table1[[#This Row],[quality]]&lt;=4,"Low",Table1[[#This Row],[quality]]&lt;=6,"Medium",Table1[[#This Row],[quality]]&gt;=7,"High")</f>
        <v>Medium</v>
      </c>
      <c r="O277" s="2" t="str">
        <f>IF(AND(Table1[[#This Row],[fixed acidity]]&gt;Sheet1!$C$4,Table1[[#This Row],[pH]]&lt;Sheet1!$K$4),"High","Normal")</f>
        <v>Normal</v>
      </c>
      <c r="P277" s="1">
        <f>(Table1[[#This Row],[alcohol]]*2)+(Table1[[#This Row],[sulphates]]*1.5)-(Table1[[#This Row],[volatile acidity]]*2)</f>
        <v>21.314999999999998</v>
      </c>
      <c r="Q277" s="1">
        <f>RANK(Table1[[#This Row],[Quality_score_index]],Table1[Quality_score_index],0)</f>
        <v>575</v>
      </c>
      <c r="R277" s="1">
        <f>Table1[[#This Row],[total sulfur dioxide]]-Table1[[#This Row],[free sulfur dioxide]]</f>
        <v>34</v>
      </c>
      <c r="S277" s="1" t="str">
        <f>IF(AND(Table1[[#This Row],[pH]]&gt;=3.2,Table1[[#This Row],[alcohol]]&gt;=10),"White wine","Red wine")</f>
        <v>White wine</v>
      </c>
    </row>
    <row r="278" spans="1:19" x14ac:dyDescent="0.3">
      <c r="A278" s="13">
        <v>277</v>
      </c>
      <c r="B278" s="1">
        <v>6.9</v>
      </c>
      <c r="C278" s="1">
        <v>0.54</v>
      </c>
      <c r="D278" s="1">
        <v>0.04</v>
      </c>
      <c r="E278" s="1">
        <v>3</v>
      </c>
      <c r="F278" s="1">
        <v>7.6999999999999999E-2</v>
      </c>
      <c r="G278" s="1">
        <v>7</v>
      </c>
      <c r="H278" s="1">
        <v>27</v>
      </c>
      <c r="I278" s="1">
        <v>0.99870000000000003</v>
      </c>
      <c r="J278" s="1">
        <v>3.69</v>
      </c>
      <c r="K278" s="1">
        <v>0.91</v>
      </c>
      <c r="L278" s="1">
        <v>9.4</v>
      </c>
      <c r="M278" s="2">
        <v>6</v>
      </c>
      <c r="N278" s="2" t="str" cm="1">
        <f t="array" ref="N278">_xlfn.IFS(Table1[[#This Row],[quality]]&lt;=4,"Low",Table1[[#This Row],[quality]]&lt;=6,"Medium",Table1[[#This Row],[quality]]&gt;=7,"High")</f>
        <v>Medium</v>
      </c>
      <c r="O278" s="2" t="str">
        <f>IF(AND(Table1[[#This Row],[fixed acidity]]&gt;Sheet1!$C$4,Table1[[#This Row],[pH]]&lt;Sheet1!$K$4),"High","Normal")</f>
        <v>Normal</v>
      </c>
      <c r="P278" s="1">
        <f>(Table1[[#This Row],[alcohol]]*2)+(Table1[[#This Row],[sulphates]]*1.5)-(Table1[[#This Row],[volatile acidity]]*2)</f>
        <v>19.085000000000001</v>
      </c>
      <c r="Q278" s="1">
        <f>RANK(Table1[[#This Row],[Quality_score_index]],Table1[Quality_score_index],0)</f>
        <v>1127</v>
      </c>
      <c r="R278" s="1">
        <f>Table1[[#This Row],[total sulfur dioxide]]-Table1[[#This Row],[free sulfur dioxide]]</f>
        <v>20</v>
      </c>
      <c r="S278" s="1" t="str">
        <f>IF(AND(Table1[[#This Row],[pH]]&gt;=3.2,Table1[[#This Row],[alcohol]]&gt;=10),"White wine","Red wine")</f>
        <v>Red wine</v>
      </c>
    </row>
    <row r="279" spans="1:19" x14ac:dyDescent="0.3">
      <c r="A279" s="13">
        <v>278</v>
      </c>
      <c r="B279" s="1">
        <v>11.5</v>
      </c>
      <c r="C279" s="1">
        <v>0.18</v>
      </c>
      <c r="D279" s="1">
        <v>0.51</v>
      </c>
      <c r="E279" s="1">
        <v>4</v>
      </c>
      <c r="F279" s="1">
        <v>0.104</v>
      </c>
      <c r="G279" s="1">
        <v>4</v>
      </c>
      <c r="H279" s="1">
        <v>23</v>
      </c>
      <c r="I279" s="1">
        <v>0.99960000000000004</v>
      </c>
      <c r="J279" s="1">
        <v>3.28</v>
      </c>
      <c r="K279" s="1">
        <v>0.97</v>
      </c>
      <c r="L279" s="1">
        <v>10.1</v>
      </c>
      <c r="M279" s="2">
        <v>6</v>
      </c>
      <c r="N279" s="2" t="str" cm="1">
        <f t="array" ref="N279">_xlfn.IFS(Table1[[#This Row],[quality]]&lt;=4,"Low",Table1[[#This Row],[quality]]&lt;=6,"Medium",Table1[[#This Row],[quality]]&gt;=7,"High")</f>
        <v>Medium</v>
      </c>
      <c r="O279" s="2" t="str">
        <f>IF(AND(Table1[[#This Row],[fixed acidity]]&gt;Sheet1!$C$4,Table1[[#This Row],[pH]]&lt;Sheet1!$K$4),"High","Normal")</f>
        <v>High</v>
      </c>
      <c r="P279" s="1">
        <f>(Table1[[#This Row],[alcohol]]*2)+(Table1[[#This Row],[sulphates]]*1.5)-(Table1[[#This Row],[volatile acidity]]*2)</f>
        <v>21.295000000000002</v>
      </c>
      <c r="Q279" s="1">
        <f>RANK(Table1[[#This Row],[Quality_score_index]],Table1[Quality_score_index],0)</f>
        <v>580</v>
      </c>
      <c r="R279" s="1">
        <f>Table1[[#This Row],[total sulfur dioxide]]-Table1[[#This Row],[free sulfur dioxide]]</f>
        <v>19</v>
      </c>
      <c r="S279" s="1" t="str">
        <f>IF(AND(Table1[[#This Row],[pH]]&gt;=3.2,Table1[[#This Row],[alcohol]]&gt;=10),"White wine","Red wine")</f>
        <v>White wine</v>
      </c>
    </row>
    <row r="280" spans="1:19" x14ac:dyDescent="0.3">
      <c r="A280" s="13">
        <v>279</v>
      </c>
      <c r="B280" s="1">
        <v>10.3</v>
      </c>
      <c r="C280" s="1">
        <v>0.32</v>
      </c>
      <c r="D280" s="1">
        <v>0.45</v>
      </c>
      <c r="E280" s="1">
        <v>6.4</v>
      </c>
      <c r="F280" s="1">
        <v>7.2999999999999995E-2</v>
      </c>
      <c r="G280" s="1">
        <v>5</v>
      </c>
      <c r="H280" s="1">
        <v>13</v>
      </c>
      <c r="I280" s="1">
        <v>0.99760000000000004</v>
      </c>
      <c r="J280" s="1">
        <v>3.23</v>
      </c>
      <c r="K280" s="1">
        <v>0.82</v>
      </c>
      <c r="L280" s="1">
        <v>12.6</v>
      </c>
      <c r="M280" s="2">
        <v>8</v>
      </c>
      <c r="N280" s="2" t="str" cm="1">
        <f t="array" ref="N280">_xlfn.IFS(Table1[[#This Row],[quality]]&lt;=4,"Low",Table1[[#This Row],[quality]]&lt;=6,"Medium",Table1[[#This Row],[quality]]&gt;=7,"High")</f>
        <v>High</v>
      </c>
      <c r="O280" s="2" t="str">
        <f>IF(AND(Table1[[#This Row],[fixed acidity]]&gt;Sheet1!$C$4,Table1[[#This Row],[pH]]&lt;Sheet1!$K$4),"High","Normal")</f>
        <v>High</v>
      </c>
      <c r="P280" s="1">
        <f>(Table1[[#This Row],[alcohol]]*2)+(Table1[[#This Row],[sulphates]]*1.5)-(Table1[[#This Row],[volatile acidity]]*2)</f>
        <v>25.79</v>
      </c>
      <c r="Q280" s="1">
        <f>RANK(Table1[[#This Row],[Quality_score_index]],Table1[Quality_score_index],0)</f>
        <v>39</v>
      </c>
      <c r="R280" s="1">
        <f>Table1[[#This Row],[total sulfur dioxide]]-Table1[[#This Row],[free sulfur dioxide]]</f>
        <v>8</v>
      </c>
      <c r="S280" s="1" t="str">
        <f>IF(AND(Table1[[#This Row],[pH]]&gt;=3.2,Table1[[#This Row],[alcohol]]&gt;=10),"White wine","Red wine")</f>
        <v>White wine</v>
      </c>
    </row>
    <row r="281" spans="1:19" x14ac:dyDescent="0.3">
      <c r="A281" s="13">
        <v>280</v>
      </c>
      <c r="B281" s="1">
        <v>8.9</v>
      </c>
      <c r="C281" s="1">
        <v>0.4</v>
      </c>
      <c r="D281" s="1">
        <v>0.32</v>
      </c>
      <c r="E281" s="1">
        <v>5.6</v>
      </c>
      <c r="F281" s="1">
        <v>8.6999999999999994E-2</v>
      </c>
      <c r="G281" s="1">
        <v>10</v>
      </c>
      <c r="H281" s="1">
        <v>47</v>
      </c>
      <c r="I281" s="1">
        <v>0.99909999999999999</v>
      </c>
      <c r="J281" s="1">
        <v>3.38</v>
      </c>
      <c r="K281" s="1">
        <v>0.77</v>
      </c>
      <c r="L281" s="1">
        <v>10.5</v>
      </c>
      <c r="M281" s="2">
        <v>7</v>
      </c>
      <c r="N281" s="2" t="str" cm="1">
        <f t="array" ref="N281">_xlfn.IFS(Table1[[#This Row],[quality]]&lt;=4,"Low",Table1[[#This Row],[quality]]&lt;=6,"Medium",Table1[[#This Row],[quality]]&gt;=7,"High")</f>
        <v>High</v>
      </c>
      <c r="O281" s="2" t="str">
        <f>IF(AND(Table1[[#This Row],[fixed acidity]]&gt;Sheet1!$C$4,Table1[[#This Row],[pH]]&lt;Sheet1!$K$4),"High","Normal")</f>
        <v>Normal</v>
      </c>
      <c r="P281" s="1">
        <f>(Table1[[#This Row],[alcohol]]*2)+(Table1[[#This Row],[sulphates]]*1.5)-(Table1[[#This Row],[volatile acidity]]*2)</f>
        <v>21.355</v>
      </c>
      <c r="Q281" s="1">
        <f>RANK(Table1[[#This Row],[Quality_score_index]],Table1[Quality_score_index],0)</f>
        <v>567</v>
      </c>
      <c r="R281" s="1">
        <f>Table1[[#This Row],[total sulfur dioxide]]-Table1[[#This Row],[free sulfur dioxide]]</f>
        <v>37</v>
      </c>
      <c r="S281" s="1" t="str">
        <f>IF(AND(Table1[[#This Row],[pH]]&gt;=3.2,Table1[[#This Row],[alcohol]]&gt;=10),"White wine","Red wine")</f>
        <v>White wine</v>
      </c>
    </row>
    <row r="282" spans="1:19" x14ac:dyDescent="0.3">
      <c r="A282" s="13">
        <v>281</v>
      </c>
      <c r="B282" s="1">
        <v>11.4</v>
      </c>
      <c r="C282" s="1">
        <v>0.26</v>
      </c>
      <c r="D282" s="1">
        <v>0.44</v>
      </c>
      <c r="E282" s="1">
        <v>3.6</v>
      </c>
      <c r="F282" s="1">
        <v>7.0999999999999994E-2</v>
      </c>
      <c r="G282" s="1">
        <v>6</v>
      </c>
      <c r="H282" s="1">
        <v>19</v>
      </c>
      <c r="I282" s="1">
        <v>0.99860000000000004</v>
      </c>
      <c r="J282" s="1">
        <v>3.12</v>
      </c>
      <c r="K282" s="1">
        <v>0.82</v>
      </c>
      <c r="L282" s="1">
        <v>9.3000000000000007</v>
      </c>
      <c r="M282" s="2">
        <v>6</v>
      </c>
      <c r="N282" s="2" t="str" cm="1">
        <f t="array" ref="N282">_xlfn.IFS(Table1[[#This Row],[quality]]&lt;=4,"Low",Table1[[#This Row],[quality]]&lt;=6,"Medium",Table1[[#This Row],[quality]]&gt;=7,"High")</f>
        <v>Medium</v>
      </c>
      <c r="O282" s="2" t="str">
        <f>IF(AND(Table1[[#This Row],[fixed acidity]]&gt;Sheet1!$C$4,Table1[[#This Row],[pH]]&lt;Sheet1!$K$4),"High","Normal")</f>
        <v>High</v>
      </c>
      <c r="P282" s="1">
        <f>(Table1[[#This Row],[alcohol]]*2)+(Table1[[#This Row],[sulphates]]*1.5)-(Table1[[#This Row],[volatile acidity]]*2)</f>
        <v>19.310000000000002</v>
      </c>
      <c r="Q282" s="1">
        <f>RANK(Table1[[#This Row],[Quality_score_index]],Table1[Quality_score_index],0)</f>
        <v>1036</v>
      </c>
      <c r="R282" s="1">
        <f>Table1[[#This Row],[total sulfur dioxide]]-Table1[[#This Row],[free sulfur dioxide]]</f>
        <v>13</v>
      </c>
      <c r="S282" s="1" t="str">
        <f>IF(AND(Table1[[#This Row],[pH]]&gt;=3.2,Table1[[#This Row],[alcohol]]&gt;=10),"White wine","Red wine")</f>
        <v>Red wine</v>
      </c>
    </row>
    <row r="283" spans="1:19" x14ac:dyDescent="0.3">
      <c r="A283" s="13">
        <v>282</v>
      </c>
      <c r="B283" s="1">
        <v>7.7</v>
      </c>
      <c r="C283" s="1">
        <v>0.27</v>
      </c>
      <c r="D283" s="1">
        <v>0.68</v>
      </c>
      <c r="E283" s="1">
        <v>3.5</v>
      </c>
      <c r="F283" s="1">
        <v>0.35799999999999998</v>
      </c>
      <c r="G283" s="1">
        <v>5</v>
      </c>
      <c r="H283" s="1">
        <v>10</v>
      </c>
      <c r="I283" s="1">
        <v>0.99719999999999998</v>
      </c>
      <c r="J283" s="1">
        <v>3.25</v>
      </c>
      <c r="K283" s="1">
        <v>1.08</v>
      </c>
      <c r="L283" s="1">
        <v>9.9</v>
      </c>
      <c r="M283" s="2">
        <v>7</v>
      </c>
      <c r="N283" s="2" t="str" cm="1">
        <f t="array" ref="N283">_xlfn.IFS(Table1[[#This Row],[quality]]&lt;=4,"Low",Table1[[#This Row],[quality]]&lt;=6,"Medium",Table1[[#This Row],[quality]]&gt;=7,"High")</f>
        <v>High</v>
      </c>
      <c r="O283" s="2" t="str">
        <f>IF(AND(Table1[[#This Row],[fixed acidity]]&gt;Sheet1!$C$4,Table1[[#This Row],[pH]]&lt;Sheet1!$K$4),"High","Normal")</f>
        <v>Normal</v>
      </c>
      <c r="P283" s="1">
        <f>(Table1[[#This Row],[alcohol]]*2)+(Table1[[#This Row],[sulphates]]*1.5)-(Table1[[#This Row],[volatile acidity]]*2)</f>
        <v>20.880000000000003</v>
      </c>
      <c r="Q283" s="1">
        <f>RANK(Table1[[#This Row],[Quality_score_index]],Table1[Quality_score_index],0)</f>
        <v>678</v>
      </c>
      <c r="R283" s="1">
        <f>Table1[[#This Row],[total sulfur dioxide]]-Table1[[#This Row],[free sulfur dioxide]]</f>
        <v>5</v>
      </c>
      <c r="S283" s="1" t="str">
        <f>IF(AND(Table1[[#This Row],[pH]]&gt;=3.2,Table1[[#This Row],[alcohol]]&gt;=10),"White wine","Red wine")</f>
        <v>Red wine</v>
      </c>
    </row>
    <row r="284" spans="1:19" x14ac:dyDescent="0.3">
      <c r="A284" s="13">
        <v>283</v>
      </c>
      <c r="B284" s="1">
        <v>7.6</v>
      </c>
      <c r="C284" s="1">
        <v>0.52</v>
      </c>
      <c r="D284" s="1">
        <v>0.12</v>
      </c>
      <c r="E284" s="1">
        <v>3</v>
      </c>
      <c r="F284" s="1">
        <v>6.7000000000000004E-2</v>
      </c>
      <c r="G284" s="1">
        <v>12</v>
      </c>
      <c r="H284" s="1">
        <v>53</v>
      </c>
      <c r="I284" s="1">
        <v>0.99709999999999999</v>
      </c>
      <c r="J284" s="1">
        <v>3.36</v>
      </c>
      <c r="K284" s="1">
        <v>0.56999999999999995</v>
      </c>
      <c r="L284" s="1">
        <v>9.1</v>
      </c>
      <c r="M284" s="2">
        <v>5</v>
      </c>
      <c r="N284" s="2" t="str" cm="1">
        <f t="array" ref="N284">_xlfn.IFS(Table1[[#This Row],[quality]]&lt;=4,"Low",Table1[[#This Row],[quality]]&lt;=6,"Medium",Table1[[#This Row],[quality]]&gt;=7,"High")</f>
        <v>Medium</v>
      </c>
      <c r="O284" s="2" t="str">
        <f>IF(AND(Table1[[#This Row],[fixed acidity]]&gt;Sheet1!$C$4,Table1[[#This Row],[pH]]&lt;Sheet1!$K$4),"High","Normal")</f>
        <v>Normal</v>
      </c>
      <c r="P284" s="1">
        <f>(Table1[[#This Row],[alcohol]]*2)+(Table1[[#This Row],[sulphates]]*1.5)-(Table1[[#This Row],[volatile acidity]]*2)</f>
        <v>18.015000000000001</v>
      </c>
      <c r="Q284" s="1">
        <f>RANK(Table1[[#This Row],[Quality_score_index]],Table1[Quality_score_index],0)</f>
        <v>1518</v>
      </c>
      <c r="R284" s="1">
        <f>Table1[[#This Row],[total sulfur dioxide]]-Table1[[#This Row],[free sulfur dioxide]]</f>
        <v>41</v>
      </c>
      <c r="S284" s="1" t="str">
        <f>IF(AND(Table1[[#This Row],[pH]]&gt;=3.2,Table1[[#This Row],[alcohol]]&gt;=10),"White wine","Red wine")</f>
        <v>Red wine</v>
      </c>
    </row>
    <row r="285" spans="1:19" x14ac:dyDescent="0.3">
      <c r="A285" s="13">
        <v>284</v>
      </c>
      <c r="B285" s="1">
        <v>8.9</v>
      </c>
      <c r="C285" s="1">
        <v>0.4</v>
      </c>
      <c r="D285" s="1">
        <v>0.32</v>
      </c>
      <c r="E285" s="1">
        <v>5.6</v>
      </c>
      <c r="F285" s="1">
        <v>8.6999999999999994E-2</v>
      </c>
      <c r="G285" s="1">
        <v>10</v>
      </c>
      <c r="H285" s="1">
        <v>47</v>
      </c>
      <c r="I285" s="1">
        <v>0.99909999999999999</v>
      </c>
      <c r="J285" s="1">
        <v>3.38</v>
      </c>
      <c r="K285" s="1">
        <v>0.77</v>
      </c>
      <c r="L285" s="1">
        <v>10.5</v>
      </c>
      <c r="M285" s="2">
        <v>7</v>
      </c>
      <c r="N285" s="2" t="str" cm="1">
        <f t="array" ref="N285">_xlfn.IFS(Table1[[#This Row],[quality]]&lt;=4,"Low",Table1[[#This Row],[quality]]&lt;=6,"Medium",Table1[[#This Row],[quality]]&gt;=7,"High")</f>
        <v>High</v>
      </c>
      <c r="O285" s="2" t="str">
        <f>IF(AND(Table1[[#This Row],[fixed acidity]]&gt;Sheet1!$C$4,Table1[[#This Row],[pH]]&lt;Sheet1!$K$4),"High","Normal")</f>
        <v>Normal</v>
      </c>
      <c r="P285" s="1">
        <f>(Table1[[#This Row],[alcohol]]*2)+(Table1[[#This Row],[sulphates]]*1.5)-(Table1[[#This Row],[volatile acidity]]*2)</f>
        <v>21.355</v>
      </c>
      <c r="Q285" s="1">
        <f>RANK(Table1[[#This Row],[Quality_score_index]],Table1[Quality_score_index],0)</f>
        <v>567</v>
      </c>
      <c r="R285" s="1">
        <f>Table1[[#This Row],[total sulfur dioxide]]-Table1[[#This Row],[free sulfur dioxide]]</f>
        <v>37</v>
      </c>
      <c r="S285" s="1" t="str">
        <f>IF(AND(Table1[[#This Row],[pH]]&gt;=3.2,Table1[[#This Row],[alcohol]]&gt;=10),"White wine","Red wine")</f>
        <v>White wine</v>
      </c>
    </row>
    <row r="286" spans="1:19" x14ac:dyDescent="0.3">
      <c r="A286" s="13">
        <v>285</v>
      </c>
      <c r="B286" s="1">
        <v>9.9</v>
      </c>
      <c r="C286" s="1">
        <v>0.59</v>
      </c>
      <c r="D286" s="1">
        <v>7.0000000000000007E-2</v>
      </c>
      <c r="E286" s="1">
        <v>3.4</v>
      </c>
      <c r="F286" s="1">
        <v>0.10199999999999999</v>
      </c>
      <c r="G286" s="1">
        <v>32</v>
      </c>
      <c r="H286" s="1">
        <v>71</v>
      </c>
      <c r="I286" s="1">
        <v>1.0001500000000001</v>
      </c>
      <c r="J286" s="1">
        <v>3.31</v>
      </c>
      <c r="K286" s="1">
        <v>0.71</v>
      </c>
      <c r="L286" s="1">
        <v>9.8000000000000007</v>
      </c>
      <c r="M286" s="2">
        <v>5</v>
      </c>
      <c r="N286" s="2" t="str" cm="1">
        <f t="array" ref="N286">_xlfn.IFS(Table1[[#This Row],[quality]]&lt;=4,"Low",Table1[[#This Row],[quality]]&lt;=6,"Medium",Table1[[#This Row],[quality]]&gt;=7,"High")</f>
        <v>Medium</v>
      </c>
      <c r="O286" s="2" t="str">
        <f>IF(AND(Table1[[#This Row],[fixed acidity]]&gt;Sheet1!$C$4,Table1[[#This Row],[pH]]&lt;Sheet1!$K$4),"High","Normal")</f>
        <v>High</v>
      </c>
      <c r="P286" s="1">
        <f>(Table1[[#This Row],[alcohol]]*2)+(Table1[[#This Row],[sulphates]]*1.5)-(Table1[[#This Row],[volatile acidity]]*2)</f>
        <v>19.485000000000003</v>
      </c>
      <c r="Q286" s="1">
        <f>RANK(Table1[[#This Row],[Quality_score_index]],Table1[Quality_score_index],0)</f>
        <v>979</v>
      </c>
      <c r="R286" s="1">
        <f>Table1[[#This Row],[total sulfur dioxide]]-Table1[[#This Row],[free sulfur dioxide]]</f>
        <v>39</v>
      </c>
      <c r="S286" s="1" t="str">
        <f>IF(AND(Table1[[#This Row],[pH]]&gt;=3.2,Table1[[#This Row],[alcohol]]&gt;=10),"White wine","Red wine")</f>
        <v>Red wine</v>
      </c>
    </row>
    <row r="287" spans="1:19" x14ac:dyDescent="0.3">
      <c r="A287" s="13">
        <v>286</v>
      </c>
      <c r="B287" s="1">
        <v>9.9</v>
      </c>
      <c r="C287" s="1">
        <v>0.59</v>
      </c>
      <c r="D287" s="1">
        <v>7.0000000000000007E-2</v>
      </c>
      <c r="E287" s="1">
        <v>3.4</v>
      </c>
      <c r="F287" s="1">
        <v>0.10199999999999999</v>
      </c>
      <c r="G287" s="1">
        <v>32</v>
      </c>
      <c r="H287" s="1">
        <v>71</v>
      </c>
      <c r="I287" s="1">
        <v>1.0001500000000001</v>
      </c>
      <c r="J287" s="1">
        <v>3.31</v>
      </c>
      <c r="K287" s="1">
        <v>0.71</v>
      </c>
      <c r="L287" s="1">
        <v>9.8000000000000007</v>
      </c>
      <c r="M287" s="2">
        <v>5</v>
      </c>
      <c r="N287" s="2" t="str" cm="1">
        <f t="array" ref="N287">_xlfn.IFS(Table1[[#This Row],[quality]]&lt;=4,"Low",Table1[[#This Row],[quality]]&lt;=6,"Medium",Table1[[#This Row],[quality]]&gt;=7,"High")</f>
        <v>Medium</v>
      </c>
      <c r="O287" s="2" t="str">
        <f>IF(AND(Table1[[#This Row],[fixed acidity]]&gt;Sheet1!$C$4,Table1[[#This Row],[pH]]&lt;Sheet1!$K$4),"High","Normal")</f>
        <v>High</v>
      </c>
      <c r="P287" s="1">
        <f>(Table1[[#This Row],[alcohol]]*2)+(Table1[[#This Row],[sulphates]]*1.5)-(Table1[[#This Row],[volatile acidity]]*2)</f>
        <v>19.485000000000003</v>
      </c>
      <c r="Q287" s="1">
        <f>RANK(Table1[[#This Row],[Quality_score_index]],Table1[Quality_score_index],0)</f>
        <v>979</v>
      </c>
      <c r="R287" s="1">
        <f>Table1[[#This Row],[total sulfur dioxide]]-Table1[[#This Row],[free sulfur dioxide]]</f>
        <v>39</v>
      </c>
      <c r="S287" s="1" t="str">
        <f>IF(AND(Table1[[#This Row],[pH]]&gt;=3.2,Table1[[#This Row],[alcohol]]&gt;=10),"White wine","Red wine")</f>
        <v>Red wine</v>
      </c>
    </row>
    <row r="288" spans="1:19" x14ac:dyDescent="0.3">
      <c r="A288" s="13">
        <v>287</v>
      </c>
      <c r="B288" s="1">
        <v>12</v>
      </c>
      <c r="C288" s="1">
        <v>0.45</v>
      </c>
      <c r="D288" s="1">
        <v>0.55000000000000004</v>
      </c>
      <c r="E288" s="1">
        <v>2</v>
      </c>
      <c r="F288" s="1">
        <v>7.2999999999999995E-2</v>
      </c>
      <c r="G288" s="1">
        <v>25</v>
      </c>
      <c r="H288" s="1">
        <v>49</v>
      </c>
      <c r="I288" s="1">
        <v>0.99970000000000003</v>
      </c>
      <c r="J288" s="1">
        <v>3.1</v>
      </c>
      <c r="K288" s="1">
        <v>0.76</v>
      </c>
      <c r="L288" s="1">
        <v>10.3</v>
      </c>
      <c r="M288" s="2">
        <v>6</v>
      </c>
      <c r="N288" s="2" t="str" cm="1">
        <f t="array" ref="N288">_xlfn.IFS(Table1[[#This Row],[quality]]&lt;=4,"Low",Table1[[#This Row],[quality]]&lt;=6,"Medium",Table1[[#This Row],[quality]]&gt;=7,"High")</f>
        <v>Medium</v>
      </c>
      <c r="O288" s="2" t="str">
        <f>IF(AND(Table1[[#This Row],[fixed acidity]]&gt;Sheet1!$C$4,Table1[[#This Row],[pH]]&lt;Sheet1!$K$4),"High","Normal")</f>
        <v>High</v>
      </c>
      <c r="P288" s="1">
        <f>(Table1[[#This Row],[alcohol]]*2)+(Table1[[#This Row],[sulphates]]*1.5)-(Table1[[#This Row],[volatile acidity]]*2)</f>
        <v>20.840000000000003</v>
      </c>
      <c r="Q288" s="1">
        <f>RANK(Table1[[#This Row],[Quality_score_index]],Table1[Quality_score_index],0)</f>
        <v>690</v>
      </c>
      <c r="R288" s="1">
        <f>Table1[[#This Row],[total sulfur dioxide]]-Table1[[#This Row],[free sulfur dioxide]]</f>
        <v>24</v>
      </c>
      <c r="S288" s="1" t="str">
        <f>IF(AND(Table1[[#This Row],[pH]]&gt;=3.2,Table1[[#This Row],[alcohol]]&gt;=10),"White wine","Red wine")</f>
        <v>Red wine</v>
      </c>
    </row>
    <row r="289" spans="1:19" x14ac:dyDescent="0.3">
      <c r="A289" s="13">
        <v>288</v>
      </c>
      <c r="B289" s="1">
        <v>7.5</v>
      </c>
      <c r="C289" s="1">
        <v>0.4</v>
      </c>
      <c r="D289" s="1">
        <v>0.12</v>
      </c>
      <c r="E289" s="1">
        <v>3</v>
      </c>
      <c r="F289" s="1">
        <v>9.1999999999999998E-2</v>
      </c>
      <c r="G289" s="1">
        <v>29</v>
      </c>
      <c r="H289" s="1">
        <v>53</v>
      </c>
      <c r="I289" s="1">
        <v>0.99670000000000003</v>
      </c>
      <c r="J289" s="1">
        <v>3.37</v>
      </c>
      <c r="K289" s="1">
        <v>0.7</v>
      </c>
      <c r="L289" s="1">
        <v>10.3</v>
      </c>
      <c r="M289" s="2">
        <v>6</v>
      </c>
      <c r="N289" s="2" t="str" cm="1">
        <f t="array" ref="N289">_xlfn.IFS(Table1[[#This Row],[quality]]&lt;=4,"Low",Table1[[#This Row],[quality]]&lt;=6,"Medium",Table1[[#This Row],[quality]]&gt;=7,"High")</f>
        <v>Medium</v>
      </c>
      <c r="O289" s="2" t="str">
        <f>IF(AND(Table1[[#This Row],[fixed acidity]]&gt;Sheet1!$C$4,Table1[[#This Row],[pH]]&lt;Sheet1!$K$4),"High","Normal")</f>
        <v>Normal</v>
      </c>
      <c r="P289" s="1">
        <f>(Table1[[#This Row],[alcohol]]*2)+(Table1[[#This Row],[sulphates]]*1.5)-(Table1[[#This Row],[volatile acidity]]*2)</f>
        <v>20.85</v>
      </c>
      <c r="Q289" s="1">
        <f>RANK(Table1[[#This Row],[Quality_score_index]],Table1[Quality_score_index],0)</f>
        <v>685</v>
      </c>
      <c r="R289" s="1">
        <f>Table1[[#This Row],[total sulfur dioxide]]-Table1[[#This Row],[free sulfur dioxide]]</f>
        <v>24</v>
      </c>
      <c r="S289" s="1" t="str">
        <f>IF(AND(Table1[[#This Row],[pH]]&gt;=3.2,Table1[[#This Row],[alcohol]]&gt;=10),"White wine","Red wine")</f>
        <v>White wine</v>
      </c>
    </row>
    <row r="290" spans="1:19" x14ac:dyDescent="0.3">
      <c r="A290" s="13">
        <v>289</v>
      </c>
      <c r="B290" s="1">
        <v>8.6999999999999993</v>
      </c>
      <c r="C290" s="1">
        <v>0.52</v>
      </c>
      <c r="D290" s="1">
        <v>0.09</v>
      </c>
      <c r="E290" s="1">
        <v>2.5</v>
      </c>
      <c r="F290" s="1">
        <v>9.0999999999999998E-2</v>
      </c>
      <c r="G290" s="1">
        <v>20</v>
      </c>
      <c r="H290" s="1">
        <v>49</v>
      </c>
      <c r="I290" s="1">
        <v>0.99760000000000004</v>
      </c>
      <c r="J290" s="1">
        <v>3.34</v>
      </c>
      <c r="K290" s="1">
        <v>0.86</v>
      </c>
      <c r="L290" s="1">
        <v>10.6</v>
      </c>
      <c r="M290" s="2">
        <v>7</v>
      </c>
      <c r="N290" s="2" t="str" cm="1">
        <f t="array" ref="N290">_xlfn.IFS(Table1[[#This Row],[quality]]&lt;=4,"Low",Table1[[#This Row],[quality]]&lt;=6,"Medium",Table1[[#This Row],[quality]]&gt;=7,"High")</f>
        <v>High</v>
      </c>
      <c r="O290" s="2" t="str">
        <f>IF(AND(Table1[[#This Row],[fixed acidity]]&gt;Sheet1!$C$4,Table1[[#This Row],[pH]]&lt;Sheet1!$K$4),"High","Normal")</f>
        <v>Normal</v>
      </c>
      <c r="P290" s="1">
        <f>(Table1[[#This Row],[alcohol]]*2)+(Table1[[#This Row],[sulphates]]*1.5)-(Table1[[#This Row],[volatile acidity]]*2)</f>
        <v>21.45</v>
      </c>
      <c r="Q290" s="1">
        <f>RANK(Table1[[#This Row],[Quality_score_index]],Table1[Quality_score_index],0)</f>
        <v>548</v>
      </c>
      <c r="R290" s="1">
        <f>Table1[[#This Row],[total sulfur dioxide]]-Table1[[#This Row],[free sulfur dioxide]]</f>
        <v>29</v>
      </c>
      <c r="S290" s="1" t="str">
        <f>IF(AND(Table1[[#This Row],[pH]]&gt;=3.2,Table1[[#This Row],[alcohol]]&gt;=10),"White wine","Red wine")</f>
        <v>White wine</v>
      </c>
    </row>
    <row r="291" spans="1:19" x14ac:dyDescent="0.3">
      <c r="A291" s="13">
        <v>290</v>
      </c>
      <c r="B291" s="1">
        <v>11.6</v>
      </c>
      <c r="C291" s="1">
        <v>0.42</v>
      </c>
      <c r="D291" s="1">
        <v>0.53</v>
      </c>
      <c r="E291" s="1">
        <v>3.3</v>
      </c>
      <c r="F291" s="1">
        <v>0.105</v>
      </c>
      <c r="G291" s="1">
        <v>33</v>
      </c>
      <c r="H291" s="1">
        <v>98</v>
      </c>
      <c r="I291" s="1">
        <v>1.0009999999999999</v>
      </c>
      <c r="J291" s="1">
        <v>3.2</v>
      </c>
      <c r="K291" s="1">
        <v>0.95</v>
      </c>
      <c r="L291" s="1">
        <v>9.1999999999999993</v>
      </c>
      <c r="M291" s="2">
        <v>5</v>
      </c>
      <c r="N291" s="2" t="str" cm="1">
        <f t="array" ref="N291">_xlfn.IFS(Table1[[#This Row],[quality]]&lt;=4,"Low",Table1[[#This Row],[quality]]&lt;=6,"Medium",Table1[[#This Row],[quality]]&gt;=7,"High")</f>
        <v>Medium</v>
      </c>
      <c r="O291" s="2" t="str">
        <f>IF(AND(Table1[[#This Row],[fixed acidity]]&gt;Sheet1!$C$4,Table1[[#This Row],[pH]]&lt;Sheet1!$K$4),"High","Normal")</f>
        <v>High</v>
      </c>
      <c r="P291" s="1">
        <f>(Table1[[#This Row],[alcohol]]*2)+(Table1[[#This Row],[sulphates]]*1.5)-(Table1[[#This Row],[volatile acidity]]*2)</f>
        <v>18.984999999999999</v>
      </c>
      <c r="Q291" s="1">
        <f>RANK(Table1[[#This Row],[Quality_score_index]],Table1[Quality_score_index],0)</f>
        <v>1171</v>
      </c>
      <c r="R291" s="1">
        <f>Table1[[#This Row],[total sulfur dioxide]]-Table1[[#This Row],[free sulfur dioxide]]</f>
        <v>65</v>
      </c>
      <c r="S291" s="1" t="str">
        <f>IF(AND(Table1[[#This Row],[pH]]&gt;=3.2,Table1[[#This Row],[alcohol]]&gt;=10),"White wine","Red wine")</f>
        <v>Red wine</v>
      </c>
    </row>
    <row r="292" spans="1:19" x14ac:dyDescent="0.3">
      <c r="A292" s="13">
        <v>291</v>
      </c>
      <c r="B292" s="1">
        <v>8.6999999999999993</v>
      </c>
      <c r="C292" s="1">
        <v>0.52</v>
      </c>
      <c r="D292" s="1">
        <v>0.09</v>
      </c>
      <c r="E292" s="1">
        <v>2.5</v>
      </c>
      <c r="F292" s="1">
        <v>9.0999999999999998E-2</v>
      </c>
      <c r="G292" s="1">
        <v>20</v>
      </c>
      <c r="H292" s="1">
        <v>49</v>
      </c>
      <c r="I292" s="1">
        <v>0.99760000000000004</v>
      </c>
      <c r="J292" s="1">
        <v>3.34</v>
      </c>
      <c r="K292" s="1">
        <v>0.86</v>
      </c>
      <c r="L292" s="1">
        <v>10.6</v>
      </c>
      <c r="M292" s="2">
        <v>7</v>
      </c>
      <c r="N292" s="2" t="str" cm="1">
        <f t="array" ref="N292">_xlfn.IFS(Table1[[#This Row],[quality]]&lt;=4,"Low",Table1[[#This Row],[quality]]&lt;=6,"Medium",Table1[[#This Row],[quality]]&gt;=7,"High")</f>
        <v>High</v>
      </c>
      <c r="O292" s="2" t="str">
        <f>IF(AND(Table1[[#This Row],[fixed acidity]]&gt;Sheet1!$C$4,Table1[[#This Row],[pH]]&lt;Sheet1!$K$4),"High","Normal")</f>
        <v>Normal</v>
      </c>
      <c r="P292" s="1">
        <f>(Table1[[#This Row],[alcohol]]*2)+(Table1[[#This Row],[sulphates]]*1.5)-(Table1[[#This Row],[volatile acidity]]*2)</f>
        <v>21.45</v>
      </c>
      <c r="Q292" s="1">
        <f>RANK(Table1[[#This Row],[Quality_score_index]],Table1[Quality_score_index],0)</f>
        <v>548</v>
      </c>
      <c r="R292" s="1">
        <f>Table1[[#This Row],[total sulfur dioxide]]-Table1[[#This Row],[free sulfur dioxide]]</f>
        <v>29</v>
      </c>
      <c r="S292" s="1" t="str">
        <f>IF(AND(Table1[[#This Row],[pH]]&gt;=3.2,Table1[[#This Row],[alcohol]]&gt;=10),"White wine","Red wine")</f>
        <v>White wine</v>
      </c>
    </row>
    <row r="293" spans="1:19" x14ac:dyDescent="0.3">
      <c r="A293" s="13">
        <v>292</v>
      </c>
      <c r="B293" s="1">
        <v>11</v>
      </c>
      <c r="C293" s="1">
        <v>0.2</v>
      </c>
      <c r="D293" s="1">
        <v>0.48</v>
      </c>
      <c r="E293" s="1">
        <v>2</v>
      </c>
      <c r="F293" s="1">
        <v>0.34300000000000003</v>
      </c>
      <c r="G293" s="1">
        <v>6</v>
      </c>
      <c r="H293" s="1">
        <v>18</v>
      </c>
      <c r="I293" s="1">
        <v>0.99790000000000001</v>
      </c>
      <c r="J293" s="1">
        <v>3.3</v>
      </c>
      <c r="K293" s="1">
        <v>0.71</v>
      </c>
      <c r="L293" s="1">
        <v>10.5</v>
      </c>
      <c r="M293" s="2">
        <v>5</v>
      </c>
      <c r="N293" s="2" t="str" cm="1">
        <f t="array" ref="N293">_xlfn.IFS(Table1[[#This Row],[quality]]&lt;=4,"Low",Table1[[#This Row],[quality]]&lt;=6,"Medium",Table1[[#This Row],[quality]]&gt;=7,"High")</f>
        <v>Medium</v>
      </c>
      <c r="O293" s="2" t="str">
        <f>IF(AND(Table1[[#This Row],[fixed acidity]]&gt;Sheet1!$C$4,Table1[[#This Row],[pH]]&lt;Sheet1!$K$4),"High","Normal")</f>
        <v>High</v>
      </c>
      <c r="P293" s="1">
        <f>(Table1[[#This Row],[alcohol]]*2)+(Table1[[#This Row],[sulphates]]*1.5)-(Table1[[#This Row],[volatile acidity]]*2)</f>
        <v>21.665000000000003</v>
      </c>
      <c r="Q293" s="1">
        <f>RANK(Table1[[#This Row],[Quality_score_index]],Table1[Quality_score_index],0)</f>
        <v>510</v>
      </c>
      <c r="R293" s="1">
        <f>Table1[[#This Row],[total sulfur dioxide]]-Table1[[#This Row],[free sulfur dioxide]]</f>
        <v>12</v>
      </c>
      <c r="S293" s="1" t="str">
        <f>IF(AND(Table1[[#This Row],[pH]]&gt;=3.2,Table1[[#This Row],[alcohol]]&gt;=10),"White wine","Red wine")</f>
        <v>White wine</v>
      </c>
    </row>
    <row r="294" spans="1:19" x14ac:dyDescent="0.3">
      <c r="A294" s="13">
        <v>293</v>
      </c>
      <c r="B294" s="1">
        <v>10.4</v>
      </c>
      <c r="C294" s="1">
        <v>0.55000000000000004</v>
      </c>
      <c r="D294" s="1">
        <v>0.23</v>
      </c>
      <c r="E294" s="1">
        <v>2.7</v>
      </c>
      <c r="F294" s="1">
        <v>9.0999999999999998E-2</v>
      </c>
      <c r="G294" s="1">
        <v>18</v>
      </c>
      <c r="H294" s="1">
        <v>48</v>
      </c>
      <c r="I294" s="1">
        <v>0.99939999999999996</v>
      </c>
      <c r="J294" s="1">
        <v>3.22</v>
      </c>
      <c r="K294" s="1">
        <v>0.64</v>
      </c>
      <c r="L294" s="1">
        <v>10.3</v>
      </c>
      <c r="M294" s="2">
        <v>6</v>
      </c>
      <c r="N294" s="2" t="str" cm="1">
        <f t="array" ref="N294">_xlfn.IFS(Table1[[#This Row],[quality]]&lt;=4,"Low",Table1[[#This Row],[quality]]&lt;=6,"Medium",Table1[[#This Row],[quality]]&gt;=7,"High")</f>
        <v>Medium</v>
      </c>
      <c r="O294" s="2" t="str">
        <f>IF(AND(Table1[[#This Row],[fixed acidity]]&gt;Sheet1!$C$4,Table1[[#This Row],[pH]]&lt;Sheet1!$K$4),"High","Normal")</f>
        <v>High</v>
      </c>
      <c r="P294" s="1">
        <f>(Table1[[#This Row],[alcohol]]*2)+(Table1[[#This Row],[sulphates]]*1.5)-(Table1[[#This Row],[volatile acidity]]*2)</f>
        <v>20.46</v>
      </c>
      <c r="Q294" s="1">
        <f>RANK(Table1[[#This Row],[Quality_score_index]],Table1[Quality_score_index],0)</f>
        <v>759</v>
      </c>
      <c r="R294" s="1">
        <f>Table1[[#This Row],[total sulfur dioxide]]-Table1[[#This Row],[free sulfur dioxide]]</f>
        <v>30</v>
      </c>
      <c r="S294" s="1" t="str">
        <f>IF(AND(Table1[[#This Row],[pH]]&gt;=3.2,Table1[[#This Row],[alcohol]]&gt;=10),"White wine","Red wine")</f>
        <v>White wine</v>
      </c>
    </row>
    <row r="295" spans="1:19" x14ac:dyDescent="0.3">
      <c r="A295" s="13">
        <v>294</v>
      </c>
      <c r="B295" s="1">
        <v>6.9</v>
      </c>
      <c r="C295" s="1">
        <v>0.36</v>
      </c>
      <c r="D295" s="1">
        <v>0.25</v>
      </c>
      <c r="E295" s="1">
        <v>2.4</v>
      </c>
      <c r="F295" s="1">
        <v>9.8000000000000004E-2</v>
      </c>
      <c r="G295" s="1">
        <v>5</v>
      </c>
      <c r="H295" s="1">
        <v>16</v>
      </c>
      <c r="I295" s="1">
        <v>0.99639999999999995</v>
      </c>
      <c r="J295" s="1">
        <v>3.41</v>
      </c>
      <c r="K295" s="1">
        <v>0.6</v>
      </c>
      <c r="L295" s="1">
        <v>10.1</v>
      </c>
      <c r="M295" s="2">
        <v>6</v>
      </c>
      <c r="N295" s="2" t="str" cm="1">
        <f t="array" ref="N295">_xlfn.IFS(Table1[[#This Row],[quality]]&lt;=4,"Low",Table1[[#This Row],[quality]]&lt;=6,"Medium",Table1[[#This Row],[quality]]&gt;=7,"High")</f>
        <v>Medium</v>
      </c>
      <c r="O295" s="2" t="str">
        <f>IF(AND(Table1[[#This Row],[fixed acidity]]&gt;Sheet1!$C$4,Table1[[#This Row],[pH]]&lt;Sheet1!$K$4),"High","Normal")</f>
        <v>Normal</v>
      </c>
      <c r="P295" s="1">
        <f>(Table1[[#This Row],[alcohol]]*2)+(Table1[[#This Row],[sulphates]]*1.5)-(Table1[[#This Row],[volatile acidity]]*2)</f>
        <v>20.38</v>
      </c>
      <c r="Q295" s="1">
        <f>RANK(Table1[[#This Row],[Quality_score_index]],Table1[Quality_score_index],0)</f>
        <v>773</v>
      </c>
      <c r="R295" s="1">
        <f>Table1[[#This Row],[total sulfur dioxide]]-Table1[[#This Row],[free sulfur dioxide]]</f>
        <v>11</v>
      </c>
      <c r="S295" s="1" t="str">
        <f>IF(AND(Table1[[#This Row],[pH]]&gt;=3.2,Table1[[#This Row],[alcohol]]&gt;=10),"White wine","Red wine")</f>
        <v>White wine</v>
      </c>
    </row>
    <row r="296" spans="1:19" x14ac:dyDescent="0.3">
      <c r="A296" s="13">
        <v>295</v>
      </c>
      <c r="B296" s="1">
        <v>13.3</v>
      </c>
      <c r="C296" s="1">
        <v>0.34</v>
      </c>
      <c r="D296" s="1">
        <v>0.52</v>
      </c>
      <c r="E296" s="1">
        <v>3.2</v>
      </c>
      <c r="F296" s="1">
        <v>9.4E-2</v>
      </c>
      <c r="G296" s="1">
        <v>17</v>
      </c>
      <c r="H296" s="1">
        <v>53</v>
      </c>
      <c r="I296" s="1">
        <v>1.0014000000000001</v>
      </c>
      <c r="J296" s="1">
        <v>3.05</v>
      </c>
      <c r="K296" s="1">
        <v>0.81</v>
      </c>
      <c r="L296" s="1">
        <v>9.5</v>
      </c>
      <c r="M296" s="2">
        <v>6</v>
      </c>
      <c r="N296" s="2" t="str" cm="1">
        <f t="array" ref="N296">_xlfn.IFS(Table1[[#This Row],[quality]]&lt;=4,"Low",Table1[[#This Row],[quality]]&lt;=6,"Medium",Table1[[#This Row],[quality]]&gt;=7,"High")</f>
        <v>Medium</v>
      </c>
      <c r="O296" s="2" t="str">
        <f>IF(AND(Table1[[#This Row],[fixed acidity]]&gt;Sheet1!$C$4,Table1[[#This Row],[pH]]&lt;Sheet1!$K$4),"High","Normal")</f>
        <v>High</v>
      </c>
      <c r="P296" s="1">
        <f>(Table1[[#This Row],[alcohol]]*2)+(Table1[[#This Row],[sulphates]]*1.5)-(Table1[[#This Row],[volatile acidity]]*2)</f>
        <v>19.535</v>
      </c>
      <c r="Q296" s="1">
        <f>RANK(Table1[[#This Row],[Quality_score_index]],Table1[Quality_score_index],0)</f>
        <v>966</v>
      </c>
      <c r="R296" s="1">
        <f>Table1[[#This Row],[total sulfur dioxide]]-Table1[[#This Row],[free sulfur dioxide]]</f>
        <v>36</v>
      </c>
      <c r="S296" s="1" t="str">
        <f>IF(AND(Table1[[#This Row],[pH]]&gt;=3.2,Table1[[#This Row],[alcohol]]&gt;=10),"White wine","Red wine")</f>
        <v>Red wine</v>
      </c>
    </row>
    <row r="297" spans="1:19" x14ac:dyDescent="0.3">
      <c r="A297" s="13">
        <v>296</v>
      </c>
      <c r="B297" s="1">
        <v>10.8</v>
      </c>
      <c r="C297" s="1">
        <v>0.5</v>
      </c>
      <c r="D297" s="1">
        <v>0.46</v>
      </c>
      <c r="E297" s="1">
        <v>2.5</v>
      </c>
      <c r="F297" s="1">
        <v>7.2999999999999995E-2</v>
      </c>
      <c r="G297" s="1">
        <v>5</v>
      </c>
      <c r="H297" s="1">
        <v>27</v>
      </c>
      <c r="I297" s="1">
        <v>1.0001</v>
      </c>
      <c r="J297" s="1">
        <v>3.05</v>
      </c>
      <c r="K297" s="1">
        <v>0.64</v>
      </c>
      <c r="L297" s="1">
        <v>9.5</v>
      </c>
      <c r="M297" s="2">
        <v>5</v>
      </c>
      <c r="N297" s="2" t="str" cm="1">
        <f t="array" ref="N297">_xlfn.IFS(Table1[[#This Row],[quality]]&lt;=4,"Low",Table1[[#This Row],[quality]]&lt;=6,"Medium",Table1[[#This Row],[quality]]&gt;=7,"High")</f>
        <v>Medium</v>
      </c>
      <c r="O297" s="2" t="str">
        <f>IF(AND(Table1[[#This Row],[fixed acidity]]&gt;Sheet1!$C$4,Table1[[#This Row],[pH]]&lt;Sheet1!$K$4),"High","Normal")</f>
        <v>High</v>
      </c>
      <c r="P297" s="1">
        <f>(Table1[[#This Row],[alcohol]]*2)+(Table1[[#This Row],[sulphates]]*1.5)-(Table1[[#This Row],[volatile acidity]]*2)</f>
        <v>18.96</v>
      </c>
      <c r="Q297" s="1">
        <f>RANK(Table1[[#This Row],[Quality_score_index]],Table1[Quality_score_index],0)</f>
        <v>1178</v>
      </c>
      <c r="R297" s="1">
        <f>Table1[[#This Row],[total sulfur dioxide]]-Table1[[#This Row],[free sulfur dioxide]]</f>
        <v>22</v>
      </c>
      <c r="S297" s="1" t="str">
        <f>IF(AND(Table1[[#This Row],[pH]]&gt;=3.2,Table1[[#This Row],[alcohol]]&gt;=10),"White wine","Red wine")</f>
        <v>Red wine</v>
      </c>
    </row>
    <row r="298" spans="1:19" x14ac:dyDescent="0.3">
      <c r="A298" s="13">
        <v>297</v>
      </c>
      <c r="B298" s="1">
        <v>10.6</v>
      </c>
      <c r="C298" s="1">
        <v>0.83</v>
      </c>
      <c r="D298" s="1">
        <v>0.37</v>
      </c>
      <c r="E298" s="1">
        <v>2.6</v>
      </c>
      <c r="F298" s="1">
        <v>8.5999999999999993E-2</v>
      </c>
      <c r="G298" s="1">
        <v>26</v>
      </c>
      <c r="H298" s="1">
        <v>70</v>
      </c>
      <c r="I298" s="1">
        <v>0.99809999999999999</v>
      </c>
      <c r="J298" s="1">
        <v>3.16</v>
      </c>
      <c r="K298" s="1">
        <v>0.52</v>
      </c>
      <c r="L298" s="1">
        <v>9.9</v>
      </c>
      <c r="M298" s="2">
        <v>5</v>
      </c>
      <c r="N298" s="2" t="str" cm="1">
        <f t="array" ref="N298">_xlfn.IFS(Table1[[#This Row],[quality]]&lt;=4,"Low",Table1[[#This Row],[quality]]&lt;=6,"Medium",Table1[[#This Row],[quality]]&gt;=7,"High")</f>
        <v>Medium</v>
      </c>
      <c r="O298" s="2" t="str">
        <f>IF(AND(Table1[[#This Row],[fixed acidity]]&gt;Sheet1!$C$4,Table1[[#This Row],[pH]]&lt;Sheet1!$K$4),"High","Normal")</f>
        <v>High</v>
      </c>
      <c r="P298" s="1">
        <f>(Table1[[#This Row],[alcohol]]*2)+(Table1[[#This Row],[sulphates]]*1.5)-(Table1[[#This Row],[volatile acidity]]*2)</f>
        <v>18.920000000000002</v>
      </c>
      <c r="Q298" s="1">
        <f>RANK(Table1[[#This Row],[Quality_score_index]],Table1[Quality_score_index],0)</f>
        <v>1195</v>
      </c>
      <c r="R298" s="1">
        <f>Table1[[#This Row],[total sulfur dioxide]]-Table1[[#This Row],[free sulfur dioxide]]</f>
        <v>44</v>
      </c>
      <c r="S298" s="1" t="str">
        <f>IF(AND(Table1[[#This Row],[pH]]&gt;=3.2,Table1[[#This Row],[alcohol]]&gt;=10),"White wine","Red wine")</f>
        <v>Red wine</v>
      </c>
    </row>
    <row r="299" spans="1:19" x14ac:dyDescent="0.3">
      <c r="A299" s="13">
        <v>298</v>
      </c>
      <c r="B299" s="1">
        <v>7.1</v>
      </c>
      <c r="C299" s="1">
        <v>0.63</v>
      </c>
      <c r="D299" s="1">
        <v>0.06</v>
      </c>
      <c r="E299" s="1">
        <v>2</v>
      </c>
      <c r="F299" s="1">
        <v>8.3000000000000004E-2</v>
      </c>
      <c r="G299" s="1">
        <v>8</v>
      </c>
      <c r="H299" s="1">
        <v>29</v>
      </c>
      <c r="I299" s="1">
        <v>0.99855000000000005</v>
      </c>
      <c r="J299" s="1">
        <v>3.67</v>
      </c>
      <c r="K299" s="1">
        <v>0.73</v>
      </c>
      <c r="L299" s="1">
        <v>9.6</v>
      </c>
      <c r="M299" s="2">
        <v>5</v>
      </c>
      <c r="N299" s="2" t="str" cm="1">
        <f t="array" ref="N299">_xlfn.IFS(Table1[[#This Row],[quality]]&lt;=4,"Low",Table1[[#This Row],[quality]]&lt;=6,"Medium",Table1[[#This Row],[quality]]&gt;=7,"High")</f>
        <v>Medium</v>
      </c>
      <c r="O299" s="2" t="str">
        <f>IF(AND(Table1[[#This Row],[fixed acidity]]&gt;Sheet1!$C$4,Table1[[#This Row],[pH]]&lt;Sheet1!$K$4),"High","Normal")</f>
        <v>Normal</v>
      </c>
      <c r="P299" s="1">
        <f>(Table1[[#This Row],[alcohol]]*2)+(Table1[[#This Row],[sulphates]]*1.5)-(Table1[[#This Row],[volatile acidity]]*2)</f>
        <v>19.034999999999997</v>
      </c>
      <c r="Q299" s="1">
        <f>RANK(Table1[[#This Row],[Quality_score_index]],Table1[Quality_score_index],0)</f>
        <v>1151</v>
      </c>
      <c r="R299" s="1">
        <f>Table1[[#This Row],[total sulfur dioxide]]-Table1[[#This Row],[free sulfur dioxide]]</f>
        <v>21</v>
      </c>
      <c r="S299" s="1" t="str">
        <f>IF(AND(Table1[[#This Row],[pH]]&gt;=3.2,Table1[[#This Row],[alcohol]]&gt;=10),"White wine","Red wine")</f>
        <v>Red wine</v>
      </c>
    </row>
    <row r="300" spans="1:19" x14ac:dyDescent="0.3">
      <c r="A300" s="13">
        <v>299</v>
      </c>
      <c r="B300" s="1">
        <v>7.2</v>
      </c>
      <c r="C300" s="1">
        <v>0.65</v>
      </c>
      <c r="D300" s="1">
        <v>0.02</v>
      </c>
      <c r="E300" s="1">
        <v>2.2999999999999998</v>
      </c>
      <c r="F300" s="1">
        <v>9.4E-2</v>
      </c>
      <c r="G300" s="1">
        <v>5</v>
      </c>
      <c r="H300" s="1">
        <v>31</v>
      </c>
      <c r="I300" s="1">
        <v>0.99929999999999997</v>
      </c>
      <c r="J300" s="1">
        <v>3.67</v>
      </c>
      <c r="K300" s="1">
        <v>0.8</v>
      </c>
      <c r="L300" s="1">
        <v>9.6999999999999993</v>
      </c>
      <c r="M300" s="2">
        <v>5</v>
      </c>
      <c r="N300" s="2" t="str" cm="1">
        <f t="array" ref="N300">_xlfn.IFS(Table1[[#This Row],[quality]]&lt;=4,"Low",Table1[[#This Row],[quality]]&lt;=6,"Medium",Table1[[#This Row],[quality]]&gt;=7,"High")</f>
        <v>Medium</v>
      </c>
      <c r="O300" s="2" t="str">
        <f>IF(AND(Table1[[#This Row],[fixed acidity]]&gt;Sheet1!$C$4,Table1[[#This Row],[pH]]&lt;Sheet1!$K$4),"High","Normal")</f>
        <v>Normal</v>
      </c>
      <c r="P300" s="1">
        <f>(Table1[[#This Row],[alcohol]]*2)+(Table1[[#This Row],[sulphates]]*1.5)-(Table1[[#This Row],[volatile acidity]]*2)</f>
        <v>19.299999999999997</v>
      </c>
      <c r="Q300" s="1">
        <f>RANK(Table1[[#This Row],[Quality_score_index]],Table1[Quality_score_index],0)</f>
        <v>1043</v>
      </c>
      <c r="R300" s="1">
        <f>Table1[[#This Row],[total sulfur dioxide]]-Table1[[#This Row],[free sulfur dioxide]]</f>
        <v>26</v>
      </c>
      <c r="S300" s="1" t="str">
        <f>IF(AND(Table1[[#This Row],[pH]]&gt;=3.2,Table1[[#This Row],[alcohol]]&gt;=10),"White wine","Red wine")</f>
        <v>Red wine</v>
      </c>
    </row>
    <row r="301" spans="1:19" x14ac:dyDescent="0.3">
      <c r="A301" s="13">
        <v>300</v>
      </c>
      <c r="B301" s="1">
        <v>6.9</v>
      </c>
      <c r="C301" s="1">
        <v>0.67</v>
      </c>
      <c r="D301" s="1">
        <v>0.06</v>
      </c>
      <c r="E301" s="1">
        <v>2.1</v>
      </c>
      <c r="F301" s="1">
        <v>0.08</v>
      </c>
      <c r="G301" s="1">
        <v>8</v>
      </c>
      <c r="H301" s="1">
        <v>33</v>
      </c>
      <c r="I301" s="1">
        <v>0.99844999999999995</v>
      </c>
      <c r="J301" s="1">
        <v>3.68</v>
      </c>
      <c r="K301" s="1">
        <v>0.71</v>
      </c>
      <c r="L301" s="1">
        <v>9.6</v>
      </c>
      <c r="M301" s="2">
        <v>5</v>
      </c>
      <c r="N301" s="2" t="str" cm="1">
        <f t="array" ref="N301">_xlfn.IFS(Table1[[#This Row],[quality]]&lt;=4,"Low",Table1[[#This Row],[quality]]&lt;=6,"Medium",Table1[[#This Row],[quality]]&gt;=7,"High")</f>
        <v>Medium</v>
      </c>
      <c r="O301" s="2" t="str">
        <f>IF(AND(Table1[[#This Row],[fixed acidity]]&gt;Sheet1!$C$4,Table1[[#This Row],[pH]]&lt;Sheet1!$K$4),"High","Normal")</f>
        <v>Normal</v>
      </c>
      <c r="P301" s="1">
        <f>(Table1[[#This Row],[alcohol]]*2)+(Table1[[#This Row],[sulphates]]*1.5)-(Table1[[#This Row],[volatile acidity]]*2)</f>
        <v>18.925000000000001</v>
      </c>
      <c r="Q301" s="1">
        <f>RANK(Table1[[#This Row],[Quality_score_index]],Table1[Quality_score_index],0)</f>
        <v>1193</v>
      </c>
      <c r="R301" s="1">
        <f>Table1[[#This Row],[total sulfur dioxide]]-Table1[[#This Row],[free sulfur dioxide]]</f>
        <v>25</v>
      </c>
      <c r="S301" s="1" t="str">
        <f>IF(AND(Table1[[#This Row],[pH]]&gt;=3.2,Table1[[#This Row],[alcohol]]&gt;=10),"White wine","Red wine")</f>
        <v>Red wine</v>
      </c>
    </row>
    <row r="302" spans="1:19" x14ac:dyDescent="0.3">
      <c r="A302" s="13">
        <v>301</v>
      </c>
      <c r="B302" s="1">
        <v>7.5</v>
      </c>
      <c r="C302" s="1">
        <v>0.53</v>
      </c>
      <c r="D302" s="1">
        <v>0.06</v>
      </c>
      <c r="E302" s="1">
        <v>2.6</v>
      </c>
      <c r="F302" s="1">
        <v>8.5999999999999993E-2</v>
      </c>
      <c r="G302" s="1">
        <v>20</v>
      </c>
      <c r="H302" s="1">
        <v>44</v>
      </c>
      <c r="I302" s="1">
        <v>0.99650000000000005</v>
      </c>
      <c r="J302" s="1">
        <v>3.38</v>
      </c>
      <c r="K302" s="1">
        <v>0.59</v>
      </c>
      <c r="L302" s="1">
        <v>10.7</v>
      </c>
      <c r="M302" s="2">
        <v>6</v>
      </c>
      <c r="N302" s="2" t="str" cm="1">
        <f t="array" ref="N302">_xlfn.IFS(Table1[[#This Row],[quality]]&lt;=4,"Low",Table1[[#This Row],[quality]]&lt;=6,"Medium",Table1[[#This Row],[quality]]&gt;=7,"High")</f>
        <v>Medium</v>
      </c>
      <c r="O302" s="2" t="str">
        <f>IF(AND(Table1[[#This Row],[fixed acidity]]&gt;Sheet1!$C$4,Table1[[#This Row],[pH]]&lt;Sheet1!$K$4),"High","Normal")</f>
        <v>Normal</v>
      </c>
      <c r="P302" s="1">
        <f>(Table1[[#This Row],[alcohol]]*2)+(Table1[[#This Row],[sulphates]]*1.5)-(Table1[[#This Row],[volatile acidity]]*2)</f>
        <v>21.225000000000001</v>
      </c>
      <c r="Q302" s="1">
        <f>RANK(Table1[[#This Row],[Quality_score_index]],Table1[Quality_score_index],0)</f>
        <v>593</v>
      </c>
      <c r="R302" s="1">
        <f>Table1[[#This Row],[total sulfur dioxide]]-Table1[[#This Row],[free sulfur dioxide]]</f>
        <v>24</v>
      </c>
      <c r="S302" s="1" t="str">
        <f>IF(AND(Table1[[#This Row],[pH]]&gt;=3.2,Table1[[#This Row],[alcohol]]&gt;=10),"White wine","Red wine")</f>
        <v>White wine</v>
      </c>
    </row>
    <row r="303" spans="1:19" x14ac:dyDescent="0.3">
      <c r="A303" s="13">
        <v>302</v>
      </c>
      <c r="B303" s="1">
        <v>11.1</v>
      </c>
      <c r="C303" s="1">
        <v>0.18</v>
      </c>
      <c r="D303" s="1">
        <v>0.48</v>
      </c>
      <c r="E303" s="1">
        <v>1.5</v>
      </c>
      <c r="F303" s="1">
        <v>6.8000000000000005E-2</v>
      </c>
      <c r="G303" s="1">
        <v>7</v>
      </c>
      <c r="H303" s="1">
        <v>15</v>
      </c>
      <c r="I303" s="1">
        <v>0.99729999999999996</v>
      </c>
      <c r="J303" s="1">
        <v>3.22</v>
      </c>
      <c r="K303" s="1">
        <v>0.64</v>
      </c>
      <c r="L303" s="1">
        <v>10.1</v>
      </c>
      <c r="M303" s="2">
        <v>6</v>
      </c>
      <c r="N303" s="2" t="str" cm="1">
        <f t="array" ref="N303">_xlfn.IFS(Table1[[#This Row],[quality]]&lt;=4,"Low",Table1[[#This Row],[quality]]&lt;=6,"Medium",Table1[[#This Row],[quality]]&gt;=7,"High")</f>
        <v>Medium</v>
      </c>
      <c r="O303" s="2" t="str">
        <f>IF(AND(Table1[[#This Row],[fixed acidity]]&gt;Sheet1!$C$4,Table1[[#This Row],[pH]]&lt;Sheet1!$K$4),"High","Normal")</f>
        <v>High</v>
      </c>
      <c r="P303" s="1">
        <f>(Table1[[#This Row],[alcohol]]*2)+(Table1[[#This Row],[sulphates]]*1.5)-(Table1[[#This Row],[volatile acidity]]*2)</f>
        <v>20.8</v>
      </c>
      <c r="Q303" s="1">
        <f>RANK(Table1[[#This Row],[Quality_score_index]],Table1[Quality_score_index],0)</f>
        <v>696</v>
      </c>
      <c r="R303" s="1">
        <f>Table1[[#This Row],[total sulfur dioxide]]-Table1[[#This Row],[free sulfur dioxide]]</f>
        <v>8</v>
      </c>
      <c r="S303" s="1" t="str">
        <f>IF(AND(Table1[[#This Row],[pH]]&gt;=3.2,Table1[[#This Row],[alcohol]]&gt;=10),"White wine","Red wine")</f>
        <v>White wine</v>
      </c>
    </row>
    <row r="304" spans="1:19" x14ac:dyDescent="0.3">
      <c r="A304" s="13">
        <v>303</v>
      </c>
      <c r="B304" s="1">
        <v>8.3000000000000007</v>
      </c>
      <c r="C304" s="1">
        <v>0.70499999999999996</v>
      </c>
      <c r="D304" s="1">
        <v>0.12</v>
      </c>
      <c r="E304" s="1">
        <v>2.6</v>
      </c>
      <c r="F304" s="1">
        <v>9.1999999999999998E-2</v>
      </c>
      <c r="G304" s="1">
        <v>12</v>
      </c>
      <c r="H304" s="1">
        <v>28</v>
      </c>
      <c r="I304" s="1">
        <v>0.99939999999999996</v>
      </c>
      <c r="J304" s="1">
        <v>3.51</v>
      </c>
      <c r="K304" s="1">
        <v>0.72</v>
      </c>
      <c r="L304" s="1">
        <v>10</v>
      </c>
      <c r="M304" s="2">
        <v>5</v>
      </c>
      <c r="N304" s="2" t="str" cm="1">
        <f t="array" ref="N304">_xlfn.IFS(Table1[[#This Row],[quality]]&lt;=4,"Low",Table1[[#This Row],[quality]]&lt;=6,"Medium",Table1[[#This Row],[quality]]&gt;=7,"High")</f>
        <v>Medium</v>
      </c>
      <c r="O304" s="2" t="str">
        <f>IF(AND(Table1[[#This Row],[fixed acidity]]&gt;Sheet1!$C$4,Table1[[#This Row],[pH]]&lt;Sheet1!$K$4),"High","Normal")</f>
        <v>Normal</v>
      </c>
      <c r="P304" s="1">
        <f>(Table1[[#This Row],[alcohol]]*2)+(Table1[[#This Row],[sulphates]]*1.5)-(Table1[[#This Row],[volatile acidity]]*2)</f>
        <v>19.669999999999998</v>
      </c>
      <c r="Q304" s="1">
        <f>RANK(Table1[[#This Row],[Quality_score_index]],Table1[Quality_score_index],0)</f>
        <v>933</v>
      </c>
      <c r="R304" s="1">
        <f>Table1[[#This Row],[total sulfur dioxide]]-Table1[[#This Row],[free sulfur dioxide]]</f>
        <v>16</v>
      </c>
      <c r="S304" s="1" t="str">
        <f>IF(AND(Table1[[#This Row],[pH]]&gt;=3.2,Table1[[#This Row],[alcohol]]&gt;=10),"White wine","Red wine")</f>
        <v>White wine</v>
      </c>
    </row>
    <row r="305" spans="1:19" x14ac:dyDescent="0.3">
      <c r="A305" s="13">
        <v>304</v>
      </c>
      <c r="B305" s="1">
        <v>7.4</v>
      </c>
      <c r="C305" s="1">
        <v>0.67</v>
      </c>
      <c r="D305" s="1">
        <v>0.12</v>
      </c>
      <c r="E305" s="1">
        <v>1.6</v>
      </c>
      <c r="F305" s="1">
        <v>0.186</v>
      </c>
      <c r="G305" s="1">
        <v>5</v>
      </c>
      <c r="H305" s="1">
        <v>21</v>
      </c>
      <c r="I305" s="1">
        <v>0.996</v>
      </c>
      <c r="J305" s="1">
        <v>3.39</v>
      </c>
      <c r="K305" s="1">
        <v>0.54</v>
      </c>
      <c r="L305" s="1">
        <v>9.5</v>
      </c>
      <c r="M305" s="2">
        <v>5</v>
      </c>
      <c r="N305" s="2" t="str" cm="1">
        <f t="array" ref="N305">_xlfn.IFS(Table1[[#This Row],[quality]]&lt;=4,"Low",Table1[[#This Row],[quality]]&lt;=6,"Medium",Table1[[#This Row],[quality]]&gt;=7,"High")</f>
        <v>Medium</v>
      </c>
      <c r="O305" s="2" t="str">
        <f>IF(AND(Table1[[#This Row],[fixed acidity]]&gt;Sheet1!$C$4,Table1[[#This Row],[pH]]&lt;Sheet1!$K$4),"High","Normal")</f>
        <v>Normal</v>
      </c>
      <c r="P305" s="1">
        <f>(Table1[[#This Row],[alcohol]]*2)+(Table1[[#This Row],[sulphates]]*1.5)-(Table1[[#This Row],[volatile acidity]]*2)</f>
        <v>18.47</v>
      </c>
      <c r="Q305" s="1">
        <f>RANK(Table1[[#This Row],[Quality_score_index]],Table1[Quality_score_index],0)</f>
        <v>1384</v>
      </c>
      <c r="R305" s="1">
        <f>Table1[[#This Row],[total sulfur dioxide]]-Table1[[#This Row],[free sulfur dioxide]]</f>
        <v>16</v>
      </c>
      <c r="S305" s="1" t="str">
        <f>IF(AND(Table1[[#This Row],[pH]]&gt;=3.2,Table1[[#This Row],[alcohol]]&gt;=10),"White wine","Red wine")</f>
        <v>Red wine</v>
      </c>
    </row>
    <row r="306" spans="1:19" x14ac:dyDescent="0.3">
      <c r="A306" s="13">
        <v>305</v>
      </c>
      <c r="B306" s="1">
        <v>8.4</v>
      </c>
      <c r="C306" s="1">
        <v>0.65</v>
      </c>
      <c r="D306" s="1">
        <v>0.6</v>
      </c>
      <c r="E306" s="1">
        <v>2.1</v>
      </c>
      <c r="F306" s="1">
        <v>0.112</v>
      </c>
      <c r="G306" s="1">
        <v>12</v>
      </c>
      <c r="H306" s="1">
        <v>90</v>
      </c>
      <c r="I306" s="1">
        <v>0.99729999999999996</v>
      </c>
      <c r="J306" s="1">
        <v>3.2</v>
      </c>
      <c r="K306" s="1">
        <v>0.52</v>
      </c>
      <c r="L306" s="1">
        <v>9.1999999999999993</v>
      </c>
      <c r="M306" s="2">
        <v>5</v>
      </c>
      <c r="N306" s="2" t="str" cm="1">
        <f t="array" ref="N306">_xlfn.IFS(Table1[[#This Row],[quality]]&lt;=4,"Low",Table1[[#This Row],[quality]]&lt;=6,"Medium",Table1[[#This Row],[quality]]&gt;=7,"High")</f>
        <v>Medium</v>
      </c>
      <c r="O306" s="2" t="str">
        <f>IF(AND(Table1[[#This Row],[fixed acidity]]&gt;Sheet1!$C$4,Table1[[#This Row],[pH]]&lt;Sheet1!$K$4),"High","Normal")</f>
        <v>High</v>
      </c>
      <c r="P306" s="1">
        <f>(Table1[[#This Row],[alcohol]]*2)+(Table1[[#This Row],[sulphates]]*1.5)-(Table1[[#This Row],[volatile acidity]]*2)</f>
        <v>17.88</v>
      </c>
      <c r="Q306" s="1">
        <f>RANK(Table1[[#This Row],[Quality_score_index]],Table1[Quality_score_index],0)</f>
        <v>1541</v>
      </c>
      <c r="R306" s="1">
        <f>Table1[[#This Row],[total sulfur dioxide]]-Table1[[#This Row],[free sulfur dioxide]]</f>
        <v>78</v>
      </c>
      <c r="S306" s="1" t="str">
        <f>IF(AND(Table1[[#This Row],[pH]]&gt;=3.2,Table1[[#This Row],[alcohol]]&gt;=10),"White wine","Red wine")</f>
        <v>Red wine</v>
      </c>
    </row>
    <row r="307" spans="1:19" x14ac:dyDescent="0.3">
      <c r="A307" s="13">
        <v>306</v>
      </c>
      <c r="B307" s="1">
        <v>10.3</v>
      </c>
      <c r="C307" s="1">
        <v>0.53</v>
      </c>
      <c r="D307" s="1">
        <v>0.48</v>
      </c>
      <c r="E307" s="1">
        <v>2.5</v>
      </c>
      <c r="F307" s="1">
        <v>6.3E-2</v>
      </c>
      <c r="G307" s="1">
        <v>6</v>
      </c>
      <c r="H307" s="1">
        <v>25</v>
      </c>
      <c r="I307" s="1">
        <v>0.99980000000000002</v>
      </c>
      <c r="J307" s="1">
        <v>3.12</v>
      </c>
      <c r="K307" s="1">
        <v>0.59</v>
      </c>
      <c r="L307" s="1">
        <v>9.3000000000000007</v>
      </c>
      <c r="M307" s="2">
        <v>6</v>
      </c>
      <c r="N307" s="2" t="str" cm="1">
        <f t="array" ref="N307">_xlfn.IFS(Table1[[#This Row],[quality]]&lt;=4,"Low",Table1[[#This Row],[quality]]&lt;=6,"Medium",Table1[[#This Row],[quality]]&gt;=7,"High")</f>
        <v>Medium</v>
      </c>
      <c r="O307" s="2" t="str">
        <f>IF(AND(Table1[[#This Row],[fixed acidity]]&gt;Sheet1!$C$4,Table1[[#This Row],[pH]]&lt;Sheet1!$K$4),"High","Normal")</f>
        <v>High</v>
      </c>
      <c r="P307" s="1">
        <f>(Table1[[#This Row],[alcohol]]*2)+(Table1[[#This Row],[sulphates]]*1.5)-(Table1[[#This Row],[volatile acidity]]*2)</f>
        <v>18.425000000000004</v>
      </c>
      <c r="Q307" s="1">
        <f>RANK(Table1[[#This Row],[Quality_score_index]],Table1[Quality_score_index],0)</f>
        <v>1405</v>
      </c>
      <c r="R307" s="1">
        <f>Table1[[#This Row],[total sulfur dioxide]]-Table1[[#This Row],[free sulfur dioxide]]</f>
        <v>19</v>
      </c>
      <c r="S307" s="1" t="str">
        <f>IF(AND(Table1[[#This Row],[pH]]&gt;=3.2,Table1[[#This Row],[alcohol]]&gt;=10),"White wine","Red wine")</f>
        <v>Red wine</v>
      </c>
    </row>
    <row r="308" spans="1:19" x14ac:dyDescent="0.3">
      <c r="A308" s="13">
        <v>307</v>
      </c>
      <c r="B308" s="1">
        <v>7.6</v>
      </c>
      <c r="C308" s="1">
        <v>0.62</v>
      </c>
      <c r="D308" s="1">
        <v>0.32</v>
      </c>
      <c r="E308" s="1">
        <v>2.2000000000000002</v>
      </c>
      <c r="F308" s="1">
        <v>8.2000000000000003E-2</v>
      </c>
      <c r="G308" s="1">
        <v>7</v>
      </c>
      <c r="H308" s="1">
        <v>54</v>
      </c>
      <c r="I308" s="1">
        <v>0.99660000000000004</v>
      </c>
      <c r="J308" s="1">
        <v>3.36</v>
      </c>
      <c r="K308" s="1">
        <v>0.52</v>
      </c>
      <c r="L308" s="1">
        <v>9.4</v>
      </c>
      <c r="M308" s="2">
        <v>5</v>
      </c>
      <c r="N308" s="2" t="str" cm="1">
        <f t="array" ref="N308">_xlfn.IFS(Table1[[#This Row],[quality]]&lt;=4,"Low",Table1[[#This Row],[quality]]&lt;=6,"Medium",Table1[[#This Row],[quality]]&gt;=7,"High")</f>
        <v>Medium</v>
      </c>
      <c r="O308" s="2" t="str">
        <f>IF(AND(Table1[[#This Row],[fixed acidity]]&gt;Sheet1!$C$4,Table1[[#This Row],[pH]]&lt;Sheet1!$K$4),"High","Normal")</f>
        <v>Normal</v>
      </c>
      <c r="P308" s="1">
        <f>(Table1[[#This Row],[alcohol]]*2)+(Table1[[#This Row],[sulphates]]*1.5)-(Table1[[#This Row],[volatile acidity]]*2)</f>
        <v>18.340000000000003</v>
      </c>
      <c r="Q308" s="1">
        <f>RANK(Table1[[#This Row],[Quality_score_index]],Table1[Quality_score_index],0)</f>
        <v>1438</v>
      </c>
      <c r="R308" s="1">
        <f>Table1[[#This Row],[total sulfur dioxide]]-Table1[[#This Row],[free sulfur dioxide]]</f>
        <v>47</v>
      </c>
      <c r="S308" s="1" t="str">
        <f>IF(AND(Table1[[#This Row],[pH]]&gt;=3.2,Table1[[#This Row],[alcohol]]&gt;=10),"White wine","Red wine")</f>
        <v>Red wine</v>
      </c>
    </row>
    <row r="309" spans="1:19" x14ac:dyDescent="0.3">
      <c r="A309" s="13">
        <v>308</v>
      </c>
      <c r="B309" s="1">
        <v>10.3</v>
      </c>
      <c r="C309" s="1">
        <v>0.41</v>
      </c>
      <c r="D309" s="1">
        <v>0.42</v>
      </c>
      <c r="E309" s="1">
        <v>2.4</v>
      </c>
      <c r="F309" s="1">
        <v>0.21299999999999999</v>
      </c>
      <c r="G309" s="1">
        <v>6</v>
      </c>
      <c r="H309" s="1">
        <v>14</v>
      </c>
      <c r="I309" s="1">
        <v>0.99939999999999996</v>
      </c>
      <c r="J309" s="1">
        <v>3.19</v>
      </c>
      <c r="K309" s="1">
        <v>0.62</v>
      </c>
      <c r="L309" s="1">
        <v>9.5</v>
      </c>
      <c r="M309" s="2">
        <v>6</v>
      </c>
      <c r="N309" s="2" t="str" cm="1">
        <f t="array" ref="N309">_xlfn.IFS(Table1[[#This Row],[quality]]&lt;=4,"Low",Table1[[#This Row],[quality]]&lt;=6,"Medium",Table1[[#This Row],[quality]]&gt;=7,"High")</f>
        <v>Medium</v>
      </c>
      <c r="O309" s="2" t="str">
        <f>IF(AND(Table1[[#This Row],[fixed acidity]]&gt;Sheet1!$C$4,Table1[[#This Row],[pH]]&lt;Sheet1!$K$4),"High","Normal")</f>
        <v>High</v>
      </c>
      <c r="P309" s="1">
        <f>(Table1[[#This Row],[alcohol]]*2)+(Table1[[#This Row],[sulphates]]*1.5)-(Table1[[#This Row],[volatile acidity]]*2)</f>
        <v>19.11</v>
      </c>
      <c r="Q309" s="1">
        <f>RANK(Table1[[#This Row],[Quality_score_index]],Table1[Quality_score_index],0)</f>
        <v>1116</v>
      </c>
      <c r="R309" s="1">
        <f>Table1[[#This Row],[total sulfur dioxide]]-Table1[[#This Row],[free sulfur dioxide]]</f>
        <v>8</v>
      </c>
      <c r="S309" s="1" t="str">
        <f>IF(AND(Table1[[#This Row],[pH]]&gt;=3.2,Table1[[#This Row],[alcohol]]&gt;=10),"White wine","Red wine")</f>
        <v>Red wine</v>
      </c>
    </row>
    <row r="310" spans="1:19" x14ac:dyDescent="0.3">
      <c r="A310" s="13">
        <v>309</v>
      </c>
      <c r="B310" s="1">
        <v>10.3</v>
      </c>
      <c r="C310" s="1">
        <v>0.43</v>
      </c>
      <c r="D310" s="1">
        <v>0.44</v>
      </c>
      <c r="E310" s="1">
        <v>2.4</v>
      </c>
      <c r="F310" s="1">
        <v>0.214</v>
      </c>
      <c r="G310" s="1">
        <v>5</v>
      </c>
      <c r="H310" s="1">
        <v>12</v>
      </c>
      <c r="I310" s="1">
        <v>0.99939999999999996</v>
      </c>
      <c r="J310" s="1">
        <v>3.19</v>
      </c>
      <c r="K310" s="1">
        <v>0.63</v>
      </c>
      <c r="L310" s="1">
        <v>9.5</v>
      </c>
      <c r="M310" s="2">
        <v>6</v>
      </c>
      <c r="N310" s="2" t="str" cm="1">
        <f t="array" ref="N310">_xlfn.IFS(Table1[[#This Row],[quality]]&lt;=4,"Low",Table1[[#This Row],[quality]]&lt;=6,"Medium",Table1[[#This Row],[quality]]&gt;=7,"High")</f>
        <v>Medium</v>
      </c>
      <c r="O310" s="2" t="str">
        <f>IF(AND(Table1[[#This Row],[fixed acidity]]&gt;Sheet1!$C$4,Table1[[#This Row],[pH]]&lt;Sheet1!$K$4),"High","Normal")</f>
        <v>High</v>
      </c>
      <c r="P310" s="1">
        <f>(Table1[[#This Row],[alcohol]]*2)+(Table1[[#This Row],[sulphates]]*1.5)-(Table1[[#This Row],[volatile acidity]]*2)</f>
        <v>19.085000000000001</v>
      </c>
      <c r="Q310" s="1">
        <f>RANK(Table1[[#This Row],[Quality_score_index]],Table1[Quality_score_index],0)</f>
        <v>1127</v>
      </c>
      <c r="R310" s="1">
        <f>Table1[[#This Row],[total sulfur dioxide]]-Table1[[#This Row],[free sulfur dioxide]]</f>
        <v>7</v>
      </c>
      <c r="S310" s="1" t="str">
        <f>IF(AND(Table1[[#This Row],[pH]]&gt;=3.2,Table1[[#This Row],[alcohol]]&gt;=10),"White wine","Red wine")</f>
        <v>Red wine</v>
      </c>
    </row>
    <row r="311" spans="1:19" x14ac:dyDescent="0.3">
      <c r="A311" s="13">
        <v>310</v>
      </c>
      <c r="B311" s="1">
        <v>7.4</v>
      </c>
      <c r="C311" s="1">
        <v>0.28999999999999998</v>
      </c>
      <c r="D311" s="1">
        <v>0.38</v>
      </c>
      <c r="E311" s="1">
        <v>1.7</v>
      </c>
      <c r="F311" s="1">
        <v>6.2E-2</v>
      </c>
      <c r="G311" s="1">
        <v>9</v>
      </c>
      <c r="H311" s="1">
        <v>30</v>
      </c>
      <c r="I311" s="1">
        <v>0.99680000000000002</v>
      </c>
      <c r="J311" s="1">
        <v>3.41</v>
      </c>
      <c r="K311" s="1">
        <v>0.53</v>
      </c>
      <c r="L311" s="1">
        <v>9.5</v>
      </c>
      <c r="M311" s="2">
        <v>6</v>
      </c>
      <c r="N311" s="2" t="str" cm="1">
        <f t="array" ref="N311">_xlfn.IFS(Table1[[#This Row],[quality]]&lt;=4,"Low",Table1[[#This Row],[quality]]&lt;=6,"Medium",Table1[[#This Row],[quality]]&gt;=7,"High")</f>
        <v>Medium</v>
      </c>
      <c r="O311" s="2" t="str">
        <f>IF(AND(Table1[[#This Row],[fixed acidity]]&gt;Sheet1!$C$4,Table1[[#This Row],[pH]]&lt;Sheet1!$K$4),"High","Normal")</f>
        <v>Normal</v>
      </c>
      <c r="P311" s="1">
        <f>(Table1[[#This Row],[alcohol]]*2)+(Table1[[#This Row],[sulphates]]*1.5)-(Table1[[#This Row],[volatile acidity]]*2)</f>
        <v>19.215000000000003</v>
      </c>
      <c r="Q311" s="1">
        <f>RANK(Table1[[#This Row],[Quality_score_index]],Table1[Quality_score_index],0)</f>
        <v>1074</v>
      </c>
      <c r="R311" s="1">
        <f>Table1[[#This Row],[total sulfur dioxide]]-Table1[[#This Row],[free sulfur dioxide]]</f>
        <v>21</v>
      </c>
      <c r="S311" s="1" t="str">
        <f>IF(AND(Table1[[#This Row],[pH]]&gt;=3.2,Table1[[#This Row],[alcohol]]&gt;=10),"White wine","Red wine")</f>
        <v>Red wine</v>
      </c>
    </row>
    <row r="312" spans="1:19" x14ac:dyDescent="0.3">
      <c r="A312" s="13">
        <v>311</v>
      </c>
      <c r="B312" s="1">
        <v>10.3</v>
      </c>
      <c r="C312" s="1">
        <v>0.53</v>
      </c>
      <c r="D312" s="1">
        <v>0.48</v>
      </c>
      <c r="E312" s="1">
        <v>2.5</v>
      </c>
      <c r="F312" s="1">
        <v>6.3E-2</v>
      </c>
      <c r="G312" s="1">
        <v>6</v>
      </c>
      <c r="H312" s="1">
        <v>25</v>
      </c>
      <c r="I312" s="1">
        <v>0.99980000000000002</v>
      </c>
      <c r="J312" s="1">
        <v>3.12</v>
      </c>
      <c r="K312" s="1">
        <v>0.59</v>
      </c>
      <c r="L312" s="1">
        <v>9.3000000000000007</v>
      </c>
      <c r="M312" s="2">
        <v>6</v>
      </c>
      <c r="N312" s="2" t="str" cm="1">
        <f t="array" ref="N312">_xlfn.IFS(Table1[[#This Row],[quality]]&lt;=4,"Low",Table1[[#This Row],[quality]]&lt;=6,"Medium",Table1[[#This Row],[quality]]&gt;=7,"High")</f>
        <v>Medium</v>
      </c>
      <c r="O312" s="2" t="str">
        <f>IF(AND(Table1[[#This Row],[fixed acidity]]&gt;Sheet1!$C$4,Table1[[#This Row],[pH]]&lt;Sheet1!$K$4),"High","Normal")</f>
        <v>High</v>
      </c>
      <c r="P312" s="1">
        <f>(Table1[[#This Row],[alcohol]]*2)+(Table1[[#This Row],[sulphates]]*1.5)-(Table1[[#This Row],[volatile acidity]]*2)</f>
        <v>18.425000000000004</v>
      </c>
      <c r="Q312" s="1">
        <f>RANK(Table1[[#This Row],[Quality_score_index]],Table1[Quality_score_index],0)</f>
        <v>1405</v>
      </c>
      <c r="R312" s="1">
        <f>Table1[[#This Row],[total sulfur dioxide]]-Table1[[#This Row],[free sulfur dioxide]]</f>
        <v>19</v>
      </c>
      <c r="S312" s="1" t="str">
        <f>IF(AND(Table1[[#This Row],[pH]]&gt;=3.2,Table1[[#This Row],[alcohol]]&gt;=10),"White wine","Red wine")</f>
        <v>Red wine</v>
      </c>
    </row>
    <row r="313" spans="1:19" x14ac:dyDescent="0.3">
      <c r="A313" s="13">
        <v>312</v>
      </c>
      <c r="B313" s="1">
        <v>7.9</v>
      </c>
      <c r="C313" s="1">
        <v>0.53</v>
      </c>
      <c r="D313" s="1">
        <v>0.24</v>
      </c>
      <c r="E313" s="1">
        <v>2</v>
      </c>
      <c r="F313" s="1">
        <v>7.1999999999999995E-2</v>
      </c>
      <c r="G313" s="1">
        <v>15</v>
      </c>
      <c r="H313" s="1">
        <v>105</v>
      </c>
      <c r="I313" s="1">
        <v>0.996</v>
      </c>
      <c r="J313" s="1">
        <v>3.27</v>
      </c>
      <c r="K313" s="1">
        <v>0.54</v>
      </c>
      <c r="L313" s="1">
        <v>9.4</v>
      </c>
      <c r="M313" s="2">
        <v>6</v>
      </c>
      <c r="N313" s="2" t="str" cm="1">
        <f t="array" ref="N313">_xlfn.IFS(Table1[[#This Row],[quality]]&lt;=4,"Low",Table1[[#This Row],[quality]]&lt;=6,"Medium",Table1[[#This Row],[quality]]&gt;=7,"High")</f>
        <v>Medium</v>
      </c>
      <c r="O313" s="2" t="str">
        <f>IF(AND(Table1[[#This Row],[fixed acidity]]&gt;Sheet1!$C$4,Table1[[#This Row],[pH]]&lt;Sheet1!$K$4),"High","Normal")</f>
        <v>Normal</v>
      </c>
      <c r="P313" s="1">
        <f>(Table1[[#This Row],[alcohol]]*2)+(Table1[[#This Row],[sulphates]]*1.5)-(Table1[[#This Row],[volatile acidity]]*2)</f>
        <v>18.55</v>
      </c>
      <c r="Q313" s="1">
        <f>RANK(Table1[[#This Row],[Quality_score_index]],Table1[Quality_score_index],0)</f>
        <v>1359</v>
      </c>
      <c r="R313" s="1">
        <f>Table1[[#This Row],[total sulfur dioxide]]-Table1[[#This Row],[free sulfur dioxide]]</f>
        <v>90</v>
      </c>
      <c r="S313" s="1" t="str">
        <f>IF(AND(Table1[[#This Row],[pH]]&gt;=3.2,Table1[[#This Row],[alcohol]]&gt;=10),"White wine","Red wine")</f>
        <v>Red wine</v>
      </c>
    </row>
    <row r="314" spans="1:19" x14ac:dyDescent="0.3">
      <c r="A314" s="13">
        <v>313</v>
      </c>
      <c r="B314" s="1">
        <v>9</v>
      </c>
      <c r="C314" s="1">
        <v>0.46</v>
      </c>
      <c r="D314" s="1">
        <v>0.31</v>
      </c>
      <c r="E314" s="1">
        <v>2.8</v>
      </c>
      <c r="F314" s="1">
        <v>9.2999999999999999E-2</v>
      </c>
      <c r="G314" s="1">
        <v>19</v>
      </c>
      <c r="H314" s="1">
        <v>98</v>
      </c>
      <c r="I314" s="1">
        <v>0.99814999999999998</v>
      </c>
      <c r="J314" s="1">
        <v>3.32</v>
      </c>
      <c r="K314" s="1">
        <v>0.63</v>
      </c>
      <c r="L314" s="1">
        <v>9.5</v>
      </c>
      <c r="M314" s="2">
        <v>6</v>
      </c>
      <c r="N314" s="2" t="str" cm="1">
        <f t="array" ref="N314">_xlfn.IFS(Table1[[#This Row],[quality]]&lt;=4,"Low",Table1[[#This Row],[quality]]&lt;=6,"Medium",Table1[[#This Row],[quality]]&gt;=7,"High")</f>
        <v>Medium</v>
      </c>
      <c r="O314" s="2" t="str">
        <f>IF(AND(Table1[[#This Row],[fixed acidity]]&gt;Sheet1!$C$4,Table1[[#This Row],[pH]]&lt;Sheet1!$K$4),"High","Normal")</f>
        <v>Normal</v>
      </c>
      <c r="P314" s="1">
        <f>(Table1[[#This Row],[alcohol]]*2)+(Table1[[#This Row],[sulphates]]*1.5)-(Table1[[#This Row],[volatile acidity]]*2)</f>
        <v>19.024999999999999</v>
      </c>
      <c r="Q314" s="1">
        <f>RANK(Table1[[#This Row],[Quality_score_index]],Table1[Quality_score_index],0)</f>
        <v>1156</v>
      </c>
      <c r="R314" s="1">
        <f>Table1[[#This Row],[total sulfur dioxide]]-Table1[[#This Row],[free sulfur dioxide]]</f>
        <v>79</v>
      </c>
      <c r="S314" s="1" t="str">
        <f>IF(AND(Table1[[#This Row],[pH]]&gt;=3.2,Table1[[#This Row],[alcohol]]&gt;=10),"White wine","Red wine")</f>
        <v>Red wine</v>
      </c>
    </row>
    <row r="315" spans="1:19" x14ac:dyDescent="0.3">
      <c r="A315" s="13">
        <v>314</v>
      </c>
      <c r="B315" s="1">
        <v>8.6</v>
      </c>
      <c r="C315" s="1">
        <v>0.47</v>
      </c>
      <c r="D315" s="1">
        <v>0.3</v>
      </c>
      <c r="E315" s="1">
        <v>3</v>
      </c>
      <c r="F315" s="1">
        <v>7.5999999999999998E-2</v>
      </c>
      <c r="G315" s="1">
        <v>30</v>
      </c>
      <c r="H315" s="1">
        <v>135</v>
      </c>
      <c r="I315" s="1">
        <v>0.99760000000000004</v>
      </c>
      <c r="J315" s="1">
        <v>3.3</v>
      </c>
      <c r="K315" s="1">
        <v>0.53</v>
      </c>
      <c r="L315" s="1">
        <v>9.4</v>
      </c>
      <c r="M315" s="2">
        <v>5</v>
      </c>
      <c r="N315" s="2" t="str" cm="1">
        <f t="array" ref="N315">_xlfn.IFS(Table1[[#This Row],[quality]]&lt;=4,"Low",Table1[[#This Row],[quality]]&lt;=6,"Medium",Table1[[#This Row],[quality]]&gt;=7,"High")</f>
        <v>Medium</v>
      </c>
      <c r="O315" s="2" t="str">
        <f>IF(AND(Table1[[#This Row],[fixed acidity]]&gt;Sheet1!$C$4,Table1[[#This Row],[pH]]&lt;Sheet1!$K$4),"High","Normal")</f>
        <v>High</v>
      </c>
      <c r="P315" s="1">
        <f>(Table1[[#This Row],[alcohol]]*2)+(Table1[[#This Row],[sulphates]]*1.5)-(Table1[[#This Row],[volatile acidity]]*2)</f>
        <v>18.655000000000001</v>
      </c>
      <c r="Q315" s="1">
        <f>RANK(Table1[[#This Row],[Quality_score_index]],Table1[Quality_score_index],0)</f>
        <v>1316</v>
      </c>
      <c r="R315" s="1">
        <f>Table1[[#This Row],[total sulfur dioxide]]-Table1[[#This Row],[free sulfur dioxide]]</f>
        <v>105</v>
      </c>
      <c r="S315" s="1" t="str">
        <f>IF(AND(Table1[[#This Row],[pH]]&gt;=3.2,Table1[[#This Row],[alcohol]]&gt;=10),"White wine","Red wine")</f>
        <v>Red wine</v>
      </c>
    </row>
    <row r="316" spans="1:19" x14ac:dyDescent="0.3">
      <c r="A316" s="13">
        <v>315</v>
      </c>
      <c r="B316" s="1">
        <v>7.4</v>
      </c>
      <c r="C316" s="1">
        <v>0.36</v>
      </c>
      <c r="D316" s="1">
        <v>0.28999999999999998</v>
      </c>
      <c r="E316" s="1">
        <v>2.6</v>
      </c>
      <c r="F316" s="1">
        <v>8.6999999999999994E-2</v>
      </c>
      <c r="G316" s="1">
        <v>26</v>
      </c>
      <c r="H316" s="1">
        <v>72</v>
      </c>
      <c r="I316" s="1">
        <v>0.99644999999999995</v>
      </c>
      <c r="J316" s="1">
        <v>3.39</v>
      </c>
      <c r="K316" s="1">
        <v>0.68</v>
      </c>
      <c r="L316" s="1">
        <v>11</v>
      </c>
      <c r="M316" s="2">
        <v>5</v>
      </c>
      <c r="N316" s="2" t="str" cm="1">
        <f t="array" ref="N316">_xlfn.IFS(Table1[[#This Row],[quality]]&lt;=4,"Low",Table1[[#This Row],[quality]]&lt;=6,"Medium",Table1[[#This Row],[quality]]&gt;=7,"High")</f>
        <v>Medium</v>
      </c>
      <c r="O316" s="2" t="str">
        <f>IF(AND(Table1[[#This Row],[fixed acidity]]&gt;Sheet1!$C$4,Table1[[#This Row],[pH]]&lt;Sheet1!$K$4),"High","Normal")</f>
        <v>Normal</v>
      </c>
      <c r="P316" s="1">
        <f>(Table1[[#This Row],[alcohol]]*2)+(Table1[[#This Row],[sulphates]]*1.5)-(Table1[[#This Row],[volatile acidity]]*2)</f>
        <v>22.3</v>
      </c>
      <c r="Q316" s="1">
        <f>RANK(Table1[[#This Row],[Quality_score_index]],Table1[Quality_score_index],0)</f>
        <v>406</v>
      </c>
      <c r="R316" s="1">
        <f>Table1[[#This Row],[total sulfur dioxide]]-Table1[[#This Row],[free sulfur dioxide]]</f>
        <v>46</v>
      </c>
      <c r="S316" s="1" t="str">
        <f>IF(AND(Table1[[#This Row],[pH]]&gt;=3.2,Table1[[#This Row],[alcohol]]&gt;=10),"White wine","Red wine")</f>
        <v>White wine</v>
      </c>
    </row>
    <row r="317" spans="1:19" x14ac:dyDescent="0.3">
      <c r="A317" s="13">
        <v>316</v>
      </c>
      <c r="B317" s="1">
        <v>7.1</v>
      </c>
      <c r="C317" s="1">
        <v>0.35</v>
      </c>
      <c r="D317" s="1">
        <v>0.28999999999999998</v>
      </c>
      <c r="E317" s="1">
        <v>2.5</v>
      </c>
      <c r="F317" s="1">
        <v>9.6000000000000002E-2</v>
      </c>
      <c r="G317" s="1">
        <v>20</v>
      </c>
      <c r="H317" s="1">
        <v>53</v>
      </c>
      <c r="I317" s="1">
        <v>0.99619999999999997</v>
      </c>
      <c r="J317" s="1">
        <v>3.42</v>
      </c>
      <c r="K317" s="1">
        <v>0.65</v>
      </c>
      <c r="L317" s="1">
        <v>11</v>
      </c>
      <c r="M317" s="2">
        <v>6</v>
      </c>
      <c r="N317" s="2" t="str" cm="1">
        <f t="array" ref="N317">_xlfn.IFS(Table1[[#This Row],[quality]]&lt;=4,"Low",Table1[[#This Row],[quality]]&lt;=6,"Medium",Table1[[#This Row],[quality]]&gt;=7,"High")</f>
        <v>Medium</v>
      </c>
      <c r="O317" s="2" t="str">
        <f>IF(AND(Table1[[#This Row],[fixed acidity]]&gt;Sheet1!$C$4,Table1[[#This Row],[pH]]&lt;Sheet1!$K$4),"High","Normal")</f>
        <v>Normal</v>
      </c>
      <c r="P317" s="1">
        <f>(Table1[[#This Row],[alcohol]]*2)+(Table1[[#This Row],[sulphates]]*1.5)-(Table1[[#This Row],[volatile acidity]]*2)</f>
        <v>22.275000000000002</v>
      </c>
      <c r="Q317" s="1">
        <f>RANK(Table1[[#This Row],[Quality_score_index]],Table1[Quality_score_index],0)</f>
        <v>407</v>
      </c>
      <c r="R317" s="1">
        <f>Table1[[#This Row],[total sulfur dioxide]]-Table1[[#This Row],[free sulfur dioxide]]</f>
        <v>33</v>
      </c>
      <c r="S317" s="1" t="str">
        <f>IF(AND(Table1[[#This Row],[pH]]&gt;=3.2,Table1[[#This Row],[alcohol]]&gt;=10),"White wine","Red wine")</f>
        <v>White wine</v>
      </c>
    </row>
    <row r="318" spans="1:19" x14ac:dyDescent="0.3">
      <c r="A318" s="13">
        <v>317</v>
      </c>
      <c r="B318" s="1">
        <v>9.6</v>
      </c>
      <c r="C318" s="1">
        <v>0.56000000000000005</v>
      </c>
      <c r="D318" s="1">
        <v>0.23</v>
      </c>
      <c r="E318" s="1">
        <v>3.4</v>
      </c>
      <c r="F318" s="1">
        <v>0.10199999999999999</v>
      </c>
      <c r="G318" s="1">
        <v>37</v>
      </c>
      <c r="H318" s="1">
        <v>92</v>
      </c>
      <c r="I318" s="1">
        <v>0.99960000000000004</v>
      </c>
      <c r="J318" s="1">
        <v>3.3</v>
      </c>
      <c r="K318" s="1">
        <v>0.65</v>
      </c>
      <c r="L318" s="1">
        <v>10.1</v>
      </c>
      <c r="M318" s="2">
        <v>5</v>
      </c>
      <c r="N318" s="2" t="str" cm="1">
        <f t="array" ref="N318">_xlfn.IFS(Table1[[#This Row],[quality]]&lt;=4,"Low",Table1[[#This Row],[quality]]&lt;=6,"Medium",Table1[[#This Row],[quality]]&gt;=7,"High")</f>
        <v>Medium</v>
      </c>
      <c r="O318" s="2" t="str">
        <f>IF(AND(Table1[[#This Row],[fixed acidity]]&gt;Sheet1!$C$4,Table1[[#This Row],[pH]]&lt;Sheet1!$K$4),"High","Normal")</f>
        <v>High</v>
      </c>
      <c r="P318" s="1">
        <f>(Table1[[#This Row],[alcohol]]*2)+(Table1[[#This Row],[sulphates]]*1.5)-(Table1[[#This Row],[volatile acidity]]*2)</f>
        <v>20.055</v>
      </c>
      <c r="Q318" s="1">
        <f>RANK(Table1[[#This Row],[Quality_score_index]],Table1[Quality_score_index],0)</f>
        <v>847</v>
      </c>
      <c r="R318" s="1">
        <f>Table1[[#This Row],[total sulfur dioxide]]-Table1[[#This Row],[free sulfur dioxide]]</f>
        <v>55</v>
      </c>
      <c r="S318" s="1" t="str">
        <f>IF(AND(Table1[[#This Row],[pH]]&gt;=3.2,Table1[[#This Row],[alcohol]]&gt;=10),"White wine","Red wine")</f>
        <v>White wine</v>
      </c>
    </row>
    <row r="319" spans="1:19" x14ac:dyDescent="0.3">
      <c r="A319" s="13">
        <v>318</v>
      </c>
      <c r="B319" s="1">
        <v>9.6</v>
      </c>
      <c r="C319" s="1">
        <v>0.77</v>
      </c>
      <c r="D319" s="1">
        <v>0.12</v>
      </c>
      <c r="E319" s="1">
        <v>2.9</v>
      </c>
      <c r="F319" s="1">
        <v>8.2000000000000003E-2</v>
      </c>
      <c r="G319" s="1">
        <v>30</v>
      </c>
      <c r="H319" s="1">
        <v>74</v>
      </c>
      <c r="I319" s="1">
        <v>0.99865000000000004</v>
      </c>
      <c r="J319" s="1">
        <v>3.3</v>
      </c>
      <c r="K319" s="1">
        <v>0.64</v>
      </c>
      <c r="L319" s="1">
        <v>10.4</v>
      </c>
      <c r="M319" s="2">
        <v>6</v>
      </c>
      <c r="N319" s="2" t="str" cm="1">
        <f t="array" ref="N319">_xlfn.IFS(Table1[[#This Row],[quality]]&lt;=4,"Low",Table1[[#This Row],[quality]]&lt;=6,"Medium",Table1[[#This Row],[quality]]&gt;=7,"High")</f>
        <v>Medium</v>
      </c>
      <c r="O319" s="2" t="str">
        <f>IF(AND(Table1[[#This Row],[fixed acidity]]&gt;Sheet1!$C$4,Table1[[#This Row],[pH]]&lt;Sheet1!$K$4),"High","Normal")</f>
        <v>High</v>
      </c>
      <c r="P319" s="1">
        <f>(Table1[[#This Row],[alcohol]]*2)+(Table1[[#This Row],[sulphates]]*1.5)-(Table1[[#This Row],[volatile acidity]]*2)</f>
        <v>20.220000000000002</v>
      </c>
      <c r="Q319" s="1">
        <f>RANK(Table1[[#This Row],[Quality_score_index]],Table1[Quality_score_index],0)</f>
        <v>807</v>
      </c>
      <c r="R319" s="1">
        <f>Table1[[#This Row],[total sulfur dioxide]]-Table1[[#This Row],[free sulfur dioxide]]</f>
        <v>44</v>
      </c>
      <c r="S319" s="1" t="str">
        <f>IF(AND(Table1[[#This Row],[pH]]&gt;=3.2,Table1[[#This Row],[alcohol]]&gt;=10),"White wine","Red wine")</f>
        <v>White wine</v>
      </c>
    </row>
    <row r="320" spans="1:19" x14ac:dyDescent="0.3">
      <c r="A320" s="13">
        <v>319</v>
      </c>
      <c r="B320" s="1">
        <v>9.8000000000000007</v>
      </c>
      <c r="C320" s="1">
        <v>0.66</v>
      </c>
      <c r="D320" s="1">
        <v>0.39</v>
      </c>
      <c r="E320" s="1">
        <v>3.2</v>
      </c>
      <c r="F320" s="1">
        <v>8.3000000000000004E-2</v>
      </c>
      <c r="G320" s="1">
        <v>21</v>
      </c>
      <c r="H320" s="1">
        <v>59</v>
      </c>
      <c r="I320" s="1">
        <v>0.99890000000000001</v>
      </c>
      <c r="J320" s="1">
        <v>3.37</v>
      </c>
      <c r="K320" s="1">
        <v>0.71</v>
      </c>
      <c r="L320" s="1">
        <v>11.5</v>
      </c>
      <c r="M320" s="2">
        <v>7</v>
      </c>
      <c r="N320" s="2" t="str" cm="1">
        <f t="array" ref="N320">_xlfn.IFS(Table1[[#This Row],[quality]]&lt;=4,"Low",Table1[[#This Row],[quality]]&lt;=6,"Medium",Table1[[#This Row],[quality]]&gt;=7,"High")</f>
        <v>High</v>
      </c>
      <c r="O320" s="2" t="str">
        <f>IF(AND(Table1[[#This Row],[fixed acidity]]&gt;Sheet1!$C$4,Table1[[#This Row],[pH]]&lt;Sheet1!$K$4),"High","Normal")</f>
        <v>Normal</v>
      </c>
      <c r="P320" s="1">
        <f>(Table1[[#This Row],[alcohol]]*2)+(Table1[[#This Row],[sulphates]]*1.5)-(Table1[[#This Row],[volatile acidity]]*2)</f>
        <v>22.745000000000001</v>
      </c>
      <c r="Q320" s="1">
        <f>RANK(Table1[[#This Row],[Quality_score_index]],Table1[Quality_score_index],0)</f>
        <v>320</v>
      </c>
      <c r="R320" s="1">
        <f>Table1[[#This Row],[total sulfur dioxide]]-Table1[[#This Row],[free sulfur dioxide]]</f>
        <v>38</v>
      </c>
      <c r="S320" s="1" t="str">
        <f>IF(AND(Table1[[#This Row],[pH]]&gt;=3.2,Table1[[#This Row],[alcohol]]&gt;=10),"White wine","Red wine")</f>
        <v>White wine</v>
      </c>
    </row>
    <row r="321" spans="1:19" x14ac:dyDescent="0.3">
      <c r="A321" s="13">
        <v>320</v>
      </c>
      <c r="B321" s="1">
        <v>9.6</v>
      </c>
      <c r="C321" s="1">
        <v>0.77</v>
      </c>
      <c r="D321" s="1">
        <v>0.12</v>
      </c>
      <c r="E321" s="1">
        <v>2.9</v>
      </c>
      <c r="F321" s="1">
        <v>8.2000000000000003E-2</v>
      </c>
      <c r="G321" s="1">
        <v>30</v>
      </c>
      <c r="H321" s="1">
        <v>74</v>
      </c>
      <c r="I321" s="1">
        <v>0.99865000000000004</v>
      </c>
      <c r="J321" s="1">
        <v>3.3</v>
      </c>
      <c r="K321" s="1">
        <v>0.64</v>
      </c>
      <c r="L321" s="1">
        <v>10.4</v>
      </c>
      <c r="M321" s="2">
        <v>6</v>
      </c>
      <c r="N321" s="2" t="str" cm="1">
        <f t="array" ref="N321">_xlfn.IFS(Table1[[#This Row],[quality]]&lt;=4,"Low",Table1[[#This Row],[quality]]&lt;=6,"Medium",Table1[[#This Row],[quality]]&gt;=7,"High")</f>
        <v>Medium</v>
      </c>
      <c r="O321" s="2" t="str">
        <f>IF(AND(Table1[[#This Row],[fixed acidity]]&gt;Sheet1!$C$4,Table1[[#This Row],[pH]]&lt;Sheet1!$K$4),"High","Normal")</f>
        <v>High</v>
      </c>
      <c r="P321" s="1">
        <f>(Table1[[#This Row],[alcohol]]*2)+(Table1[[#This Row],[sulphates]]*1.5)-(Table1[[#This Row],[volatile acidity]]*2)</f>
        <v>20.220000000000002</v>
      </c>
      <c r="Q321" s="1">
        <f>RANK(Table1[[#This Row],[Quality_score_index]],Table1[Quality_score_index],0)</f>
        <v>807</v>
      </c>
      <c r="R321" s="1">
        <f>Table1[[#This Row],[total sulfur dioxide]]-Table1[[#This Row],[free sulfur dioxide]]</f>
        <v>44</v>
      </c>
      <c r="S321" s="1" t="str">
        <f>IF(AND(Table1[[#This Row],[pH]]&gt;=3.2,Table1[[#This Row],[alcohol]]&gt;=10),"White wine","Red wine")</f>
        <v>White wine</v>
      </c>
    </row>
    <row r="322" spans="1:19" x14ac:dyDescent="0.3">
      <c r="A322" s="13">
        <v>321</v>
      </c>
      <c r="B322" s="1">
        <v>9.8000000000000007</v>
      </c>
      <c r="C322" s="1">
        <v>0.66</v>
      </c>
      <c r="D322" s="1">
        <v>0.39</v>
      </c>
      <c r="E322" s="1">
        <v>3.2</v>
      </c>
      <c r="F322" s="1">
        <v>8.3000000000000004E-2</v>
      </c>
      <c r="G322" s="1">
        <v>21</v>
      </c>
      <c r="H322" s="1">
        <v>59</v>
      </c>
      <c r="I322" s="1">
        <v>0.99890000000000001</v>
      </c>
      <c r="J322" s="1">
        <v>3.37</v>
      </c>
      <c r="K322" s="1">
        <v>0.71</v>
      </c>
      <c r="L322" s="1">
        <v>11.5</v>
      </c>
      <c r="M322" s="2">
        <v>7</v>
      </c>
      <c r="N322" s="2" t="str" cm="1">
        <f t="array" ref="N322">_xlfn.IFS(Table1[[#This Row],[quality]]&lt;=4,"Low",Table1[[#This Row],[quality]]&lt;=6,"Medium",Table1[[#This Row],[quality]]&gt;=7,"High")</f>
        <v>High</v>
      </c>
      <c r="O322" s="2" t="str">
        <f>IF(AND(Table1[[#This Row],[fixed acidity]]&gt;Sheet1!$C$4,Table1[[#This Row],[pH]]&lt;Sheet1!$K$4),"High","Normal")</f>
        <v>Normal</v>
      </c>
      <c r="P322" s="1">
        <f>(Table1[[#This Row],[alcohol]]*2)+(Table1[[#This Row],[sulphates]]*1.5)-(Table1[[#This Row],[volatile acidity]]*2)</f>
        <v>22.745000000000001</v>
      </c>
      <c r="Q322" s="1">
        <f>RANK(Table1[[#This Row],[Quality_score_index]],Table1[Quality_score_index],0)</f>
        <v>320</v>
      </c>
      <c r="R322" s="1">
        <f>Table1[[#This Row],[total sulfur dioxide]]-Table1[[#This Row],[free sulfur dioxide]]</f>
        <v>38</v>
      </c>
      <c r="S322" s="1" t="str">
        <f>IF(AND(Table1[[#This Row],[pH]]&gt;=3.2,Table1[[#This Row],[alcohol]]&gt;=10),"White wine","Red wine")</f>
        <v>White wine</v>
      </c>
    </row>
    <row r="323" spans="1:19" x14ac:dyDescent="0.3">
      <c r="A323" s="13">
        <v>322</v>
      </c>
      <c r="B323" s="1">
        <v>9.3000000000000007</v>
      </c>
      <c r="C323" s="1">
        <v>0.61</v>
      </c>
      <c r="D323" s="1">
        <v>0.26</v>
      </c>
      <c r="E323" s="1">
        <v>3.4</v>
      </c>
      <c r="F323" s="1">
        <v>0.09</v>
      </c>
      <c r="G323" s="1">
        <v>25</v>
      </c>
      <c r="H323" s="1">
        <v>87</v>
      </c>
      <c r="I323" s="1">
        <v>0.99975000000000003</v>
      </c>
      <c r="J323" s="1">
        <v>3.24</v>
      </c>
      <c r="K323" s="1">
        <v>0.62</v>
      </c>
      <c r="L323" s="1">
        <v>9.6999999999999993</v>
      </c>
      <c r="M323" s="2">
        <v>5</v>
      </c>
      <c r="N323" s="2" t="str" cm="1">
        <f t="array" ref="N323">_xlfn.IFS(Table1[[#This Row],[quality]]&lt;=4,"Low",Table1[[#This Row],[quality]]&lt;=6,"Medium",Table1[[#This Row],[quality]]&gt;=7,"High")</f>
        <v>Medium</v>
      </c>
      <c r="O323" s="2" t="str">
        <f>IF(AND(Table1[[#This Row],[fixed acidity]]&gt;Sheet1!$C$4,Table1[[#This Row],[pH]]&lt;Sheet1!$K$4),"High","Normal")</f>
        <v>High</v>
      </c>
      <c r="P323" s="1">
        <f>(Table1[[#This Row],[alcohol]]*2)+(Table1[[#This Row],[sulphates]]*1.5)-(Table1[[#This Row],[volatile acidity]]*2)</f>
        <v>19.11</v>
      </c>
      <c r="Q323" s="1">
        <f>RANK(Table1[[#This Row],[Quality_score_index]],Table1[Quality_score_index],0)</f>
        <v>1116</v>
      </c>
      <c r="R323" s="1">
        <f>Table1[[#This Row],[total sulfur dioxide]]-Table1[[#This Row],[free sulfur dioxide]]</f>
        <v>62</v>
      </c>
      <c r="S323" s="1" t="str">
        <f>IF(AND(Table1[[#This Row],[pH]]&gt;=3.2,Table1[[#This Row],[alcohol]]&gt;=10),"White wine","Red wine")</f>
        <v>Red wine</v>
      </c>
    </row>
    <row r="324" spans="1:19" x14ac:dyDescent="0.3">
      <c r="A324" s="13">
        <v>323</v>
      </c>
      <c r="B324" s="1">
        <v>7.8</v>
      </c>
      <c r="C324" s="1">
        <v>0.62</v>
      </c>
      <c r="D324" s="1">
        <v>0.05</v>
      </c>
      <c r="E324" s="1">
        <v>2.2999999999999998</v>
      </c>
      <c r="F324" s="1">
        <v>7.9000000000000001E-2</v>
      </c>
      <c r="G324" s="1">
        <v>6</v>
      </c>
      <c r="H324" s="1">
        <v>18</v>
      </c>
      <c r="I324" s="1">
        <v>0.99734999999999996</v>
      </c>
      <c r="J324" s="1">
        <v>3.29</v>
      </c>
      <c r="K324" s="1">
        <v>0.63</v>
      </c>
      <c r="L324" s="1">
        <v>9.3000000000000007</v>
      </c>
      <c r="M324" s="2">
        <v>5</v>
      </c>
      <c r="N324" s="2" t="str" cm="1">
        <f t="array" ref="N324">_xlfn.IFS(Table1[[#This Row],[quality]]&lt;=4,"Low",Table1[[#This Row],[quality]]&lt;=6,"Medium",Table1[[#This Row],[quality]]&gt;=7,"High")</f>
        <v>Medium</v>
      </c>
      <c r="O324" s="2" t="str">
        <f>IF(AND(Table1[[#This Row],[fixed acidity]]&gt;Sheet1!$C$4,Table1[[#This Row],[pH]]&lt;Sheet1!$K$4),"High","Normal")</f>
        <v>Normal</v>
      </c>
      <c r="P324" s="1">
        <f>(Table1[[#This Row],[alcohol]]*2)+(Table1[[#This Row],[sulphates]]*1.5)-(Table1[[#This Row],[volatile acidity]]*2)</f>
        <v>18.305000000000003</v>
      </c>
      <c r="Q324" s="1">
        <f>RANK(Table1[[#This Row],[Quality_score_index]],Table1[Quality_score_index],0)</f>
        <v>1453</v>
      </c>
      <c r="R324" s="1">
        <f>Table1[[#This Row],[total sulfur dioxide]]-Table1[[#This Row],[free sulfur dioxide]]</f>
        <v>12</v>
      </c>
      <c r="S324" s="1" t="str">
        <f>IF(AND(Table1[[#This Row],[pH]]&gt;=3.2,Table1[[#This Row],[alcohol]]&gt;=10),"White wine","Red wine")</f>
        <v>Red wine</v>
      </c>
    </row>
    <row r="325" spans="1:19" x14ac:dyDescent="0.3">
      <c r="A325" s="13">
        <v>324</v>
      </c>
      <c r="B325" s="1">
        <v>10.3</v>
      </c>
      <c r="C325" s="1">
        <v>0.59</v>
      </c>
      <c r="D325" s="1">
        <v>0.42</v>
      </c>
      <c r="E325" s="1">
        <v>2.8</v>
      </c>
      <c r="F325" s="1">
        <v>0.09</v>
      </c>
      <c r="G325" s="1">
        <v>35</v>
      </c>
      <c r="H325" s="1">
        <v>73</v>
      </c>
      <c r="I325" s="1">
        <v>0.999</v>
      </c>
      <c r="J325" s="1">
        <v>3.28</v>
      </c>
      <c r="K325" s="1">
        <v>0.7</v>
      </c>
      <c r="L325" s="1">
        <v>9.5</v>
      </c>
      <c r="M325" s="2">
        <v>6</v>
      </c>
      <c r="N325" s="2" t="str" cm="1">
        <f t="array" ref="N325">_xlfn.IFS(Table1[[#This Row],[quality]]&lt;=4,"Low",Table1[[#This Row],[quality]]&lt;=6,"Medium",Table1[[#This Row],[quality]]&gt;=7,"High")</f>
        <v>Medium</v>
      </c>
      <c r="O325" s="2" t="str">
        <f>IF(AND(Table1[[#This Row],[fixed acidity]]&gt;Sheet1!$C$4,Table1[[#This Row],[pH]]&lt;Sheet1!$K$4),"High","Normal")</f>
        <v>High</v>
      </c>
      <c r="P325" s="1">
        <f>(Table1[[#This Row],[alcohol]]*2)+(Table1[[#This Row],[sulphates]]*1.5)-(Table1[[#This Row],[volatile acidity]]*2)</f>
        <v>18.87</v>
      </c>
      <c r="Q325" s="1">
        <f>RANK(Table1[[#This Row],[Quality_score_index]],Table1[Quality_score_index],0)</f>
        <v>1218</v>
      </c>
      <c r="R325" s="1">
        <f>Table1[[#This Row],[total sulfur dioxide]]-Table1[[#This Row],[free sulfur dioxide]]</f>
        <v>38</v>
      </c>
      <c r="S325" s="1" t="str">
        <f>IF(AND(Table1[[#This Row],[pH]]&gt;=3.2,Table1[[#This Row],[alcohol]]&gt;=10),"White wine","Red wine")</f>
        <v>Red wine</v>
      </c>
    </row>
    <row r="326" spans="1:19" x14ac:dyDescent="0.3">
      <c r="A326" s="13">
        <v>325</v>
      </c>
      <c r="B326" s="1">
        <v>10</v>
      </c>
      <c r="C326" s="1">
        <v>0.49</v>
      </c>
      <c r="D326" s="1">
        <v>0.2</v>
      </c>
      <c r="E326" s="1">
        <v>11</v>
      </c>
      <c r="F326" s="1">
        <v>7.0999999999999994E-2</v>
      </c>
      <c r="G326" s="1">
        <v>13</v>
      </c>
      <c r="H326" s="1">
        <v>50</v>
      </c>
      <c r="I326" s="1">
        <v>1.0015000000000001</v>
      </c>
      <c r="J326" s="1">
        <v>3.16</v>
      </c>
      <c r="K326" s="1">
        <v>0.69</v>
      </c>
      <c r="L326" s="1">
        <v>9.1999999999999993</v>
      </c>
      <c r="M326" s="2">
        <v>6</v>
      </c>
      <c r="N326" s="2" t="str" cm="1">
        <f t="array" ref="N326">_xlfn.IFS(Table1[[#This Row],[quality]]&lt;=4,"Low",Table1[[#This Row],[quality]]&lt;=6,"Medium",Table1[[#This Row],[quality]]&gt;=7,"High")</f>
        <v>Medium</v>
      </c>
      <c r="O326" s="2" t="str">
        <f>IF(AND(Table1[[#This Row],[fixed acidity]]&gt;Sheet1!$C$4,Table1[[#This Row],[pH]]&lt;Sheet1!$K$4),"High","Normal")</f>
        <v>High</v>
      </c>
      <c r="P326" s="1">
        <f>(Table1[[#This Row],[alcohol]]*2)+(Table1[[#This Row],[sulphates]]*1.5)-(Table1[[#This Row],[volatile acidity]]*2)</f>
        <v>18.454999999999998</v>
      </c>
      <c r="Q326" s="1">
        <f>RANK(Table1[[#This Row],[Quality_score_index]],Table1[Quality_score_index],0)</f>
        <v>1391</v>
      </c>
      <c r="R326" s="1">
        <f>Table1[[#This Row],[total sulfur dioxide]]-Table1[[#This Row],[free sulfur dioxide]]</f>
        <v>37</v>
      </c>
      <c r="S326" s="1" t="str">
        <f>IF(AND(Table1[[#This Row],[pH]]&gt;=3.2,Table1[[#This Row],[alcohol]]&gt;=10),"White wine","Red wine")</f>
        <v>Red wine</v>
      </c>
    </row>
    <row r="327" spans="1:19" x14ac:dyDescent="0.3">
      <c r="A327" s="13">
        <v>326</v>
      </c>
      <c r="B327" s="1">
        <v>10</v>
      </c>
      <c r="C327" s="1">
        <v>0.49</v>
      </c>
      <c r="D327" s="1">
        <v>0.2</v>
      </c>
      <c r="E327" s="1">
        <v>11</v>
      </c>
      <c r="F327" s="1">
        <v>7.0999999999999994E-2</v>
      </c>
      <c r="G327" s="1">
        <v>13</v>
      </c>
      <c r="H327" s="1">
        <v>50</v>
      </c>
      <c r="I327" s="1">
        <v>1.0015000000000001</v>
      </c>
      <c r="J327" s="1">
        <v>3.16</v>
      </c>
      <c r="K327" s="1">
        <v>0.69</v>
      </c>
      <c r="L327" s="1">
        <v>9.1999999999999993</v>
      </c>
      <c r="M327" s="2">
        <v>6</v>
      </c>
      <c r="N327" s="2" t="str" cm="1">
        <f t="array" ref="N327">_xlfn.IFS(Table1[[#This Row],[quality]]&lt;=4,"Low",Table1[[#This Row],[quality]]&lt;=6,"Medium",Table1[[#This Row],[quality]]&gt;=7,"High")</f>
        <v>Medium</v>
      </c>
      <c r="O327" s="2" t="str">
        <f>IF(AND(Table1[[#This Row],[fixed acidity]]&gt;Sheet1!$C$4,Table1[[#This Row],[pH]]&lt;Sheet1!$K$4),"High","Normal")</f>
        <v>High</v>
      </c>
      <c r="P327" s="1">
        <f>(Table1[[#This Row],[alcohol]]*2)+(Table1[[#This Row],[sulphates]]*1.5)-(Table1[[#This Row],[volatile acidity]]*2)</f>
        <v>18.454999999999998</v>
      </c>
      <c r="Q327" s="1">
        <f>RANK(Table1[[#This Row],[Quality_score_index]],Table1[Quality_score_index],0)</f>
        <v>1391</v>
      </c>
      <c r="R327" s="1">
        <f>Table1[[#This Row],[total sulfur dioxide]]-Table1[[#This Row],[free sulfur dioxide]]</f>
        <v>37</v>
      </c>
      <c r="S327" s="1" t="str">
        <f>IF(AND(Table1[[#This Row],[pH]]&gt;=3.2,Table1[[#This Row],[alcohol]]&gt;=10),"White wine","Red wine")</f>
        <v>Red wine</v>
      </c>
    </row>
    <row r="328" spans="1:19" x14ac:dyDescent="0.3">
      <c r="A328" s="13">
        <v>327</v>
      </c>
      <c r="B328" s="1">
        <v>11.6</v>
      </c>
      <c r="C328" s="1">
        <v>0.53</v>
      </c>
      <c r="D328" s="1">
        <v>0.66</v>
      </c>
      <c r="E328" s="1">
        <v>3.65</v>
      </c>
      <c r="F328" s="1">
        <v>0.121</v>
      </c>
      <c r="G328" s="1">
        <v>6</v>
      </c>
      <c r="H328" s="1">
        <v>14</v>
      </c>
      <c r="I328" s="1">
        <v>0.99780000000000002</v>
      </c>
      <c r="J328" s="1">
        <v>3.05</v>
      </c>
      <c r="K328" s="1">
        <v>0.74</v>
      </c>
      <c r="L328" s="1">
        <v>11.5</v>
      </c>
      <c r="M328" s="2">
        <v>7</v>
      </c>
      <c r="N328" s="2" t="str" cm="1">
        <f t="array" ref="N328">_xlfn.IFS(Table1[[#This Row],[quality]]&lt;=4,"Low",Table1[[#This Row],[quality]]&lt;=6,"Medium",Table1[[#This Row],[quality]]&gt;=7,"High")</f>
        <v>High</v>
      </c>
      <c r="O328" s="2" t="str">
        <f>IF(AND(Table1[[#This Row],[fixed acidity]]&gt;Sheet1!$C$4,Table1[[#This Row],[pH]]&lt;Sheet1!$K$4),"High","Normal")</f>
        <v>High</v>
      </c>
      <c r="P328" s="1">
        <f>(Table1[[#This Row],[alcohol]]*2)+(Table1[[#This Row],[sulphates]]*1.5)-(Table1[[#This Row],[volatile acidity]]*2)</f>
        <v>23.05</v>
      </c>
      <c r="Q328" s="1">
        <f>RANK(Table1[[#This Row],[Quality_score_index]],Table1[Quality_score_index],0)</f>
        <v>264</v>
      </c>
      <c r="R328" s="1">
        <f>Table1[[#This Row],[total sulfur dioxide]]-Table1[[#This Row],[free sulfur dioxide]]</f>
        <v>8</v>
      </c>
      <c r="S328" s="1" t="str">
        <f>IF(AND(Table1[[#This Row],[pH]]&gt;=3.2,Table1[[#This Row],[alcohol]]&gt;=10),"White wine","Red wine")</f>
        <v>Red wine</v>
      </c>
    </row>
    <row r="329" spans="1:19" x14ac:dyDescent="0.3">
      <c r="A329" s="13">
        <v>328</v>
      </c>
      <c r="B329" s="1">
        <v>10.3</v>
      </c>
      <c r="C329" s="1">
        <v>0.44</v>
      </c>
      <c r="D329" s="1">
        <v>0.5</v>
      </c>
      <c r="E329" s="1">
        <v>4.5</v>
      </c>
      <c r="F329" s="1">
        <v>0.107</v>
      </c>
      <c r="G329" s="1">
        <v>5</v>
      </c>
      <c r="H329" s="1">
        <v>13</v>
      </c>
      <c r="I329" s="1">
        <v>0.998</v>
      </c>
      <c r="J329" s="1">
        <v>3.28</v>
      </c>
      <c r="K329" s="1">
        <v>0.83</v>
      </c>
      <c r="L329" s="1">
        <v>11.5</v>
      </c>
      <c r="M329" s="2">
        <v>5</v>
      </c>
      <c r="N329" s="2" t="str" cm="1">
        <f t="array" ref="N329">_xlfn.IFS(Table1[[#This Row],[quality]]&lt;=4,"Low",Table1[[#This Row],[quality]]&lt;=6,"Medium",Table1[[#This Row],[quality]]&gt;=7,"High")</f>
        <v>Medium</v>
      </c>
      <c r="O329" s="2" t="str">
        <f>IF(AND(Table1[[#This Row],[fixed acidity]]&gt;Sheet1!$C$4,Table1[[#This Row],[pH]]&lt;Sheet1!$K$4),"High","Normal")</f>
        <v>High</v>
      </c>
      <c r="P329" s="1">
        <f>(Table1[[#This Row],[alcohol]]*2)+(Table1[[#This Row],[sulphates]]*1.5)-(Table1[[#This Row],[volatile acidity]]*2)</f>
        <v>23.365000000000002</v>
      </c>
      <c r="Q329" s="1">
        <f>RANK(Table1[[#This Row],[Quality_score_index]],Table1[Quality_score_index],0)</f>
        <v>232</v>
      </c>
      <c r="R329" s="1">
        <f>Table1[[#This Row],[total sulfur dioxide]]-Table1[[#This Row],[free sulfur dioxide]]</f>
        <v>8</v>
      </c>
      <c r="S329" s="1" t="str">
        <f>IF(AND(Table1[[#This Row],[pH]]&gt;=3.2,Table1[[#This Row],[alcohol]]&gt;=10),"White wine","Red wine")</f>
        <v>White wine</v>
      </c>
    </row>
    <row r="330" spans="1:19" x14ac:dyDescent="0.3">
      <c r="A330" s="13">
        <v>329</v>
      </c>
      <c r="B330" s="1">
        <v>13.4</v>
      </c>
      <c r="C330" s="1">
        <v>0.27</v>
      </c>
      <c r="D330" s="1">
        <v>0.62</v>
      </c>
      <c r="E330" s="1">
        <v>2.6</v>
      </c>
      <c r="F330" s="1">
        <v>8.2000000000000003E-2</v>
      </c>
      <c r="G330" s="1">
        <v>6</v>
      </c>
      <c r="H330" s="1">
        <v>21</v>
      </c>
      <c r="I330" s="1">
        <v>1.0002</v>
      </c>
      <c r="J330" s="1">
        <v>3.16</v>
      </c>
      <c r="K330" s="1">
        <v>0.67</v>
      </c>
      <c r="L330" s="1">
        <v>9.6999999999999993</v>
      </c>
      <c r="M330" s="2">
        <v>6</v>
      </c>
      <c r="N330" s="2" t="str" cm="1">
        <f t="array" ref="N330">_xlfn.IFS(Table1[[#This Row],[quality]]&lt;=4,"Low",Table1[[#This Row],[quality]]&lt;=6,"Medium",Table1[[#This Row],[quality]]&gt;=7,"High")</f>
        <v>Medium</v>
      </c>
      <c r="O330" s="2" t="str">
        <f>IF(AND(Table1[[#This Row],[fixed acidity]]&gt;Sheet1!$C$4,Table1[[#This Row],[pH]]&lt;Sheet1!$K$4),"High","Normal")</f>
        <v>High</v>
      </c>
      <c r="P330" s="1">
        <f>(Table1[[#This Row],[alcohol]]*2)+(Table1[[#This Row],[sulphates]]*1.5)-(Table1[[#This Row],[volatile acidity]]*2)</f>
        <v>19.864999999999998</v>
      </c>
      <c r="Q330" s="1">
        <f>RANK(Table1[[#This Row],[Quality_score_index]],Table1[Quality_score_index],0)</f>
        <v>890</v>
      </c>
      <c r="R330" s="1">
        <f>Table1[[#This Row],[total sulfur dioxide]]-Table1[[#This Row],[free sulfur dioxide]]</f>
        <v>15</v>
      </c>
      <c r="S330" s="1" t="str">
        <f>IF(AND(Table1[[#This Row],[pH]]&gt;=3.2,Table1[[#This Row],[alcohol]]&gt;=10),"White wine","Red wine")</f>
        <v>Red wine</v>
      </c>
    </row>
    <row r="331" spans="1:19" x14ac:dyDescent="0.3">
      <c r="A331" s="13">
        <v>330</v>
      </c>
      <c r="B331" s="1">
        <v>10.7</v>
      </c>
      <c r="C331" s="1">
        <v>0.46</v>
      </c>
      <c r="D331" s="1">
        <v>0.39</v>
      </c>
      <c r="E331" s="1">
        <v>2</v>
      </c>
      <c r="F331" s="1">
        <v>6.0999999999999999E-2</v>
      </c>
      <c r="G331" s="1">
        <v>7</v>
      </c>
      <c r="H331" s="1">
        <v>15</v>
      </c>
      <c r="I331" s="1">
        <v>0.99809999999999999</v>
      </c>
      <c r="J331" s="1">
        <v>3.18</v>
      </c>
      <c r="K331" s="1">
        <v>0.62</v>
      </c>
      <c r="L331" s="1">
        <v>9.5</v>
      </c>
      <c r="M331" s="2">
        <v>5</v>
      </c>
      <c r="N331" s="2" t="str" cm="1">
        <f t="array" ref="N331">_xlfn.IFS(Table1[[#This Row],[quality]]&lt;=4,"Low",Table1[[#This Row],[quality]]&lt;=6,"Medium",Table1[[#This Row],[quality]]&gt;=7,"High")</f>
        <v>Medium</v>
      </c>
      <c r="O331" s="2" t="str">
        <f>IF(AND(Table1[[#This Row],[fixed acidity]]&gt;Sheet1!$C$4,Table1[[#This Row],[pH]]&lt;Sheet1!$K$4),"High","Normal")</f>
        <v>High</v>
      </c>
      <c r="P331" s="1">
        <f>(Table1[[#This Row],[alcohol]]*2)+(Table1[[#This Row],[sulphates]]*1.5)-(Table1[[#This Row],[volatile acidity]]*2)</f>
        <v>19.009999999999998</v>
      </c>
      <c r="Q331" s="1">
        <f>RANK(Table1[[#This Row],[Quality_score_index]],Table1[Quality_score_index],0)</f>
        <v>1162</v>
      </c>
      <c r="R331" s="1">
        <f>Table1[[#This Row],[total sulfur dioxide]]-Table1[[#This Row],[free sulfur dioxide]]</f>
        <v>8</v>
      </c>
      <c r="S331" s="1" t="str">
        <f>IF(AND(Table1[[#This Row],[pH]]&gt;=3.2,Table1[[#This Row],[alcohol]]&gt;=10),"White wine","Red wine")</f>
        <v>Red wine</v>
      </c>
    </row>
    <row r="332" spans="1:19" x14ac:dyDescent="0.3">
      <c r="A332" s="13">
        <v>331</v>
      </c>
      <c r="B332" s="1">
        <v>10.199999999999999</v>
      </c>
      <c r="C332" s="1">
        <v>0.36</v>
      </c>
      <c r="D332" s="1">
        <v>0.64</v>
      </c>
      <c r="E332" s="1">
        <v>2.9</v>
      </c>
      <c r="F332" s="1">
        <v>0.122</v>
      </c>
      <c r="G332" s="1">
        <v>10</v>
      </c>
      <c r="H332" s="1">
        <v>41</v>
      </c>
      <c r="I332" s="1">
        <v>0.998</v>
      </c>
      <c r="J332" s="1">
        <v>3.23</v>
      </c>
      <c r="K332" s="1">
        <v>0.66</v>
      </c>
      <c r="L332" s="1">
        <v>12.5</v>
      </c>
      <c r="M332" s="2">
        <v>6</v>
      </c>
      <c r="N332" s="2" t="str" cm="1">
        <f t="array" ref="N332">_xlfn.IFS(Table1[[#This Row],[quality]]&lt;=4,"Low",Table1[[#This Row],[quality]]&lt;=6,"Medium",Table1[[#This Row],[quality]]&gt;=7,"High")</f>
        <v>Medium</v>
      </c>
      <c r="O332" s="2" t="str">
        <f>IF(AND(Table1[[#This Row],[fixed acidity]]&gt;Sheet1!$C$4,Table1[[#This Row],[pH]]&lt;Sheet1!$K$4),"High","Normal")</f>
        <v>High</v>
      </c>
      <c r="P332" s="1">
        <f>(Table1[[#This Row],[alcohol]]*2)+(Table1[[#This Row],[sulphates]]*1.5)-(Table1[[#This Row],[volatile acidity]]*2)</f>
        <v>25.27</v>
      </c>
      <c r="Q332" s="1">
        <f>RANK(Table1[[#This Row],[Quality_score_index]],Table1[Quality_score_index],0)</f>
        <v>72</v>
      </c>
      <c r="R332" s="1">
        <f>Table1[[#This Row],[total sulfur dioxide]]-Table1[[#This Row],[free sulfur dioxide]]</f>
        <v>31</v>
      </c>
      <c r="S332" s="1" t="str">
        <f>IF(AND(Table1[[#This Row],[pH]]&gt;=3.2,Table1[[#This Row],[alcohol]]&gt;=10),"White wine","Red wine")</f>
        <v>White wine</v>
      </c>
    </row>
    <row r="333" spans="1:19" x14ac:dyDescent="0.3">
      <c r="A333" s="13">
        <v>332</v>
      </c>
      <c r="B333" s="1">
        <v>10.199999999999999</v>
      </c>
      <c r="C333" s="1">
        <v>0.36</v>
      </c>
      <c r="D333" s="1">
        <v>0.64</v>
      </c>
      <c r="E333" s="1">
        <v>2.9</v>
      </c>
      <c r="F333" s="1">
        <v>0.122</v>
      </c>
      <c r="G333" s="1">
        <v>10</v>
      </c>
      <c r="H333" s="1">
        <v>41</v>
      </c>
      <c r="I333" s="1">
        <v>0.998</v>
      </c>
      <c r="J333" s="1">
        <v>3.23</v>
      </c>
      <c r="K333" s="1">
        <v>0.66</v>
      </c>
      <c r="L333" s="1">
        <v>12.5</v>
      </c>
      <c r="M333" s="2">
        <v>6</v>
      </c>
      <c r="N333" s="2" t="str" cm="1">
        <f t="array" ref="N333">_xlfn.IFS(Table1[[#This Row],[quality]]&lt;=4,"Low",Table1[[#This Row],[quality]]&lt;=6,"Medium",Table1[[#This Row],[quality]]&gt;=7,"High")</f>
        <v>Medium</v>
      </c>
      <c r="O333" s="2" t="str">
        <f>IF(AND(Table1[[#This Row],[fixed acidity]]&gt;Sheet1!$C$4,Table1[[#This Row],[pH]]&lt;Sheet1!$K$4),"High","Normal")</f>
        <v>High</v>
      </c>
      <c r="P333" s="1">
        <f>(Table1[[#This Row],[alcohol]]*2)+(Table1[[#This Row],[sulphates]]*1.5)-(Table1[[#This Row],[volatile acidity]]*2)</f>
        <v>25.27</v>
      </c>
      <c r="Q333" s="1">
        <f>RANK(Table1[[#This Row],[Quality_score_index]],Table1[Quality_score_index],0)</f>
        <v>72</v>
      </c>
      <c r="R333" s="1">
        <f>Table1[[#This Row],[total sulfur dioxide]]-Table1[[#This Row],[free sulfur dioxide]]</f>
        <v>31</v>
      </c>
      <c r="S333" s="1" t="str">
        <f>IF(AND(Table1[[#This Row],[pH]]&gt;=3.2,Table1[[#This Row],[alcohol]]&gt;=10),"White wine","Red wine")</f>
        <v>White wine</v>
      </c>
    </row>
    <row r="334" spans="1:19" x14ac:dyDescent="0.3">
      <c r="A334" s="13">
        <v>333</v>
      </c>
      <c r="B334" s="1">
        <v>8</v>
      </c>
      <c r="C334" s="1">
        <v>0.57999999999999996</v>
      </c>
      <c r="D334" s="1">
        <v>0.28000000000000003</v>
      </c>
      <c r="E334" s="1">
        <v>3.2</v>
      </c>
      <c r="F334" s="1">
        <v>6.6000000000000003E-2</v>
      </c>
      <c r="G334" s="1">
        <v>21</v>
      </c>
      <c r="H334" s="1">
        <v>114</v>
      </c>
      <c r="I334" s="1">
        <v>0.99729999999999996</v>
      </c>
      <c r="J334" s="1">
        <v>3.22</v>
      </c>
      <c r="K334" s="1">
        <v>0.54</v>
      </c>
      <c r="L334" s="1">
        <v>9.4</v>
      </c>
      <c r="M334" s="2">
        <v>6</v>
      </c>
      <c r="N334" s="2" t="str" cm="1">
        <f t="array" ref="N334">_xlfn.IFS(Table1[[#This Row],[quality]]&lt;=4,"Low",Table1[[#This Row],[quality]]&lt;=6,"Medium",Table1[[#This Row],[quality]]&gt;=7,"High")</f>
        <v>Medium</v>
      </c>
      <c r="O334" s="2" t="str">
        <f>IF(AND(Table1[[#This Row],[fixed acidity]]&gt;Sheet1!$C$4,Table1[[#This Row],[pH]]&lt;Sheet1!$K$4),"High","Normal")</f>
        <v>Normal</v>
      </c>
      <c r="P334" s="1">
        <f>(Table1[[#This Row],[alcohol]]*2)+(Table1[[#This Row],[sulphates]]*1.5)-(Table1[[#This Row],[volatile acidity]]*2)</f>
        <v>18.45</v>
      </c>
      <c r="Q334" s="1">
        <f>RANK(Table1[[#This Row],[Quality_score_index]],Table1[Quality_score_index],0)</f>
        <v>1394</v>
      </c>
      <c r="R334" s="1">
        <f>Table1[[#This Row],[total sulfur dioxide]]-Table1[[#This Row],[free sulfur dioxide]]</f>
        <v>93</v>
      </c>
      <c r="S334" s="1" t="str">
        <f>IF(AND(Table1[[#This Row],[pH]]&gt;=3.2,Table1[[#This Row],[alcohol]]&gt;=10),"White wine","Red wine")</f>
        <v>Red wine</v>
      </c>
    </row>
    <row r="335" spans="1:19" x14ac:dyDescent="0.3">
      <c r="A335" s="13">
        <v>334</v>
      </c>
      <c r="B335" s="1">
        <v>8.4</v>
      </c>
      <c r="C335" s="1">
        <v>0.56000000000000005</v>
      </c>
      <c r="D335" s="1">
        <v>0.08</v>
      </c>
      <c r="E335" s="1">
        <v>2.1</v>
      </c>
      <c r="F335" s="1">
        <v>0.105</v>
      </c>
      <c r="G335" s="1">
        <v>16</v>
      </c>
      <c r="H335" s="1">
        <v>44</v>
      </c>
      <c r="I335" s="1">
        <v>0.99580000000000002</v>
      </c>
      <c r="J335" s="1">
        <v>3.13</v>
      </c>
      <c r="K335" s="1">
        <v>0.52</v>
      </c>
      <c r="L335" s="1">
        <v>11</v>
      </c>
      <c r="M335" s="2">
        <v>5</v>
      </c>
      <c r="N335" s="2" t="str" cm="1">
        <f t="array" ref="N335">_xlfn.IFS(Table1[[#This Row],[quality]]&lt;=4,"Low",Table1[[#This Row],[quality]]&lt;=6,"Medium",Table1[[#This Row],[quality]]&gt;=7,"High")</f>
        <v>Medium</v>
      </c>
      <c r="O335" s="2" t="str">
        <f>IF(AND(Table1[[#This Row],[fixed acidity]]&gt;Sheet1!$C$4,Table1[[#This Row],[pH]]&lt;Sheet1!$K$4),"High","Normal")</f>
        <v>High</v>
      </c>
      <c r="P335" s="1">
        <f>(Table1[[#This Row],[alcohol]]*2)+(Table1[[#This Row],[sulphates]]*1.5)-(Table1[[#This Row],[volatile acidity]]*2)</f>
        <v>21.66</v>
      </c>
      <c r="Q335" s="1">
        <f>RANK(Table1[[#This Row],[Quality_score_index]],Table1[Quality_score_index],0)</f>
        <v>513</v>
      </c>
      <c r="R335" s="1">
        <f>Table1[[#This Row],[total sulfur dioxide]]-Table1[[#This Row],[free sulfur dioxide]]</f>
        <v>28</v>
      </c>
      <c r="S335" s="1" t="str">
        <f>IF(AND(Table1[[#This Row],[pH]]&gt;=3.2,Table1[[#This Row],[alcohol]]&gt;=10),"White wine","Red wine")</f>
        <v>Red wine</v>
      </c>
    </row>
    <row r="336" spans="1:19" x14ac:dyDescent="0.3">
      <c r="A336" s="13">
        <v>335</v>
      </c>
      <c r="B336" s="1">
        <v>7.9</v>
      </c>
      <c r="C336" s="1">
        <v>0.65</v>
      </c>
      <c r="D336" s="1">
        <v>0.01</v>
      </c>
      <c r="E336" s="1">
        <v>2.5</v>
      </c>
      <c r="F336" s="1">
        <v>7.8E-2</v>
      </c>
      <c r="G336" s="1">
        <v>17</v>
      </c>
      <c r="H336" s="1">
        <v>38</v>
      </c>
      <c r="I336" s="1">
        <v>0.99629999999999996</v>
      </c>
      <c r="J336" s="1">
        <v>3.34</v>
      </c>
      <c r="K336" s="1">
        <v>0.74</v>
      </c>
      <c r="L336" s="1">
        <v>11.7</v>
      </c>
      <c r="M336" s="2">
        <v>7</v>
      </c>
      <c r="N336" s="2" t="str" cm="1">
        <f t="array" ref="N336">_xlfn.IFS(Table1[[#This Row],[quality]]&lt;=4,"Low",Table1[[#This Row],[quality]]&lt;=6,"Medium",Table1[[#This Row],[quality]]&gt;=7,"High")</f>
        <v>High</v>
      </c>
      <c r="O336" s="2" t="str">
        <f>IF(AND(Table1[[#This Row],[fixed acidity]]&gt;Sheet1!$C$4,Table1[[#This Row],[pH]]&lt;Sheet1!$K$4),"High","Normal")</f>
        <v>Normal</v>
      </c>
      <c r="P336" s="1">
        <f>(Table1[[#This Row],[alcohol]]*2)+(Table1[[#This Row],[sulphates]]*1.5)-(Table1[[#This Row],[volatile acidity]]*2)</f>
        <v>23.209999999999997</v>
      </c>
      <c r="Q336" s="1">
        <f>RANK(Table1[[#This Row],[Quality_score_index]],Table1[Quality_score_index],0)</f>
        <v>244</v>
      </c>
      <c r="R336" s="1">
        <f>Table1[[#This Row],[total sulfur dioxide]]-Table1[[#This Row],[free sulfur dioxide]]</f>
        <v>21</v>
      </c>
      <c r="S336" s="1" t="str">
        <f>IF(AND(Table1[[#This Row],[pH]]&gt;=3.2,Table1[[#This Row],[alcohol]]&gt;=10),"White wine","Red wine")</f>
        <v>White wine</v>
      </c>
    </row>
    <row r="337" spans="1:19" x14ac:dyDescent="0.3">
      <c r="A337" s="13">
        <v>336</v>
      </c>
      <c r="B337" s="1">
        <v>11.9</v>
      </c>
      <c r="C337" s="1">
        <v>0.69499999999999995</v>
      </c>
      <c r="D337" s="1">
        <v>0.53</v>
      </c>
      <c r="E337" s="1">
        <v>3.4</v>
      </c>
      <c r="F337" s="1">
        <v>0.128</v>
      </c>
      <c r="G337" s="1">
        <v>7</v>
      </c>
      <c r="H337" s="1">
        <v>21</v>
      </c>
      <c r="I337" s="1">
        <v>0.99919999999999998</v>
      </c>
      <c r="J337" s="1">
        <v>3.17</v>
      </c>
      <c r="K337" s="1">
        <v>0.84</v>
      </c>
      <c r="L337" s="1">
        <v>12.2</v>
      </c>
      <c r="M337" s="2">
        <v>7</v>
      </c>
      <c r="N337" s="2" t="str" cm="1">
        <f t="array" ref="N337">_xlfn.IFS(Table1[[#This Row],[quality]]&lt;=4,"Low",Table1[[#This Row],[quality]]&lt;=6,"Medium",Table1[[#This Row],[quality]]&gt;=7,"High")</f>
        <v>High</v>
      </c>
      <c r="O337" s="2" t="str">
        <f>IF(AND(Table1[[#This Row],[fixed acidity]]&gt;Sheet1!$C$4,Table1[[#This Row],[pH]]&lt;Sheet1!$K$4),"High","Normal")</f>
        <v>High</v>
      </c>
      <c r="P337" s="1">
        <f>(Table1[[#This Row],[alcohol]]*2)+(Table1[[#This Row],[sulphates]]*1.5)-(Table1[[#This Row],[volatile acidity]]*2)</f>
        <v>24.27</v>
      </c>
      <c r="Q337" s="1">
        <f>RANK(Table1[[#This Row],[Quality_score_index]],Table1[Quality_score_index],0)</f>
        <v>154</v>
      </c>
      <c r="R337" s="1">
        <f>Table1[[#This Row],[total sulfur dioxide]]-Table1[[#This Row],[free sulfur dioxide]]</f>
        <v>14</v>
      </c>
      <c r="S337" s="1" t="str">
        <f>IF(AND(Table1[[#This Row],[pH]]&gt;=3.2,Table1[[#This Row],[alcohol]]&gt;=10),"White wine","Red wine")</f>
        <v>Red wine</v>
      </c>
    </row>
    <row r="338" spans="1:19" x14ac:dyDescent="0.3">
      <c r="A338" s="13">
        <v>337</v>
      </c>
      <c r="B338" s="1">
        <v>8.9</v>
      </c>
      <c r="C338" s="1">
        <v>0.43</v>
      </c>
      <c r="D338" s="1">
        <v>0.45</v>
      </c>
      <c r="E338" s="1">
        <v>1.9</v>
      </c>
      <c r="F338" s="1">
        <v>5.1999999999999998E-2</v>
      </c>
      <c r="G338" s="1">
        <v>6</v>
      </c>
      <c r="H338" s="1">
        <v>16</v>
      </c>
      <c r="I338" s="1">
        <v>0.99480000000000002</v>
      </c>
      <c r="J338" s="1">
        <v>3.35</v>
      </c>
      <c r="K338" s="1">
        <v>0.7</v>
      </c>
      <c r="L338" s="1">
        <v>12.5</v>
      </c>
      <c r="M338" s="2">
        <v>6</v>
      </c>
      <c r="N338" s="2" t="str" cm="1">
        <f t="array" ref="N338">_xlfn.IFS(Table1[[#This Row],[quality]]&lt;=4,"Low",Table1[[#This Row],[quality]]&lt;=6,"Medium",Table1[[#This Row],[quality]]&gt;=7,"High")</f>
        <v>Medium</v>
      </c>
      <c r="O338" s="2" t="str">
        <f>IF(AND(Table1[[#This Row],[fixed acidity]]&gt;Sheet1!$C$4,Table1[[#This Row],[pH]]&lt;Sheet1!$K$4),"High","Normal")</f>
        <v>Normal</v>
      </c>
      <c r="P338" s="1">
        <f>(Table1[[#This Row],[alcohol]]*2)+(Table1[[#This Row],[sulphates]]*1.5)-(Table1[[#This Row],[volatile acidity]]*2)</f>
        <v>25.19</v>
      </c>
      <c r="Q338" s="1">
        <f>RANK(Table1[[#This Row],[Quality_score_index]],Table1[Quality_score_index],0)</f>
        <v>82</v>
      </c>
      <c r="R338" s="1">
        <f>Table1[[#This Row],[total sulfur dioxide]]-Table1[[#This Row],[free sulfur dioxide]]</f>
        <v>10</v>
      </c>
      <c r="S338" s="1" t="str">
        <f>IF(AND(Table1[[#This Row],[pH]]&gt;=3.2,Table1[[#This Row],[alcohol]]&gt;=10),"White wine","Red wine")</f>
        <v>White wine</v>
      </c>
    </row>
    <row r="339" spans="1:19" x14ac:dyDescent="0.3">
      <c r="A339" s="13">
        <v>338</v>
      </c>
      <c r="B339" s="1">
        <v>7.8</v>
      </c>
      <c r="C339" s="1">
        <v>0.43</v>
      </c>
      <c r="D339" s="1">
        <v>0.32</v>
      </c>
      <c r="E339" s="1">
        <v>2.8</v>
      </c>
      <c r="F339" s="1">
        <v>0.08</v>
      </c>
      <c r="G339" s="1">
        <v>29</v>
      </c>
      <c r="H339" s="1">
        <v>58</v>
      </c>
      <c r="I339" s="1">
        <v>0.99739999999999995</v>
      </c>
      <c r="J339" s="1">
        <v>3.31</v>
      </c>
      <c r="K339" s="1">
        <v>0.64</v>
      </c>
      <c r="L339" s="1">
        <v>10.3</v>
      </c>
      <c r="M339" s="2">
        <v>5</v>
      </c>
      <c r="N339" s="2" t="str" cm="1">
        <f t="array" ref="N339">_xlfn.IFS(Table1[[#This Row],[quality]]&lt;=4,"Low",Table1[[#This Row],[quality]]&lt;=6,"Medium",Table1[[#This Row],[quality]]&gt;=7,"High")</f>
        <v>Medium</v>
      </c>
      <c r="O339" s="2" t="str">
        <f>IF(AND(Table1[[#This Row],[fixed acidity]]&gt;Sheet1!$C$4,Table1[[#This Row],[pH]]&lt;Sheet1!$K$4),"High","Normal")</f>
        <v>Normal</v>
      </c>
      <c r="P339" s="1">
        <f>(Table1[[#This Row],[alcohol]]*2)+(Table1[[#This Row],[sulphates]]*1.5)-(Table1[[#This Row],[volatile acidity]]*2)</f>
        <v>20.700000000000003</v>
      </c>
      <c r="Q339" s="1">
        <f>RANK(Table1[[#This Row],[Quality_score_index]],Table1[Quality_score_index],0)</f>
        <v>723</v>
      </c>
      <c r="R339" s="1">
        <f>Table1[[#This Row],[total sulfur dioxide]]-Table1[[#This Row],[free sulfur dioxide]]</f>
        <v>29</v>
      </c>
      <c r="S339" s="1" t="str">
        <f>IF(AND(Table1[[#This Row],[pH]]&gt;=3.2,Table1[[#This Row],[alcohol]]&gt;=10),"White wine","Red wine")</f>
        <v>White wine</v>
      </c>
    </row>
    <row r="340" spans="1:19" x14ac:dyDescent="0.3">
      <c r="A340" s="13">
        <v>339</v>
      </c>
      <c r="B340" s="1">
        <v>12.4</v>
      </c>
      <c r="C340" s="1">
        <v>0.49</v>
      </c>
      <c r="D340" s="1">
        <v>0.57999999999999996</v>
      </c>
      <c r="E340" s="1">
        <v>3</v>
      </c>
      <c r="F340" s="1">
        <v>0.10299999999999999</v>
      </c>
      <c r="G340" s="1">
        <v>28</v>
      </c>
      <c r="H340" s="1">
        <v>99</v>
      </c>
      <c r="I340" s="1">
        <v>1.0007999999999999</v>
      </c>
      <c r="J340" s="1">
        <v>3.16</v>
      </c>
      <c r="K340" s="1">
        <v>1</v>
      </c>
      <c r="L340" s="1">
        <v>11.5</v>
      </c>
      <c r="M340" s="2">
        <v>6</v>
      </c>
      <c r="N340" s="2" t="str" cm="1">
        <f t="array" ref="N340">_xlfn.IFS(Table1[[#This Row],[quality]]&lt;=4,"Low",Table1[[#This Row],[quality]]&lt;=6,"Medium",Table1[[#This Row],[quality]]&gt;=7,"High")</f>
        <v>Medium</v>
      </c>
      <c r="O340" s="2" t="str">
        <f>IF(AND(Table1[[#This Row],[fixed acidity]]&gt;Sheet1!$C$4,Table1[[#This Row],[pH]]&lt;Sheet1!$K$4),"High","Normal")</f>
        <v>High</v>
      </c>
      <c r="P340" s="1">
        <f>(Table1[[#This Row],[alcohol]]*2)+(Table1[[#This Row],[sulphates]]*1.5)-(Table1[[#This Row],[volatile acidity]]*2)</f>
        <v>23.52</v>
      </c>
      <c r="Q340" s="1">
        <f>RANK(Table1[[#This Row],[Quality_score_index]],Table1[Quality_score_index],0)</f>
        <v>217</v>
      </c>
      <c r="R340" s="1">
        <f>Table1[[#This Row],[total sulfur dioxide]]-Table1[[#This Row],[free sulfur dioxide]]</f>
        <v>71</v>
      </c>
      <c r="S340" s="1" t="str">
        <f>IF(AND(Table1[[#This Row],[pH]]&gt;=3.2,Table1[[#This Row],[alcohol]]&gt;=10),"White wine","Red wine")</f>
        <v>Red wine</v>
      </c>
    </row>
    <row r="341" spans="1:19" x14ac:dyDescent="0.3">
      <c r="A341" s="13">
        <v>340</v>
      </c>
      <c r="B341" s="1">
        <v>12.5</v>
      </c>
      <c r="C341" s="1">
        <v>0.28000000000000003</v>
      </c>
      <c r="D341" s="1">
        <v>0.54</v>
      </c>
      <c r="E341" s="1">
        <v>2.2999999999999998</v>
      </c>
      <c r="F341" s="1">
        <v>8.2000000000000003E-2</v>
      </c>
      <c r="G341" s="1">
        <v>12</v>
      </c>
      <c r="H341" s="1">
        <v>29</v>
      </c>
      <c r="I341" s="1">
        <v>0.99970000000000003</v>
      </c>
      <c r="J341" s="1">
        <v>3.11</v>
      </c>
      <c r="K341" s="1">
        <v>1.36</v>
      </c>
      <c r="L341" s="1">
        <v>9.8000000000000007</v>
      </c>
      <c r="M341" s="2">
        <v>7</v>
      </c>
      <c r="N341" s="2" t="str" cm="1">
        <f t="array" ref="N341">_xlfn.IFS(Table1[[#This Row],[quality]]&lt;=4,"Low",Table1[[#This Row],[quality]]&lt;=6,"Medium",Table1[[#This Row],[quality]]&gt;=7,"High")</f>
        <v>High</v>
      </c>
      <c r="O341" s="2" t="str">
        <f>IF(AND(Table1[[#This Row],[fixed acidity]]&gt;Sheet1!$C$4,Table1[[#This Row],[pH]]&lt;Sheet1!$K$4),"High","Normal")</f>
        <v>High</v>
      </c>
      <c r="P341" s="1">
        <f>(Table1[[#This Row],[alcohol]]*2)+(Table1[[#This Row],[sulphates]]*1.5)-(Table1[[#This Row],[volatile acidity]]*2)</f>
        <v>21.080000000000002</v>
      </c>
      <c r="Q341" s="1">
        <f>RANK(Table1[[#This Row],[Quality_score_index]],Table1[Quality_score_index],0)</f>
        <v>635</v>
      </c>
      <c r="R341" s="1">
        <f>Table1[[#This Row],[total sulfur dioxide]]-Table1[[#This Row],[free sulfur dioxide]]</f>
        <v>17</v>
      </c>
      <c r="S341" s="1" t="str">
        <f>IF(AND(Table1[[#This Row],[pH]]&gt;=3.2,Table1[[#This Row],[alcohol]]&gt;=10),"White wine","Red wine")</f>
        <v>Red wine</v>
      </c>
    </row>
    <row r="342" spans="1:19" x14ac:dyDescent="0.3">
      <c r="A342" s="13">
        <v>341</v>
      </c>
      <c r="B342" s="1">
        <v>12.2</v>
      </c>
      <c r="C342" s="1">
        <v>0.34</v>
      </c>
      <c r="D342" s="1">
        <v>0.5</v>
      </c>
      <c r="E342" s="1">
        <v>2.4</v>
      </c>
      <c r="F342" s="1">
        <v>6.6000000000000003E-2</v>
      </c>
      <c r="G342" s="1">
        <v>10</v>
      </c>
      <c r="H342" s="1">
        <v>21</v>
      </c>
      <c r="I342" s="1">
        <v>1</v>
      </c>
      <c r="J342" s="1">
        <v>3.12</v>
      </c>
      <c r="K342" s="1">
        <v>1.18</v>
      </c>
      <c r="L342" s="1">
        <v>9.1999999999999993</v>
      </c>
      <c r="M342" s="2">
        <v>6</v>
      </c>
      <c r="N342" s="2" t="str" cm="1">
        <f t="array" ref="N342">_xlfn.IFS(Table1[[#This Row],[quality]]&lt;=4,"Low",Table1[[#This Row],[quality]]&lt;=6,"Medium",Table1[[#This Row],[quality]]&gt;=7,"High")</f>
        <v>Medium</v>
      </c>
      <c r="O342" s="2" t="str">
        <f>IF(AND(Table1[[#This Row],[fixed acidity]]&gt;Sheet1!$C$4,Table1[[#This Row],[pH]]&lt;Sheet1!$K$4),"High","Normal")</f>
        <v>High</v>
      </c>
      <c r="P342" s="1">
        <f>(Table1[[#This Row],[alcohol]]*2)+(Table1[[#This Row],[sulphates]]*1.5)-(Table1[[#This Row],[volatile acidity]]*2)</f>
        <v>19.489999999999998</v>
      </c>
      <c r="Q342" s="1">
        <f>RANK(Table1[[#This Row],[Quality_score_index]],Table1[Quality_score_index],0)</f>
        <v>974</v>
      </c>
      <c r="R342" s="1">
        <f>Table1[[#This Row],[total sulfur dioxide]]-Table1[[#This Row],[free sulfur dioxide]]</f>
        <v>11</v>
      </c>
      <c r="S342" s="1" t="str">
        <f>IF(AND(Table1[[#This Row],[pH]]&gt;=3.2,Table1[[#This Row],[alcohol]]&gt;=10),"White wine","Red wine")</f>
        <v>Red wine</v>
      </c>
    </row>
    <row r="343" spans="1:19" x14ac:dyDescent="0.3">
      <c r="A343" s="13">
        <v>342</v>
      </c>
      <c r="B343" s="1">
        <v>10.6</v>
      </c>
      <c r="C343" s="1">
        <v>0.42</v>
      </c>
      <c r="D343" s="1">
        <v>0.48</v>
      </c>
      <c r="E343" s="1">
        <v>2.7</v>
      </c>
      <c r="F343" s="1">
        <v>6.5000000000000002E-2</v>
      </c>
      <c r="G343" s="1">
        <v>5</v>
      </c>
      <c r="H343" s="1">
        <v>18</v>
      </c>
      <c r="I343" s="1">
        <v>0.99719999999999998</v>
      </c>
      <c r="J343" s="1">
        <v>3.21</v>
      </c>
      <c r="K343" s="1">
        <v>0.87</v>
      </c>
      <c r="L343" s="1">
        <v>11.3</v>
      </c>
      <c r="M343" s="2">
        <v>6</v>
      </c>
      <c r="N343" s="2" t="str" cm="1">
        <f t="array" ref="N343">_xlfn.IFS(Table1[[#This Row],[quality]]&lt;=4,"Low",Table1[[#This Row],[quality]]&lt;=6,"Medium",Table1[[#This Row],[quality]]&gt;=7,"High")</f>
        <v>Medium</v>
      </c>
      <c r="O343" s="2" t="str">
        <f>IF(AND(Table1[[#This Row],[fixed acidity]]&gt;Sheet1!$C$4,Table1[[#This Row],[pH]]&lt;Sheet1!$K$4),"High","Normal")</f>
        <v>High</v>
      </c>
      <c r="P343" s="1">
        <f>(Table1[[#This Row],[alcohol]]*2)+(Table1[[#This Row],[sulphates]]*1.5)-(Table1[[#This Row],[volatile acidity]]*2)</f>
        <v>23.065000000000001</v>
      </c>
      <c r="Q343" s="1">
        <f>RANK(Table1[[#This Row],[Quality_score_index]],Table1[Quality_score_index],0)</f>
        <v>262</v>
      </c>
      <c r="R343" s="1">
        <f>Table1[[#This Row],[total sulfur dioxide]]-Table1[[#This Row],[free sulfur dioxide]]</f>
        <v>13</v>
      </c>
      <c r="S343" s="1" t="str">
        <f>IF(AND(Table1[[#This Row],[pH]]&gt;=3.2,Table1[[#This Row],[alcohol]]&gt;=10),"White wine","Red wine")</f>
        <v>White wine</v>
      </c>
    </row>
    <row r="344" spans="1:19" x14ac:dyDescent="0.3">
      <c r="A344" s="13">
        <v>343</v>
      </c>
      <c r="B344" s="1">
        <v>10.9</v>
      </c>
      <c r="C344" s="1">
        <v>0.39</v>
      </c>
      <c r="D344" s="1">
        <v>0.47</v>
      </c>
      <c r="E344" s="1">
        <v>1.8</v>
      </c>
      <c r="F344" s="1">
        <v>0.11799999999999999</v>
      </c>
      <c r="G344" s="1">
        <v>6</v>
      </c>
      <c r="H344" s="1">
        <v>14</v>
      </c>
      <c r="I344" s="1">
        <v>0.99819999999999998</v>
      </c>
      <c r="J344" s="1">
        <v>3.3</v>
      </c>
      <c r="K344" s="1">
        <v>0.75</v>
      </c>
      <c r="L344" s="1">
        <v>9.8000000000000007</v>
      </c>
      <c r="M344" s="2">
        <v>6</v>
      </c>
      <c r="N344" s="2" t="str" cm="1">
        <f t="array" ref="N344">_xlfn.IFS(Table1[[#This Row],[quality]]&lt;=4,"Low",Table1[[#This Row],[quality]]&lt;=6,"Medium",Table1[[#This Row],[quality]]&gt;=7,"High")</f>
        <v>Medium</v>
      </c>
      <c r="O344" s="2" t="str">
        <f>IF(AND(Table1[[#This Row],[fixed acidity]]&gt;Sheet1!$C$4,Table1[[#This Row],[pH]]&lt;Sheet1!$K$4),"High","Normal")</f>
        <v>High</v>
      </c>
      <c r="P344" s="1">
        <f>(Table1[[#This Row],[alcohol]]*2)+(Table1[[#This Row],[sulphates]]*1.5)-(Table1[[#This Row],[volatile acidity]]*2)</f>
        <v>19.945</v>
      </c>
      <c r="Q344" s="1">
        <f>RANK(Table1[[#This Row],[Quality_score_index]],Table1[Quality_score_index],0)</f>
        <v>863</v>
      </c>
      <c r="R344" s="1">
        <f>Table1[[#This Row],[total sulfur dioxide]]-Table1[[#This Row],[free sulfur dioxide]]</f>
        <v>8</v>
      </c>
      <c r="S344" s="1" t="str">
        <f>IF(AND(Table1[[#This Row],[pH]]&gt;=3.2,Table1[[#This Row],[alcohol]]&gt;=10),"White wine","Red wine")</f>
        <v>Red wine</v>
      </c>
    </row>
    <row r="345" spans="1:19" x14ac:dyDescent="0.3">
      <c r="A345" s="13">
        <v>344</v>
      </c>
      <c r="B345" s="1">
        <v>10.9</v>
      </c>
      <c r="C345" s="1">
        <v>0.39</v>
      </c>
      <c r="D345" s="1">
        <v>0.47</v>
      </c>
      <c r="E345" s="1">
        <v>1.8</v>
      </c>
      <c r="F345" s="1">
        <v>0.11799999999999999</v>
      </c>
      <c r="G345" s="1">
        <v>6</v>
      </c>
      <c r="H345" s="1">
        <v>14</v>
      </c>
      <c r="I345" s="1">
        <v>0.99819999999999998</v>
      </c>
      <c r="J345" s="1">
        <v>3.3</v>
      </c>
      <c r="K345" s="1">
        <v>0.75</v>
      </c>
      <c r="L345" s="1">
        <v>9.8000000000000007</v>
      </c>
      <c r="M345" s="2">
        <v>6</v>
      </c>
      <c r="N345" s="2" t="str" cm="1">
        <f t="array" ref="N345">_xlfn.IFS(Table1[[#This Row],[quality]]&lt;=4,"Low",Table1[[#This Row],[quality]]&lt;=6,"Medium",Table1[[#This Row],[quality]]&gt;=7,"High")</f>
        <v>Medium</v>
      </c>
      <c r="O345" s="2" t="str">
        <f>IF(AND(Table1[[#This Row],[fixed acidity]]&gt;Sheet1!$C$4,Table1[[#This Row],[pH]]&lt;Sheet1!$K$4),"High","Normal")</f>
        <v>High</v>
      </c>
      <c r="P345" s="1">
        <f>(Table1[[#This Row],[alcohol]]*2)+(Table1[[#This Row],[sulphates]]*1.5)-(Table1[[#This Row],[volatile acidity]]*2)</f>
        <v>19.945</v>
      </c>
      <c r="Q345" s="1">
        <f>RANK(Table1[[#This Row],[Quality_score_index]],Table1[Quality_score_index],0)</f>
        <v>863</v>
      </c>
      <c r="R345" s="1">
        <f>Table1[[#This Row],[total sulfur dioxide]]-Table1[[#This Row],[free sulfur dioxide]]</f>
        <v>8</v>
      </c>
      <c r="S345" s="1" t="str">
        <f>IF(AND(Table1[[#This Row],[pH]]&gt;=3.2,Table1[[#This Row],[alcohol]]&gt;=10),"White wine","Red wine")</f>
        <v>Red wine</v>
      </c>
    </row>
    <row r="346" spans="1:19" x14ac:dyDescent="0.3">
      <c r="A346" s="13">
        <v>345</v>
      </c>
      <c r="B346" s="1">
        <v>11.9</v>
      </c>
      <c r="C346" s="1">
        <v>0.56999999999999995</v>
      </c>
      <c r="D346" s="1">
        <v>0.5</v>
      </c>
      <c r="E346" s="1">
        <v>2.6</v>
      </c>
      <c r="F346" s="1">
        <v>8.2000000000000003E-2</v>
      </c>
      <c r="G346" s="1">
        <v>6</v>
      </c>
      <c r="H346" s="1">
        <v>32</v>
      </c>
      <c r="I346" s="1">
        <v>1.0005999999999999</v>
      </c>
      <c r="J346" s="1">
        <v>3.12</v>
      </c>
      <c r="K346" s="1">
        <v>0.78</v>
      </c>
      <c r="L346" s="1">
        <v>10.7</v>
      </c>
      <c r="M346" s="2">
        <v>6</v>
      </c>
      <c r="N346" s="2" t="str" cm="1">
        <f t="array" ref="N346">_xlfn.IFS(Table1[[#This Row],[quality]]&lt;=4,"Low",Table1[[#This Row],[quality]]&lt;=6,"Medium",Table1[[#This Row],[quality]]&gt;=7,"High")</f>
        <v>Medium</v>
      </c>
      <c r="O346" s="2" t="str">
        <f>IF(AND(Table1[[#This Row],[fixed acidity]]&gt;Sheet1!$C$4,Table1[[#This Row],[pH]]&lt;Sheet1!$K$4),"High","Normal")</f>
        <v>High</v>
      </c>
      <c r="P346" s="1">
        <f>(Table1[[#This Row],[alcohol]]*2)+(Table1[[#This Row],[sulphates]]*1.5)-(Table1[[#This Row],[volatile acidity]]*2)</f>
        <v>21.43</v>
      </c>
      <c r="Q346" s="1">
        <f>RANK(Table1[[#This Row],[Quality_score_index]],Table1[Quality_score_index],0)</f>
        <v>555</v>
      </c>
      <c r="R346" s="1">
        <f>Table1[[#This Row],[total sulfur dioxide]]-Table1[[#This Row],[free sulfur dioxide]]</f>
        <v>26</v>
      </c>
      <c r="S346" s="1" t="str">
        <f>IF(AND(Table1[[#This Row],[pH]]&gt;=3.2,Table1[[#This Row],[alcohol]]&gt;=10),"White wine","Red wine")</f>
        <v>Red wine</v>
      </c>
    </row>
    <row r="347" spans="1:19" x14ac:dyDescent="0.3">
      <c r="A347" s="13">
        <v>346</v>
      </c>
      <c r="B347" s="1">
        <v>7</v>
      </c>
      <c r="C347" s="1">
        <v>0.68500000000000005</v>
      </c>
      <c r="D347" s="1">
        <v>0</v>
      </c>
      <c r="E347" s="1">
        <v>1.9</v>
      </c>
      <c r="F347" s="1">
        <v>6.7000000000000004E-2</v>
      </c>
      <c r="G347" s="1">
        <v>40</v>
      </c>
      <c r="H347" s="1">
        <v>63</v>
      </c>
      <c r="I347" s="1">
        <v>0.99790000000000001</v>
      </c>
      <c r="J347" s="1">
        <v>3.6</v>
      </c>
      <c r="K347" s="1">
        <v>0.81</v>
      </c>
      <c r="L347" s="1">
        <v>9.9</v>
      </c>
      <c r="M347" s="2">
        <v>5</v>
      </c>
      <c r="N347" s="2" t="str" cm="1">
        <f t="array" ref="N347">_xlfn.IFS(Table1[[#This Row],[quality]]&lt;=4,"Low",Table1[[#This Row],[quality]]&lt;=6,"Medium",Table1[[#This Row],[quality]]&gt;=7,"High")</f>
        <v>Medium</v>
      </c>
      <c r="O347" s="2" t="str">
        <f>IF(AND(Table1[[#This Row],[fixed acidity]]&gt;Sheet1!$C$4,Table1[[#This Row],[pH]]&lt;Sheet1!$K$4),"High","Normal")</f>
        <v>Normal</v>
      </c>
      <c r="P347" s="1">
        <f>(Table1[[#This Row],[alcohol]]*2)+(Table1[[#This Row],[sulphates]]*1.5)-(Table1[[#This Row],[volatile acidity]]*2)</f>
        <v>19.645</v>
      </c>
      <c r="Q347" s="1">
        <f>RANK(Table1[[#This Row],[Quality_score_index]],Table1[Quality_score_index],0)</f>
        <v>942</v>
      </c>
      <c r="R347" s="1">
        <f>Table1[[#This Row],[total sulfur dioxide]]-Table1[[#This Row],[free sulfur dioxide]]</f>
        <v>23</v>
      </c>
      <c r="S347" s="1" t="str">
        <f>IF(AND(Table1[[#This Row],[pH]]&gt;=3.2,Table1[[#This Row],[alcohol]]&gt;=10),"White wine","Red wine")</f>
        <v>Red wine</v>
      </c>
    </row>
    <row r="348" spans="1:19" x14ac:dyDescent="0.3">
      <c r="A348" s="13">
        <v>347</v>
      </c>
      <c r="B348" s="1">
        <v>6.6</v>
      </c>
      <c r="C348" s="1">
        <v>0.81499999999999995</v>
      </c>
      <c r="D348" s="1">
        <v>0.02</v>
      </c>
      <c r="E348" s="1">
        <v>2.7</v>
      </c>
      <c r="F348" s="1">
        <v>7.1999999999999995E-2</v>
      </c>
      <c r="G348" s="1">
        <v>17</v>
      </c>
      <c r="H348" s="1">
        <v>34</v>
      </c>
      <c r="I348" s="1">
        <v>0.99550000000000005</v>
      </c>
      <c r="J348" s="1">
        <v>3.58</v>
      </c>
      <c r="K348" s="1">
        <v>0.89</v>
      </c>
      <c r="L348" s="1">
        <v>12.3</v>
      </c>
      <c r="M348" s="2">
        <v>7</v>
      </c>
      <c r="N348" s="2" t="str" cm="1">
        <f t="array" ref="N348">_xlfn.IFS(Table1[[#This Row],[quality]]&lt;=4,"Low",Table1[[#This Row],[quality]]&lt;=6,"Medium",Table1[[#This Row],[quality]]&gt;=7,"High")</f>
        <v>High</v>
      </c>
      <c r="O348" s="2" t="str">
        <f>IF(AND(Table1[[#This Row],[fixed acidity]]&gt;Sheet1!$C$4,Table1[[#This Row],[pH]]&lt;Sheet1!$K$4),"High","Normal")</f>
        <v>Normal</v>
      </c>
      <c r="P348" s="1">
        <f>(Table1[[#This Row],[alcohol]]*2)+(Table1[[#This Row],[sulphates]]*1.5)-(Table1[[#This Row],[volatile acidity]]*2)</f>
        <v>24.305000000000003</v>
      </c>
      <c r="Q348" s="1">
        <f>RANK(Table1[[#This Row],[Quality_score_index]],Table1[Quality_score_index],0)</f>
        <v>152</v>
      </c>
      <c r="R348" s="1">
        <f>Table1[[#This Row],[total sulfur dioxide]]-Table1[[#This Row],[free sulfur dioxide]]</f>
        <v>17</v>
      </c>
      <c r="S348" s="1" t="str">
        <f>IF(AND(Table1[[#This Row],[pH]]&gt;=3.2,Table1[[#This Row],[alcohol]]&gt;=10),"White wine","Red wine")</f>
        <v>White wine</v>
      </c>
    </row>
    <row r="349" spans="1:19" x14ac:dyDescent="0.3">
      <c r="A349" s="13">
        <v>348</v>
      </c>
      <c r="B349" s="1">
        <v>13.8</v>
      </c>
      <c r="C349" s="1">
        <v>0.49</v>
      </c>
      <c r="D349" s="1">
        <v>0.67</v>
      </c>
      <c r="E349" s="1">
        <v>3</v>
      </c>
      <c r="F349" s="1">
        <v>9.2999999999999999E-2</v>
      </c>
      <c r="G349" s="1">
        <v>6</v>
      </c>
      <c r="H349" s="1">
        <v>15</v>
      </c>
      <c r="I349" s="1">
        <v>0.99860000000000004</v>
      </c>
      <c r="J349" s="1">
        <v>3.02</v>
      </c>
      <c r="K349" s="1">
        <v>0.93</v>
      </c>
      <c r="L349" s="1">
        <v>12</v>
      </c>
      <c r="M349" s="2">
        <v>6</v>
      </c>
      <c r="N349" s="2" t="str" cm="1">
        <f t="array" ref="N349">_xlfn.IFS(Table1[[#This Row],[quality]]&lt;=4,"Low",Table1[[#This Row],[quality]]&lt;=6,"Medium",Table1[[#This Row],[quality]]&gt;=7,"High")</f>
        <v>Medium</v>
      </c>
      <c r="O349" s="2" t="str">
        <f>IF(AND(Table1[[#This Row],[fixed acidity]]&gt;Sheet1!$C$4,Table1[[#This Row],[pH]]&lt;Sheet1!$K$4),"High","Normal")</f>
        <v>High</v>
      </c>
      <c r="P349" s="1">
        <f>(Table1[[#This Row],[alcohol]]*2)+(Table1[[#This Row],[sulphates]]*1.5)-(Table1[[#This Row],[volatile acidity]]*2)</f>
        <v>24.414999999999999</v>
      </c>
      <c r="Q349" s="1">
        <f>RANK(Table1[[#This Row],[Quality_score_index]],Table1[Quality_score_index],0)</f>
        <v>135</v>
      </c>
      <c r="R349" s="1">
        <f>Table1[[#This Row],[total sulfur dioxide]]-Table1[[#This Row],[free sulfur dioxide]]</f>
        <v>9</v>
      </c>
      <c r="S349" s="1" t="str">
        <f>IF(AND(Table1[[#This Row],[pH]]&gt;=3.2,Table1[[#This Row],[alcohol]]&gt;=10),"White wine","Red wine")</f>
        <v>Red wine</v>
      </c>
    </row>
    <row r="350" spans="1:19" x14ac:dyDescent="0.3">
      <c r="A350" s="13">
        <v>349</v>
      </c>
      <c r="B350" s="1">
        <v>9.6</v>
      </c>
      <c r="C350" s="1">
        <v>0.56000000000000005</v>
      </c>
      <c r="D350" s="1">
        <v>0.31</v>
      </c>
      <c r="E350" s="1">
        <v>2.8</v>
      </c>
      <c r="F350" s="1">
        <v>8.8999999999999996E-2</v>
      </c>
      <c r="G350" s="1">
        <v>15</v>
      </c>
      <c r="H350" s="1">
        <v>46</v>
      </c>
      <c r="I350" s="1">
        <v>0.99790000000000001</v>
      </c>
      <c r="J350" s="1">
        <v>3.11</v>
      </c>
      <c r="K350" s="1">
        <v>0.92</v>
      </c>
      <c r="L350" s="1">
        <v>10</v>
      </c>
      <c r="M350" s="2">
        <v>6</v>
      </c>
      <c r="N350" s="2" t="str" cm="1">
        <f t="array" ref="N350">_xlfn.IFS(Table1[[#This Row],[quality]]&lt;=4,"Low",Table1[[#This Row],[quality]]&lt;=6,"Medium",Table1[[#This Row],[quality]]&gt;=7,"High")</f>
        <v>Medium</v>
      </c>
      <c r="O350" s="2" t="str">
        <f>IF(AND(Table1[[#This Row],[fixed acidity]]&gt;Sheet1!$C$4,Table1[[#This Row],[pH]]&lt;Sheet1!$K$4),"High","Normal")</f>
        <v>High</v>
      </c>
      <c r="P350" s="1">
        <f>(Table1[[#This Row],[alcohol]]*2)+(Table1[[#This Row],[sulphates]]*1.5)-(Table1[[#This Row],[volatile acidity]]*2)</f>
        <v>20.259999999999998</v>
      </c>
      <c r="Q350" s="1">
        <f>RANK(Table1[[#This Row],[Quality_score_index]],Table1[Quality_score_index],0)</f>
        <v>800</v>
      </c>
      <c r="R350" s="1">
        <f>Table1[[#This Row],[total sulfur dioxide]]-Table1[[#This Row],[free sulfur dioxide]]</f>
        <v>31</v>
      </c>
      <c r="S350" s="1" t="str">
        <f>IF(AND(Table1[[#This Row],[pH]]&gt;=3.2,Table1[[#This Row],[alcohol]]&gt;=10),"White wine","Red wine")</f>
        <v>Red wine</v>
      </c>
    </row>
    <row r="351" spans="1:19" x14ac:dyDescent="0.3">
      <c r="A351" s="13">
        <v>350</v>
      </c>
      <c r="B351" s="1">
        <v>9.1</v>
      </c>
      <c r="C351" s="1">
        <v>0.78500000000000003</v>
      </c>
      <c r="D351" s="1">
        <v>0</v>
      </c>
      <c r="E351" s="1">
        <v>2.6</v>
      </c>
      <c r="F351" s="1">
        <v>9.2999999999999999E-2</v>
      </c>
      <c r="G351" s="1">
        <v>11</v>
      </c>
      <c r="H351" s="1">
        <v>28</v>
      </c>
      <c r="I351" s="1">
        <v>0.99939999999999996</v>
      </c>
      <c r="J351" s="1">
        <v>3.36</v>
      </c>
      <c r="K351" s="1">
        <v>0.86</v>
      </c>
      <c r="L351" s="1">
        <v>9.4</v>
      </c>
      <c r="M351" s="2">
        <v>6</v>
      </c>
      <c r="N351" s="2" t="str" cm="1">
        <f t="array" ref="N351">_xlfn.IFS(Table1[[#This Row],[quality]]&lt;=4,"Low",Table1[[#This Row],[quality]]&lt;=6,"Medium",Table1[[#This Row],[quality]]&gt;=7,"High")</f>
        <v>Medium</v>
      </c>
      <c r="O351" s="2" t="str">
        <f>IF(AND(Table1[[#This Row],[fixed acidity]]&gt;Sheet1!$C$4,Table1[[#This Row],[pH]]&lt;Sheet1!$K$4),"High","Normal")</f>
        <v>Normal</v>
      </c>
      <c r="P351" s="1">
        <f>(Table1[[#This Row],[alcohol]]*2)+(Table1[[#This Row],[sulphates]]*1.5)-(Table1[[#This Row],[volatile acidity]]*2)</f>
        <v>18.52</v>
      </c>
      <c r="Q351" s="1">
        <f>RANK(Table1[[#This Row],[Quality_score_index]],Table1[Quality_score_index],0)</f>
        <v>1374</v>
      </c>
      <c r="R351" s="1">
        <f>Table1[[#This Row],[total sulfur dioxide]]-Table1[[#This Row],[free sulfur dioxide]]</f>
        <v>17</v>
      </c>
      <c r="S351" s="1" t="str">
        <f>IF(AND(Table1[[#This Row],[pH]]&gt;=3.2,Table1[[#This Row],[alcohol]]&gt;=10),"White wine","Red wine")</f>
        <v>Red wine</v>
      </c>
    </row>
    <row r="352" spans="1:19" x14ac:dyDescent="0.3">
      <c r="A352" s="13">
        <v>351</v>
      </c>
      <c r="B352" s="1">
        <v>10.7</v>
      </c>
      <c r="C352" s="1">
        <v>0.67</v>
      </c>
      <c r="D352" s="1">
        <v>0.22</v>
      </c>
      <c r="E352" s="1">
        <v>2.7</v>
      </c>
      <c r="F352" s="1">
        <v>0.107</v>
      </c>
      <c r="G352" s="1">
        <v>17</v>
      </c>
      <c r="H352" s="1">
        <v>34</v>
      </c>
      <c r="I352" s="1">
        <v>1.0004</v>
      </c>
      <c r="J352" s="1">
        <v>3.28</v>
      </c>
      <c r="K352" s="1">
        <v>0.98</v>
      </c>
      <c r="L352" s="1">
        <v>9.9</v>
      </c>
      <c r="M352" s="2">
        <v>6</v>
      </c>
      <c r="N352" s="2" t="str" cm="1">
        <f t="array" ref="N352">_xlfn.IFS(Table1[[#This Row],[quality]]&lt;=4,"Low",Table1[[#This Row],[quality]]&lt;=6,"Medium",Table1[[#This Row],[quality]]&gt;=7,"High")</f>
        <v>Medium</v>
      </c>
      <c r="O352" s="2" t="str">
        <f>IF(AND(Table1[[#This Row],[fixed acidity]]&gt;Sheet1!$C$4,Table1[[#This Row],[pH]]&lt;Sheet1!$K$4),"High","Normal")</f>
        <v>High</v>
      </c>
      <c r="P352" s="1">
        <f>(Table1[[#This Row],[alcohol]]*2)+(Table1[[#This Row],[sulphates]]*1.5)-(Table1[[#This Row],[volatile acidity]]*2)</f>
        <v>19.93</v>
      </c>
      <c r="Q352" s="1">
        <f>RANK(Table1[[#This Row],[Quality_score_index]],Table1[Quality_score_index],0)</f>
        <v>868</v>
      </c>
      <c r="R352" s="1">
        <f>Table1[[#This Row],[total sulfur dioxide]]-Table1[[#This Row],[free sulfur dioxide]]</f>
        <v>17</v>
      </c>
      <c r="S352" s="1" t="str">
        <f>IF(AND(Table1[[#This Row],[pH]]&gt;=3.2,Table1[[#This Row],[alcohol]]&gt;=10),"White wine","Red wine")</f>
        <v>Red wine</v>
      </c>
    </row>
    <row r="353" spans="1:19" x14ac:dyDescent="0.3">
      <c r="A353" s="13">
        <v>352</v>
      </c>
      <c r="B353" s="1">
        <v>9.1</v>
      </c>
      <c r="C353" s="1">
        <v>0.79500000000000004</v>
      </c>
      <c r="D353" s="1">
        <v>0</v>
      </c>
      <c r="E353" s="1">
        <v>2.6</v>
      </c>
      <c r="F353" s="1">
        <v>9.6000000000000002E-2</v>
      </c>
      <c r="G353" s="1">
        <v>11</v>
      </c>
      <c r="H353" s="1">
        <v>26</v>
      </c>
      <c r="I353" s="1">
        <v>0.99939999999999996</v>
      </c>
      <c r="J353" s="1">
        <v>3.35</v>
      </c>
      <c r="K353" s="1">
        <v>0.83</v>
      </c>
      <c r="L353" s="1">
        <v>9.4</v>
      </c>
      <c r="M353" s="2">
        <v>6</v>
      </c>
      <c r="N353" s="2" t="str" cm="1">
        <f t="array" ref="N353">_xlfn.IFS(Table1[[#This Row],[quality]]&lt;=4,"Low",Table1[[#This Row],[quality]]&lt;=6,"Medium",Table1[[#This Row],[quality]]&gt;=7,"High")</f>
        <v>Medium</v>
      </c>
      <c r="O353" s="2" t="str">
        <f>IF(AND(Table1[[#This Row],[fixed acidity]]&gt;Sheet1!$C$4,Table1[[#This Row],[pH]]&lt;Sheet1!$K$4),"High","Normal")</f>
        <v>Normal</v>
      </c>
      <c r="P353" s="1">
        <f>(Table1[[#This Row],[alcohol]]*2)+(Table1[[#This Row],[sulphates]]*1.5)-(Table1[[#This Row],[volatile acidity]]*2)</f>
        <v>18.455000000000002</v>
      </c>
      <c r="Q353" s="1">
        <f>RANK(Table1[[#This Row],[Quality_score_index]],Table1[Quality_score_index],0)</f>
        <v>1390</v>
      </c>
      <c r="R353" s="1">
        <f>Table1[[#This Row],[total sulfur dioxide]]-Table1[[#This Row],[free sulfur dioxide]]</f>
        <v>15</v>
      </c>
      <c r="S353" s="1" t="str">
        <f>IF(AND(Table1[[#This Row],[pH]]&gt;=3.2,Table1[[#This Row],[alcohol]]&gt;=10),"White wine","Red wine")</f>
        <v>Red wine</v>
      </c>
    </row>
    <row r="354" spans="1:19" x14ac:dyDescent="0.3">
      <c r="A354" s="13">
        <v>353</v>
      </c>
      <c r="B354" s="1">
        <v>7.7</v>
      </c>
      <c r="C354" s="1">
        <v>0.66500000000000004</v>
      </c>
      <c r="D354" s="1">
        <v>0</v>
      </c>
      <c r="E354" s="1">
        <v>2.4</v>
      </c>
      <c r="F354" s="1">
        <v>0.09</v>
      </c>
      <c r="G354" s="1">
        <v>8</v>
      </c>
      <c r="H354" s="1">
        <v>19</v>
      </c>
      <c r="I354" s="1">
        <v>0.99739999999999995</v>
      </c>
      <c r="J354" s="1">
        <v>3.27</v>
      </c>
      <c r="K354" s="1">
        <v>0.73</v>
      </c>
      <c r="L354" s="1">
        <v>9.3000000000000007</v>
      </c>
      <c r="M354" s="2">
        <v>5</v>
      </c>
      <c r="N354" s="2" t="str" cm="1">
        <f t="array" ref="N354">_xlfn.IFS(Table1[[#This Row],[quality]]&lt;=4,"Low",Table1[[#This Row],[quality]]&lt;=6,"Medium",Table1[[#This Row],[quality]]&gt;=7,"High")</f>
        <v>Medium</v>
      </c>
      <c r="O354" s="2" t="str">
        <f>IF(AND(Table1[[#This Row],[fixed acidity]]&gt;Sheet1!$C$4,Table1[[#This Row],[pH]]&lt;Sheet1!$K$4),"High","Normal")</f>
        <v>Normal</v>
      </c>
      <c r="P354" s="1">
        <f>(Table1[[#This Row],[alcohol]]*2)+(Table1[[#This Row],[sulphates]]*1.5)-(Table1[[#This Row],[volatile acidity]]*2)</f>
        <v>18.365000000000002</v>
      </c>
      <c r="Q354" s="1">
        <f>RANK(Table1[[#This Row],[Quality_score_index]],Table1[Quality_score_index],0)</f>
        <v>1430</v>
      </c>
      <c r="R354" s="1">
        <f>Table1[[#This Row],[total sulfur dioxide]]-Table1[[#This Row],[free sulfur dioxide]]</f>
        <v>11</v>
      </c>
      <c r="S354" s="1" t="str">
        <f>IF(AND(Table1[[#This Row],[pH]]&gt;=3.2,Table1[[#This Row],[alcohol]]&gt;=10),"White wine","Red wine")</f>
        <v>Red wine</v>
      </c>
    </row>
    <row r="355" spans="1:19" x14ac:dyDescent="0.3">
      <c r="A355" s="13">
        <v>354</v>
      </c>
      <c r="B355" s="1">
        <v>13.5</v>
      </c>
      <c r="C355" s="1">
        <v>0.53</v>
      </c>
      <c r="D355" s="1">
        <v>0.79</v>
      </c>
      <c r="E355" s="1">
        <v>4.8</v>
      </c>
      <c r="F355" s="1">
        <v>0.12</v>
      </c>
      <c r="G355" s="1">
        <v>23</v>
      </c>
      <c r="H355" s="1">
        <v>77</v>
      </c>
      <c r="I355" s="1">
        <v>1.0018</v>
      </c>
      <c r="J355" s="1">
        <v>3.18</v>
      </c>
      <c r="K355" s="1">
        <v>0.77</v>
      </c>
      <c r="L355" s="1">
        <v>13</v>
      </c>
      <c r="M355" s="2">
        <v>5</v>
      </c>
      <c r="N355" s="2" t="str" cm="1">
        <f t="array" ref="N355">_xlfn.IFS(Table1[[#This Row],[quality]]&lt;=4,"Low",Table1[[#This Row],[quality]]&lt;=6,"Medium",Table1[[#This Row],[quality]]&gt;=7,"High")</f>
        <v>Medium</v>
      </c>
      <c r="O355" s="2" t="str">
        <f>IF(AND(Table1[[#This Row],[fixed acidity]]&gt;Sheet1!$C$4,Table1[[#This Row],[pH]]&lt;Sheet1!$K$4),"High","Normal")</f>
        <v>High</v>
      </c>
      <c r="P355" s="1">
        <f>(Table1[[#This Row],[alcohol]]*2)+(Table1[[#This Row],[sulphates]]*1.5)-(Table1[[#This Row],[volatile acidity]]*2)</f>
        <v>26.095000000000002</v>
      </c>
      <c r="Q355" s="1">
        <f>RANK(Table1[[#This Row],[Quality_score_index]],Table1[Quality_score_index],0)</f>
        <v>26</v>
      </c>
      <c r="R355" s="1">
        <f>Table1[[#This Row],[total sulfur dioxide]]-Table1[[#This Row],[free sulfur dioxide]]</f>
        <v>54</v>
      </c>
      <c r="S355" s="1" t="str">
        <f>IF(AND(Table1[[#This Row],[pH]]&gt;=3.2,Table1[[#This Row],[alcohol]]&gt;=10),"White wine","Red wine")</f>
        <v>Red wine</v>
      </c>
    </row>
    <row r="356" spans="1:19" x14ac:dyDescent="0.3">
      <c r="A356" s="13">
        <v>355</v>
      </c>
      <c r="B356" s="1">
        <v>6.1</v>
      </c>
      <c r="C356" s="1">
        <v>0.21</v>
      </c>
      <c r="D356" s="1">
        <v>0.4</v>
      </c>
      <c r="E356" s="1">
        <v>1.4</v>
      </c>
      <c r="F356" s="1">
        <v>6.6000000000000003E-2</v>
      </c>
      <c r="G356" s="1">
        <v>40.5</v>
      </c>
      <c r="H356" s="1">
        <v>165</v>
      </c>
      <c r="I356" s="1">
        <v>0.99119999999999997</v>
      </c>
      <c r="J356" s="1">
        <v>3.25</v>
      </c>
      <c r="K356" s="1">
        <v>0.59</v>
      </c>
      <c r="L356" s="1">
        <v>11.9</v>
      </c>
      <c r="M356" s="2">
        <v>6</v>
      </c>
      <c r="N356" s="2" t="str" cm="1">
        <f t="array" ref="N356">_xlfn.IFS(Table1[[#This Row],[quality]]&lt;=4,"Low",Table1[[#This Row],[quality]]&lt;=6,"Medium",Table1[[#This Row],[quality]]&gt;=7,"High")</f>
        <v>Medium</v>
      </c>
      <c r="O356" s="2" t="str">
        <f>IF(AND(Table1[[#This Row],[fixed acidity]]&gt;Sheet1!$C$4,Table1[[#This Row],[pH]]&lt;Sheet1!$K$4),"High","Normal")</f>
        <v>Normal</v>
      </c>
      <c r="P356" s="1">
        <f>(Table1[[#This Row],[alcohol]]*2)+(Table1[[#This Row],[sulphates]]*1.5)-(Table1[[#This Row],[volatile acidity]]*2)</f>
        <v>24.265000000000001</v>
      </c>
      <c r="Q356" s="1">
        <f>RANK(Table1[[#This Row],[Quality_score_index]],Table1[Quality_score_index],0)</f>
        <v>155</v>
      </c>
      <c r="R356" s="1">
        <f>Table1[[#This Row],[total sulfur dioxide]]-Table1[[#This Row],[free sulfur dioxide]]</f>
        <v>124.5</v>
      </c>
      <c r="S356" s="1" t="str">
        <f>IF(AND(Table1[[#This Row],[pH]]&gt;=3.2,Table1[[#This Row],[alcohol]]&gt;=10),"White wine","Red wine")</f>
        <v>White wine</v>
      </c>
    </row>
    <row r="357" spans="1:19" x14ac:dyDescent="0.3">
      <c r="A357" s="13">
        <v>356</v>
      </c>
      <c r="B357" s="1">
        <v>6.7</v>
      </c>
      <c r="C357" s="1">
        <v>0.75</v>
      </c>
      <c r="D357" s="1">
        <v>0.01</v>
      </c>
      <c r="E357" s="1">
        <v>2.4</v>
      </c>
      <c r="F357" s="1">
        <v>7.8E-2</v>
      </c>
      <c r="G357" s="1">
        <v>17</v>
      </c>
      <c r="H357" s="1">
        <v>32</v>
      </c>
      <c r="I357" s="1">
        <v>0.99550000000000005</v>
      </c>
      <c r="J357" s="1">
        <v>3.55</v>
      </c>
      <c r="K357" s="1">
        <v>0.61</v>
      </c>
      <c r="L357" s="1">
        <v>12.8</v>
      </c>
      <c r="M357" s="2">
        <v>6</v>
      </c>
      <c r="N357" s="2" t="str" cm="1">
        <f t="array" ref="N357">_xlfn.IFS(Table1[[#This Row],[quality]]&lt;=4,"Low",Table1[[#This Row],[quality]]&lt;=6,"Medium",Table1[[#This Row],[quality]]&gt;=7,"High")</f>
        <v>Medium</v>
      </c>
      <c r="O357" s="2" t="str">
        <f>IF(AND(Table1[[#This Row],[fixed acidity]]&gt;Sheet1!$C$4,Table1[[#This Row],[pH]]&lt;Sheet1!$K$4),"High","Normal")</f>
        <v>Normal</v>
      </c>
      <c r="P357" s="1">
        <f>(Table1[[#This Row],[alcohol]]*2)+(Table1[[#This Row],[sulphates]]*1.5)-(Table1[[#This Row],[volatile acidity]]*2)</f>
        <v>25.015000000000001</v>
      </c>
      <c r="Q357" s="1">
        <f>RANK(Table1[[#This Row],[Quality_score_index]],Table1[Quality_score_index],0)</f>
        <v>94</v>
      </c>
      <c r="R357" s="1">
        <f>Table1[[#This Row],[total sulfur dioxide]]-Table1[[#This Row],[free sulfur dioxide]]</f>
        <v>15</v>
      </c>
      <c r="S357" s="1" t="str">
        <f>IF(AND(Table1[[#This Row],[pH]]&gt;=3.2,Table1[[#This Row],[alcohol]]&gt;=10),"White wine","Red wine")</f>
        <v>White wine</v>
      </c>
    </row>
    <row r="358" spans="1:19" x14ac:dyDescent="0.3">
      <c r="A358" s="13">
        <v>357</v>
      </c>
      <c r="B358" s="1">
        <v>11.5</v>
      </c>
      <c r="C358" s="1">
        <v>0.41</v>
      </c>
      <c r="D358" s="1">
        <v>0.52</v>
      </c>
      <c r="E358" s="1">
        <v>3</v>
      </c>
      <c r="F358" s="1">
        <v>0.08</v>
      </c>
      <c r="G358" s="1">
        <v>29</v>
      </c>
      <c r="H358" s="1">
        <v>55</v>
      </c>
      <c r="I358" s="1">
        <v>1.0001</v>
      </c>
      <c r="J358" s="1">
        <v>3.26</v>
      </c>
      <c r="K358" s="1">
        <v>0.88</v>
      </c>
      <c r="L358" s="1">
        <v>11</v>
      </c>
      <c r="M358" s="2">
        <v>5</v>
      </c>
      <c r="N358" s="2" t="str" cm="1">
        <f t="array" ref="N358">_xlfn.IFS(Table1[[#This Row],[quality]]&lt;=4,"Low",Table1[[#This Row],[quality]]&lt;=6,"Medium",Table1[[#This Row],[quality]]&gt;=7,"High")</f>
        <v>Medium</v>
      </c>
      <c r="O358" s="2" t="str">
        <f>IF(AND(Table1[[#This Row],[fixed acidity]]&gt;Sheet1!$C$4,Table1[[#This Row],[pH]]&lt;Sheet1!$K$4),"High","Normal")</f>
        <v>High</v>
      </c>
      <c r="P358" s="1">
        <f>(Table1[[#This Row],[alcohol]]*2)+(Table1[[#This Row],[sulphates]]*1.5)-(Table1[[#This Row],[volatile acidity]]*2)</f>
        <v>22.5</v>
      </c>
      <c r="Q358" s="1">
        <f>RANK(Table1[[#This Row],[Quality_score_index]],Table1[Quality_score_index],0)</f>
        <v>370</v>
      </c>
      <c r="R358" s="1">
        <f>Table1[[#This Row],[total sulfur dioxide]]-Table1[[#This Row],[free sulfur dioxide]]</f>
        <v>26</v>
      </c>
      <c r="S358" s="1" t="str">
        <f>IF(AND(Table1[[#This Row],[pH]]&gt;=3.2,Table1[[#This Row],[alcohol]]&gt;=10),"White wine","Red wine")</f>
        <v>White wine</v>
      </c>
    </row>
    <row r="359" spans="1:19" x14ac:dyDescent="0.3">
      <c r="A359" s="13">
        <v>358</v>
      </c>
      <c r="B359" s="1">
        <v>10.5</v>
      </c>
      <c r="C359" s="1">
        <v>0.42</v>
      </c>
      <c r="D359" s="1">
        <v>0.66</v>
      </c>
      <c r="E359" s="1">
        <v>2.95</v>
      </c>
      <c r="F359" s="1">
        <v>0.11600000000000001</v>
      </c>
      <c r="G359" s="1">
        <v>12</v>
      </c>
      <c r="H359" s="1">
        <v>29</v>
      </c>
      <c r="I359" s="1">
        <v>0.997</v>
      </c>
      <c r="J359" s="1">
        <v>3.24</v>
      </c>
      <c r="K359" s="1">
        <v>0.75</v>
      </c>
      <c r="L359" s="1">
        <v>11.7</v>
      </c>
      <c r="M359" s="2">
        <v>7</v>
      </c>
      <c r="N359" s="2" t="str" cm="1">
        <f t="array" ref="N359">_xlfn.IFS(Table1[[#This Row],[quality]]&lt;=4,"Low",Table1[[#This Row],[quality]]&lt;=6,"Medium",Table1[[#This Row],[quality]]&gt;=7,"High")</f>
        <v>High</v>
      </c>
      <c r="O359" s="2" t="str">
        <f>IF(AND(Table1[[#This Row],[fixed acidity]]&gt;Sheet1!$C$4,Table1[[#This Row],[pH]]&lt;Sheet1!$K$4),"High","Normal")</f>
        <v>High</v>
      </c>
      <c r="P359" s="1">
        <f>(Table1[[#This Row],[alcohol]]*2)+(Table1[[#This Row],[sulphates]]*1.5)-(Table1[[#This Row],[volatile acidity]]*2)</f>
        <v>23.684999999999999</v>
      </c>
      <c r="Q359" s="1">
        <f>RANK(Table1[[#This Row],[Quality_score_index]],Table1[Quality_score_index],0)</f>
        <v>203</v>
      </c>
      <c r="R359" s="1">
        <f>Table1[[#This Row],[total sulfur dioxide]]-Table1[[#This Row],[free sulfur dioxide]]</f>
        <v>17</v>
      </c>
      <c r="S359" s="1" t="str">
        <f>IF(AND(Table1[[#This Row],[pH]]&gt;=3.2,Table1[[#This Row],[alcohol]]&gt;=10),"White wine","Red wine")</f>
        <v>White wine</v>
      </c>
    </row>
    <row r="360" spans="1:19" x14ac:dyDescent="0.3">
      <c r="A360" s="13">
        <v>359</v>
      </c>
      <c r="B360" s="1">
        <v>11.9</v>
      </c>
      <c r="C360" s="1">
        <v>0.43</v>
      </c>
      <c r="D360" s="1">
        <v>0.66</v>
      </c>
      <c r="E360" s="1">
        <v>3.1</v>
      </c>
      <c r="F360" s="1">
        <v>0.109</v>
      </c>
      <c r="G360" s="1">
        <v>10</v>
      </c>
      <c r="H360" s="1">
        <v>23</v>
      </c>
      <c r="I360" s="1">
        <v>1</v>
      </c>
      <c r="J360" s="1">
        <v>3.15</v>
      </c>
      <c r="K360" s="1">
        <v>0.85</v>
      </c>
      <c r="L360" s="1">
        <v>10.4</v>
      </c>
      <c r="M360" s="2">
        <v>7</v>
      </c>
      <c r="N360" s="2" t="str" cm="1">
        <f t="array" ref="N360">_xlfn.IFS(Table1[[#This Row],[quality]]&lt;=4,"Low",Table1[[#This Row],[quality]]&lt;=6,"Medium",Table1[[#This Row],[quality]]&gt;=7,"High")</f>
        <v>High</v>
      </c>
      <c r="O360" s="2" t="str">
        <f>IF(AND(Table1[[#This Row],[fixed acidity]]&gt;Sheet1!$C$4,Table1[[#This Row],[pH]]&lt;Sheet1!$K$4),"High","Normal")</f>
        <v>High</v>
      </c>
      <c r="P360" s="1">
        <f>(Table1[[#This Row],[alcohol]]*2)+(Table1[[#This Row],[sulphates]]*1.5)-(Table1[[#This Row],[volatile acidity]]*2)</f>
        <v>21.215</v>
      </c>
      <c r="Q360" s="1">
        <f>RANK(Table1[[#This Row],[Quality_score_index]],Table1[Quality_score_index],0)</f>
        <v>597</v>
      </c>
      <c r="R360" s="1">
        <f>Table1[[#This Row],[total sulfur dioxide]]-Table1[[#This Row],[free sulfur dioxide]]</f>
        <v>13</v>
      </c>
      <c r="S360" s="1" t="str">
        <f>IF(AND(Table1[[#This Row],[pH]]&gt;=3.2,Table1[[#This Row],[alcohol]]&gt;=10),"White wine","Red wine")</f>
        <v>Red wine</v>
      </c>
    </row>
    <row r="361" spans="1:19" x14ac:dyDescent="0.3">
      <c r="A361" s="13">
        <v>360</v>
      </c>
      <c r="B361" s="1">
        <v>12.6</v>
      </c>
      <c r="C361" s="1">
        <v>0.38</v>
      </c>
      <c r="D361" s="1">
        <v>0.66</v>
      </c>
      <c r="E361" s="1">
        <v>2.6</v>
      </c>
      <c r="F361" s="1">
        <v>8.7999999999999995E-2</v>
      </c>
      <c r="G361" s="1">
        <v>10</v>
      </c>
      <c r="H361" s="1">
        <v>41</v>
      </c>
      <c r="I361" s="1">
        <v>1.0009999999999999</v>
      </c>
      <c r="J361" s="1">
        <v>3.17</v>
      </c>
      <c r="K361" s="1">
        <v>0.68</v>
      </c>
      <c r="L361" s="1">
        <v>9.8000000000000007</v>
      </c>
      <c r="M361" s="2">
        <v>6</v>
      </c>
      <c r="N361" s="2" t="str" cm="1">
        <f t="array" ref="N361">_xlfn.IFS(Table1[[#This Row],[quality]]&lt;=4,"Low",Table1[[#This Row],[quality]]&lt;=6,"Medium",Table1[[#This Row],[quality]]&gt;=7,"High")</f>
        <v>Medium</v>
      </c>
      <c r="O361" s="2" t="str">
        <f>IF(AND(Table1[[#This Row],[fixed acidity]]&gt;Sheet1!$C$4,Table1[[#This Row],[pH]]&lt;Sheet1!$K$4),"High","Normal")</f>
        <v>High</v>
      </c>
      <c r="P361" s="1">
        <f>(Table1[[#This Row],[alcohol]]*2)+(Table1[[#This Row],[sulphates]]*1.5)-(Table1[[#This Row],[volatile acidity]]*2)</f>
        <v>19.86</v>
      </c>
      <c r="Q361" s="1">
        <f>RANK(Table1[[#This Row],[Quality_score_index]],Table1[Quality_score_index],0)</f>
        <v>893</v>
      </c>
      <c r="R361" s="1">
        <f>Table1[[#This Row],[total sulfur dioxide]]-Table1[[#This Row],[free sulfur dioxide]]</f>
        <v>31</v>
      </c>
      <c r="S361" s="1" t="str">
        <f>IF(AND(Table1[[#This Row],[pH]]&gt;=3.2,Table1[[#This Row],[alcohol]]&gt;=10),"White wine","Red wine")</f>
        <v>Red wine</v>
      </c>
    </row>
    <row r="362" spans="1:19" x14ac:dyDescent="0.3">
      <c r="A362" s="13">
        <v>361</v>
      </c>
      <c r="B362" s="1">
        <v>8.1999999999999993</v>
      </c>
      <c r="C362" s="1">
        <v>0.7</v>
      </c>
      <c r="D362" s="1">
        <v>0.23</v>
      </c>
      <c r="E362" s="1">
        <v>2</v>
      </c>
      <c r="F362" s="1">
        <v>9.9000000000000005E-2</v>
      </c>
      <c r="G362" s="1">
        <v>14</v>
      </c>
      <c r="H362" s="1">
        <v>81</v>
      </c>
      <c r="I362" s="1">
        <v>0.99729999999999996</v>
      </c>
      <c r="J362" s="1">
        <v>3.19</v>
      </c>
      <c r="K362" s="1">
        <v>0.7</v>
      </c>
      <c r="L362" s="1">
        <v>9.4</v>
      </c>
      <c r="M362" s="2">
        <v>5</v>
      </c>
      <c r="N362" s="2" t="str" cm="1">
        <f t="array" ref="N362">_xlfn.IFS(Table1[[#This Row],[quality]]&lt;=4,"Low",Table1[[#This Row],[quality]]&lt;=6,"Medium",Table1[[#This Row],[quality]]&gt;=7,"High")</f>
        <v>Medium</v>
      </c>
      <c r="O362" s="2" t="str">
        <f>IF(AND(Table1[[#This Row],[fixed acidity]]&gt;Sheet1!$C$4,Table1[[#This Row],[pH]]&lt;Sheet1!$K$4),"High","Normal")</f>
        <v>Normal</v>
      </c>
      <c r="P362" s="1">
        <f>(Table1[[#This Row],[alcohol]]*2)+(Table1[[#This Row],[sulphates]]*1.5)-(Table1[[#This Row],[volatile acidity]]*2)</f>
        <v>18.450000000000003</v>
      </c>
      <c r="Q362" s="1">
        <f>RANK(Table1[[#This Row],[Quality_score_index]],Table1[Quality_score_index],0)</f>
        <v>1393</v>
      </c>
      <c r="R362" s="1">
        <f>Table1[[#This Row],[total sulfur dioxide]]-Table1[[#This Row],[free sulfur dioxide]]</f>
        <v>67</v>
      </c>
      <c r="S362" s="1" t="str">
        <f>IF(AND(Table1[[#This Row],[pH]]&gt;=3.2,Table1[[#This Row],[alcohol]]&gt;=10),"White wine","Red wine")</f>
        <v>Red wine</v>
      </c>
    </row>
    <row r="363" spans="1:19" x14ac:dyDescent="0.3">
      <c r="A363" s="13">
        <v>362</v>
      </c>
      <c r="B363" s="1">
        <v>8.6</v>
      </c>
      <c r="C363" s="1">
        <v>0.45</v>
      </c>
      <c r="D363" s="1">
        <v>0.31</v>
      </c>
      <c r="E363" s="1">
        <v>2.6</v>
      </c>
      <c r="F363" s="1">
        <v>8.5999999999999993E-2</v>
      </c>
      <c r="G363" s="1">
        <v>21</v>
      </c>
      <c r="H363" s="1">
        <v>50</v>
      </c>
      <c r="I363" s="1">
        <v>0.99819999999999998</v>
      </c>
      <c r="J363" s="1">
        <v>3.37</v>
      </c>
      <c r="K363" s="1">
        <v>0.91</v>
      </c>
      <c r="L363" s="1">
        <v>9.9</v>
      </c>
      <c r="M363" s="2">
        <v>6</v>
      </c>
      <c r="N363" s="2" t="str" cm="1">
        <f t="array" ref="N363">_xlfn.IFS(Table1[[#This Row],[quality]]&lt;=4,"Low",Table1[[#This Row],[quality]]&lt;=6,"Medium",Table1[[#This Row],[quality]]&gt;=7,"High")</f>
        <v>Medium</v>
      </c>
      <c r="O363" s="2" t="str">
        <f>IF(AND(Table1[[#This Row],[fixed acidity]]&gt;Sheet1!$C$4,Table1[[#This Row],[pH]]&lt;Sheet1!$K$4),"High","Normal")</f>
        <v>Normal</v>
      </c>
      <c r="P363" s="1">
        <f>(Table1[[#This Row],[alcohol]]*2)+(Table1[[#This Row],[sulphates]]*1.5)-(Table1[[#This Row],[volatile acidity]]*2)</f>
        <v>20.265000000000001</v>
      </c>
      <c r="Q363" s="1">
        <f>RANK(Table1[[#This Row],[Quality_score_index]],Table1[Quality_score_index],0)</f>
        <v>799</v>
      </c>
      <c r="R363" s="1">
        <f>Table1[[#This Row],[total sulfur dioxide]]-Table1[[#This Row],[free sulfur dioxide]]</f>
        <v>29</v>
      </c>
      <c r="S363" s="1" t="str">
        <f>IF(AND(Table1[[#This Row],[pH]]&gt;=3.2,Table1[[#This Row],[alcohol]]&gt;=10),"White wine","Red wine")</f>
        <v>Red wine</v>
      </c>
    </row>
    <row r="364" spans="1:19" x14ac:dyDescent="0.3">
      <c r="A364" s="13">
        <v>363</v>
      </c>
      <c r="B364" s="1">
        <v>11.9</v>
      </c>
      <c r="C364" s="1">
        <v>0.57999999999999996</v>
      </c>
      <c r="D364" s="1">
        <v>0.66</v>
      </c>
      <c r="E364" s="1">
        <v>2.5</v>
      </c>
      <c r="F364" s="1">
        <v>7.1999999999999995E-2</v>
      </c>
      <c r="G364" s="1">
        <v>6</v>
      </c>
      <c r="H364" s="1">
        <v>37</v>
      </c>
      <c r="I364" s="1">
        <v>0.99919999999999998</v>
      </c>
      <c r="J364" s="1">
        <v>3.05</v>
      </c>
      <c r="K364" s="1">
        <v>0.56000000000000005</v>
      </c>
      <c r="L364" s="1">
        <v>10</v>
      </c>
      <c r="M364" s="2">
        <v>5</v>
      </c>
      <c r="N364" s="2" t="str" cm="1">
        <f t="array" ref="N364">_xlfn.IFS(Table1[[#This Row],[quality]]&lt;=4,"Low",Table1[[#This Row],[quality]]&lt;=6,"Medium",Table1[[#This Row],[quality]]&gt;=7,"High")</f>
        <v>Medium</v>
      </c>
      <c r="O364" s="2" t="str">
        <f>IF(AND(Table1[[#This Row],[fixed acidity]]&gt;Sheet1!$C$4,Table1[[#This Row],[pH]]&lt;Sheet1!$K$4),"High","Normal")</f>
        <v>High</v>
      </c>
      <c r="P364" s="1">
        <f>(Table1[[#This Row],[alcohol]]*2)+(Table1[[#This Row],[sulphates]]*1.5)-(Table1[[#This Row],[volatile acidity]]*2)</f>
        <v>19.68</v>
      </c>
      <c r="Q364" s="1">
        <f>RANK(Table1[[#This Row],[Quality_score_index]],Table1[Quality_score_index],0)</f>
        <v>929</v>
      </c>
      <c r="R364" s="1">
        <f>Table1[[#This Row],[total sulfur dioxide]]-Table1[[#This Row],[free sulfur dioxide]]</f>
        <v>31</v>
      </c>
      <c r="S364" s="1" t="str">
        <f>IF(AND(Table1[[#This Row],[pH]]&gt;=3.2,Table1[[#This Row],[alcohol]]&gt;=10),"White wine","Red wine")</f>
        <v>Red wine</v>
      </c>
    </row>
    <row r="365" spans="1:19" x14ac:dyDescent="0.3">
      <c r="A365" s="13">
        <v>364</v>
      </c>
      <c r="B365" s="1">
        <v>12.5</v>
      </c>
      <c r="C365" s="1">
        <v>0.46</v>
      </c>
      <c r="D365" s="1">
        <v>0.63</v>
      </c>
      <c r="E365" s="1">
        <v>2</v>
      </c>
      <c r="F365" s="1">
        <v>7.0999999999999994E-2</v>
      </c>
      <c r="G365" s="1">
        <v>6</v>
      </c>
      <c r="H365" s="1">
        <v>15</v>
      </c>
      <c r="I365" s="1">
        <v>0.99880000000000002</v>
      </c>
      <c r="J365" s="1">
        <v>2.99</v>
      </c>
      <c r="K365" s="1">
        <v>0.87</v>
      </c>
      <c r="L365" s="1">
        <v>10.199999999999999</v>
      </c>
      <c r="M365" s="2">
        <v>5</v>
      </c>
      <c r="N365" s="2" t="str" cm="1">
        <f t="array" ref="N365">_xlfn.IFS(Table1[[#This Row],[quality]]&lt;=4,"Low",Table1[[#This Row],[quality]]&lt;=6,"Medium",Table1[[#This Row],[quality]]&gt;=7,"High")</f>
        <v>Medium</v>
      </c>
      <c r="O365" s="2" t="str">
        <f>IF(AND(Table1[[#This Row],[fixed acidity]]&gt;Sheet1!$C$4,Table1[[#This Row],[pH]]&lt;Sheet1!$K$4),"High","Normal")</f>
        <v>High</v>
      </c>
      <c r="P365" s="1">
        <f>(Table1[[#This Row],[alcohol]]*2)+(Table1[[#This Row],[sulphates]]*1.5)-(Table1[[#This Row],[volatile acidity]]*2)</f>
        <v>20.784999999999997</v>
      </c>
      <c r="Q365" s="1">
        <f>RANK(Table1[[#This Row],[Quality_score_index]],Table1[Quality_score_index],0)</f>
        <v>707</v>
      </c>
      <c r="R365" s="1">
        <f>Table1[[#This Row],[total sulfur dioxide]]-Table1[[#This Row],[free sulfur dioxide]]</f>
        <v>9</v>
      </c>
      <c r="S365" s="1" t="str">
        <f>IF(AND(Table1[[#This Row],[pH]]&gt;=3.2,Table1[[#This Row],[alcohol]]&gt;=10),"White wine","Red wine")</f>
        <v>Red wine</v>
      </c>
    </row>
    <row r="366" spans="1:19" x14ac:dyDescent="0.3">
      <c r="A366" s="13">
        <v>365</v>
      </c>
      <c r="B366" s="1">
        <v>12.8</v>
      </c>
      <c r="C366" s="1">
        <v>0.61499999999999999</v>
      </c>
      <c r="D366" s="1">
        <v>0.66</v>
      </c>
      <c r="E366" s="1">
        <v>5.8</v>
      </c>
      <c r="F366" s="1">
        <v>8.3000000000000004E-2</v>
      </c>
      <c r="G366" s="1">
        <v>7</v>
      </c>
      <c r="H366" s="1">
        <v>42</v>
      </c>
      <c r="I366" s="1">
        <v>1.0022</v>
      </c>
      <c r="J366" s="1">
        <v>3.07</v>
      </c>
      <c r="K366" s="1">
        <v>0.73</v>
      </c>
      <c r="L366" s="1">
        <v>10</v>
      </c>
      <c r="M366" s="2">
        <v>7</v>
      </c>
      <c r="N366" s="2" t="str" cm="1">
        <f t="array" ref="N366">_xlfn.IFS(Table1[[#This Row],[quality]]&lt;=4,"Low",Table1[[#This Row],[quality]]&lt;=6,"Medium",Table1[[#This Row],[quality]]&gt;=7,"High")</f>
        <v>High</v>
      </c>
      <c r="O366" s="2" t="str">
        <f>IF(AND(Table1[[#This Row],[fixed acidity]]&gt;Sheet1!$C$4,Table1[[#This Row],[pH]]&lt;Sheet1!$K$4),"High","Normal")</f>
        <v>High</v>
      </c>
      <c r="P366" s="1">
        <f>(Table1[[#This Row],[alcohol]]*2)+(Table1[[#This Row],[sulphates]]*1.5)-(Table1[[#This Row],[volatile acidity]]*2)</f>
        <v>19.864999999999998</v>
      </c>
      <c r="Q366" s="1">
        <f>RANK(Table1[[#This Row],[Quality_score_index]],Table1[Quality_score_index],0)</f>
        <v>890</v>
      </c>
      <c r="R366" s="1">
        <f>Table1[[#This Row],[total sulfur dioxide]]-Table1[[#This Row],[free sulfur dioxide]]</f>
        <v>35</v>
      </c>
      <c r="S366" s="1" t="str">
        <f>IF(AND(Table1[[#This Row],[pH]]&gt;=3.2,Table1[[#This Row],[alcohol]]&gt;=10),"White wine","Red wine")</f>
        <v>Red wine</v>
      </c>
    </row>
    <row r="367" spans="1:19" x14ac:dyDescent="0.3">
      <c r="A367" s="13">
        <v>366</v>
      </c>
      <c r="B367" s="1">
        <v>10</v>
      </c>
      <c r="C367" s="1">
        <v>0.42</v>
      </c>
      <c r="D367" s="1">
        <v>0.5</v>
      </c>
      <c r="E367" s="1">
        <v>3.4</v>
      </c>
      <c r="F367" s="1">
        <v>0.107</v>
      </c>
      <c r="G367" s="1">
        <v>7</v>
      </c>
      <c r="H367" s="1">
        <v>21</v>
      </c>
      <c r="I367" s="1">
        <v>0.99790000000000001</v>
      </c>
      <c r="J367" s="1">
        <v>3.26</v>
      </c>
      <c r="K367" s="1">
        <v>0.93</v>
      </c>
      <c r="L367" s="1">
        <v>11.8</v>
      </c>
      <c r="M367" s="2">
        <v>6</v>
      </c>
      <c r="N367" s="2" t="str" cm="1">
        <f t="array" ref="N367">_xlfn.IFS(Table1[[#This Row],[quality]]&lt;=4,"Low",Table1[[#This Row],[quality]]&lt;=6,"Medium",Table1[[#This Row],[quality]]&gt;=7,"High")</f>
        <v>Medium</v>
      </c>
      <c r="O367" s="2" t="str">
        <f>IF(AND(Table1[[#This Row],[fixed acidity]]&gt;Sheet1!$C$4,Table1[[#This Row],[pH]]&lt;Sheet1!$K$4),"High","Normal")</f>
        <v>High</v>
      </c>
      <c r="P367" s="1">
        <f>(Table1[[#This Row],[alcohol]]*2)+(Table1[[#This Row],[sulphates]]*1.5)-(Table1[[#This Row],[volatile acidity]]*2)</f>
        <v>24.155000000000001</v>
      </c>
      <c r="Q367" s="1">
        <f>RANK(Table1[[#This Row],[Quality_score_index]],Table1[Quality_score_index],0)</f>
        <v>162</v>
      </c>
      <c r="R367" s="1">
        <f>Table1[[#This Row],[total sulfur dioxide]]-Table1[[#This Row],[free sulfur dioxide]]</f>
        <v>14</v>
      </c>
      <c r="S367" s="1" t="str">
        <f>IF(AND(Table1[[#This Row],[pH]]&gt;=3.2,Table1[[#This Row],[alcohol]]&gt;=10),"White wine","Red wine")</f>
        <v>White wine</v>
      </c>
    </row>
    <row r="368" spans="1:19" x14ac:dyDescent="0.3">
      <c r="A368" s="13">
        <v>367</v>
      </c>
      <c r="B368" s="1">
        <v>12.8</v>
      </c>
      <c r="C368" s="1">
        <v>0.61499999999999999</v>
      </c>
      <c r="D368" s="1">
        <v>0.66</v>
      </c>
      <c r="E368" s="1">
        <v>5.8</v>
      </c>
      <c r="F368" s="1">
        <v>8.3000000000000004E-2</v>
      </c>
      <c r="G368" s="1">
        <v>7</v>
      </c>
      <c r="H368" s="1">
        <v>42</v>
      </c>
      <c r="I368" s="1">
        <v>1.0022</v>
      </c>
      <c r="J368" s="1">
        <v>3.07</v>
      </c>
      <c r="K368" s="1">
        <v>0.73</v>
      </c>
      <c r="L368" s="1">
        <v>10</v>
      </c>
      <c r="M368" s="2">
        <v>7</v>
      </c>
      <c r="N368" s="2" t="str" cm="1">
        <f t="array" ref="N368">_xlfn.IFS(Table1[[#This Row],[quality]]&lt;=4,"Low",Table1[[#This Row],[quality]]&lt;=6,"Medium",Table1[[#This Row],[quality]]&gt;=7,"High")</f>
        <v>High</v>
      </c>
      <c r="O368" s="2" t="str">
        <f>IF(AND(Table1[[#This Row],[fixed acidity]]&gt;Sheet1!$C$4,Table1[[#This Row],[pH]]&lt;Sheet1!$K$4),"High","Normal")</f>
        <v>High</v>
      </c>
      <c r="P368" s="1">
        <f>(Table1[[#This Row],[alcohol]]*2)+(Table1[[#This Row],[sulphates]]*1.5)-(Table1[[#This Row],[volatile acidity]]*2)</f>
        <v>19.864999999999998</v>
      </c>
      <c r="Q368" s="1">
        <f>RANK(Table1[[#This Row],[Quality_score_index]],Table1[Quality_score_index],0)</f>
        <v>890</v>
      </c>
      <c r="R368" s="1">
        <f>Table1[[#This Row],[total sulfur dioxide]]-Table1[[#This Row],[free sulfur dioxide]]</f>
        <v>35</v>
      </c>
      <c r="S368" s="1" t="str">
        <f>IF(AND(Table1[[#This Row],[pH]]&gt;=3.2,Table1[[#This Row],[alcohol]]&gt;=10),"White wine","Red wine")</f>
        <v>Red wine</v>
      </c>
    </row>
    <row r="369" spans="1:19" x14ac:dyDescent="0.3">
      <c r="A369" s="13">
        <v>368</v>
      </c>
      <c r="B369" s="1">
        <v>10.4</v>
      </c>
      <c r="C369" s="1">
        <v>0.57499999999999996</v>
      </c>
      <c r="D369" s="1">
        <v>0.61</v>
      </c>
      <c r="E369" s="1">
        <v>2.6</v>
      </c>
      <c r="F369" s="1">
        <v>7.5999999999999998E-2</v>
      </c>
      <c r="G369" s="1">
        <v>11</v>
      </c>
      <c r="H369" s="1">
        <v>24</v>
      </c>
      <c r="I369" s="1">
        <v>1</v>
      </c>
      <c r="J369" s="1">
        <v>3.16</v>
      </c>
      <c r="K369" s="1">
        <v>0.69</v>
      </c>
      <c r="L369" s="1">
        <v>9</v>
      </c>
      <c r="M369" s="2">
        <v>5</v>
      </c>
      <c r="N369" s="2" t="str" cm="1">
        <f t="array" ref="N369">_xlfn.IFS(Table1[[#This Row],[quality]]&lt;=4,"Low",Table1[[#This Row],[quality]]&lt;=6,"Medium",Table1[[#This Row],[quality]]&gt;=7,"High")</f>
        <v>Medium</v>
      </c>
      <c r="O369" s="2" t="str">
        <f>IF(AND(Table1[[#This Row],[fixed acidity]]&gt;Sheet1!$C$4,Table1[[#This Row],[pH]]&lt;Sheet1!$K$4),"High","Normal")</f>
        <v>High</v>
      </c>
      <c r="P369" s="1">
        <f>(Table1[[#This Row],[alcohol]]*2)+(Table1[[#This Row],[sulphates]]*1.5)-(Table1[[#This Row],[volatile acidity]]*2)</f>
        <v>17.885000000000002</v>
      </c>
      <c r="Q369" s="1">
        <f>RANK(Table1[[#This Row],[Quality_score_index]],Table1[Quality_score_index],0)</f>
        <v>1540</v>
      </c>
      <c r="R369" s="1">
        <f>Table1[[#This Row],[total sulfur dioxide]]-Table1[[#This Row],[free sulfur dioxide]]</f>
        <v>13</v>
      </c>
      <c r="S369" s="1" t="str">
        <f>IF(AND(Table1[[#This Row],[pH]]&gt;=3.2,Table1[[#This Row],[alcohol]]&gt;=10),"White wine","Red wine")</f>
        <v>Red wine</v>
      </c>
    </row>
    <row r="370" spans="1:19" x14ac:dyDescent="0.3">
      <c r="A370" s="13">
        <v>369</v>
      </c>
      <c r="B370" s="1">
        <v>10.3</v>
      </c>
      <c r="C370" s="1">
        <v>0.34</v>
      </c>
      <c r="D370" s="1">
        <v>0.52</v>
      </c>
      <c r="E370" s="1">
        <v>2.8</v>
      </c>
      <c r="F370" s="1">
        <v>0.159</v>
      </c>
      <c r="G370" s="1">
        <v>15</v>
      </c>
      <c r="H370" s="1">
        <v>75</v>
      </c>
      <c r="I370" s="1">
        <v>0.99980000000000002</v>
      </c>
      <c r="J370" s="1">
        <v>3.18</v>
      </c>
      <c r="K370" s="1">
        <v>0.64</v>
      </c>
      <c r="L370" s="1">
        <v>9.4</v>
      </c>
      <c r="M370" s="2">
        <v>5</v>
      </c>
      <c r="N370" s="2" t="str" cm="1">
        <f t="array" ref="N370">_xlfn.IFS(Table1[[#This Row],[quality]]&lt;=4,"Low",Table1[[#This Row],[quality]]&lt;=6,"Medium",Table1[[#This Row],[quality]]&gt;=7,"High")</f>
        <v>Medium</v>
      </c>
      <c r="O370" s="2" t="str">
        <f>IF(AND(Table1[[#This Row],[fixed acidity]]&gt;Sheet1!$C$4,Table1[[#This Row],[pH]]&lt;Sheet1!$K$4),"High","Normal")</f>
        <v>High</v>
      </c>
      <c r="P370" s="1">
        <f>(Table1[[#This Row],[alcohol]]*2)+(Table1[[#This Row],[sulphates]]*1.5)-(Table1[[#This Row],[volatile acidity]]*2)</f>
        <v>19.080000000000002</v>
      </c>
      <c r="Q370" s="1">
        <f>RANK(Table1[[#This Row],[Quality_score_index]],Table1[Quality_score_index],0)</f>
        <v>1131</v>
      </c>
      <c r="R370" s="1">
        <f>Table1[[#This Row],[total sulfur dioxide]]-Table1[[#This Row],[free sulfur dioxide]]</f>
        <v>60</v>
      </c>
      <c r="S370" s="1" t="str">
        <f>IF(AND(Table1[[#This Row],[pH]]&gt;=3.2,Table1[[#This Row],[alcohol]]&gt;=10),"White wine","Red wine")</f>
        <v>Red wine</v>
      </c>
    </row>
    <row r="371" spans="1:19" x14ac:dyDescent="0.3">
      <c r="A371" s="13">
        <v>370</v>
      </c>
      <c r="B371" s="1">
        <v>9.4</v>
      </c>
      <c r="C371" s="1">
        <v>0.27</v>
      </c>
      <c r="D371" s="1">
        <v>0.53</v>
      </c>
      <c r="E371" s="1">
        <v>2.4</v>
      </c>
      <c r="F371" s="1">
        <v>7.3999999999999996E-2</v>
      </c>
      <c r="G371" s="1">
        <v>6</v>
      </c>
      <c r="H371" s="1">
        <v>18</v>
      </c>
      <c r="I371" s="1">
        <v>0.99619999999999997</v>
      </c>
      <c r="J371" s="1">
        <v>3.2</v>
      </c>
      <c r="K371" s="1">
        <v>1.1299999999999999</v>
      </c>
      <c r="L371" s="1">
        <v>12</v>
      </c>
      <c r="M371" s="2">
        <v>7</v>
      </c>
      <c r="N371" s="2" t="str" cm="1">
        <f t="array" ref="N371">_xlfn.IFS(Table1[[#This Row],[quality]]&lt;=4,"Low",Table1[[#This Row],[quality]]&lt;=6,"Medium",Table1[[#This Row],[quality]]&gt;=7,"High")</f>
        <v>High</v>
      </c>
      <c r="O371" s="2" t="str">
        <f>IF(AND(Table1[[#This Row],[fixed acidity]]&gt;Sheet1!$C$4,Table1[[#This Row],[pH]]&lt;Sheet1!$K$4),"High","Normal")</f>
        <v>High</v>
      </c>
      <c r="P371" s="1">
        <f>(Table1[[#This Row],[alcohol]]*2)+(Table1[[#This Row],[sulphates]]*1.5)-(Table1[[#This Row],[volatile acidity]]*2)</f>
        <v>25.155000000000001</v>
      </c>
      <c r="Q371" s="1">
        <f>RANK(Table1[[#This Row],[Quality_score_index]],Table1[Quality_score_index],0)</f>
        <v>86</v>
      </c>
      <c r="R371" s="1">
        <f>Table1[[#This Row],[total sulfur dioxide]]-Table1[[#This Row],[free sulfur dioxide]]</f>
        <v>12</v>
      </c>
      <c r="S371" s="1" t="str">
        <f>IF(AND(Table1[[#This Row],[pH]]&gt;=3.2,Table1[[#This Row],[alcohol]]&gt;=10),"White wine","Red wine")</f>
        <v>White wine</v>
      </c>
    </row>
    <row r="372" spans="1:19" x14ac:dyDescent="0.3">
      <c r="A372" s="13">
        <v>371</v>
      </c>
      <c r="B372" s="1">
        <v>6.9</v>
      </c>
      <c r="C372" s="1">
        <v>0.76500000000000001</v>
      </c>
      <c r="D372" s="1">
        <v>0.02</v>
      </c>
      <c r="E372" s="1">
        <v>2.2999999999999998</v>
      </c>
      <c r="F372" s="1">
        <v>6.3E-2</v>
      </c>
      <c r="G372" s="1">
        <v>35</v>
      </c>
      <c r="H372" s="1">
        <v>63</v>
      </c>
      <c r="I372" s="1">
        <v>0.99750000000000005</v>
      </c>
      <c r="J372" s="1">
        <v>3.57</v>
      </c>
      <c r="K372" s="1">
        <v>0.78</v>
      </c>
      <c r="L372" s="1">
        <v>9.9</v>
      </c>
      <c r="M372" s="2">
        <v>5</v>
      </c>
      <c r="N372" s="2" t="str" cm="1">
        <f t="array" ref="N372">_xlfn.IFS(Table1[[#This Row],[quality]]&lt;=4,"Low",Table1[[#This Row],[quality]]&lt;=6,"Medium",Table1[[#This Row],[quality]]&gt;=7,"High")</f>
        <v>Medium</v>
      </c>
      <c r="O372" s="2" t="str">
        <f>IF(AND(Table1[[#This Row],[fixed acidity]]&gt;Sheet1!$C$4,Table1[[#This Row],[pH]]&lt;Sheet1!$K$4),"High","Normal")</f>
        <v>Normal</v>
      </c>
      <c r="P372" s="1">
        <f>(Table1[[#This Row],[alcohol]]*2)+(Table1[[#This Row],[sulphates]]*1.5)-(Table1[[#This Row],[volatile acidity]]*2)</f>
        <v>19.439999999999998</v>
      </c>
      <c r="Q372" s="1">
        <f>RANK(Table1[[#This Row],[Quality_score_index]],Table1[Quality_score_index],0)</f>
        <v>995</v>
      </c>
      <c r="R372" s="1">
        <f>Table1[[#This Row],[total sulfur dioxide]]-Table1[[#This Row],[free sulfur dioxide]]</f>
        <v>28</v>
      </c>
      <c r="S372" s="1" t="str">
        <f>IF(AND(Table1[[#This Row],[pH]]&gt;=3.2,Table1[[#This Row],[alcohol]]&gt;=10),"White wine","Red wine")</f>
        <v>Red wine</v>
      </c>
    </row>
    <row r="373" spans="1:19" x14ac:dyDescent="0.3">
      <c r="A373" s="13">
        <v>372</v>
      </c>
      <c r="B373" s="1">
        <v>7.9</v>
      </c>
      <c r="C373" s="1">
        <v>0.24</v>
      </c>
      <c r="D373" s="1">
        <v>0.4</v>
      </c>
      <c r="E373" s="1">
        <v>1.6</v>
      </c>
      <c r="F373" s="1">
        <v>5.6000000000000001E-2</v>
      </c>
      <c r="G373" s="1">
        <v>11</v>
      </c>
      <c r="H373" s="1">
        <v>25</v>
      </c>
      <c r="I373" s="1">
        <v>0.99670000000000003</v>
      </c>
      <c r="J373" s="1">
        <v>3.32</v>
      </c>
      <c r="K373" s="1">
        <v>0.87</v>
      </c>
      <c r="L373" s="1">
        <v>8.6999999999999993</v>
      </c>
      <c r="M373" s="2">
        <v>6</v>
      </c>
      <c r="N373" s="2" t="str" cm="1">
        <f t="array" ref="N373">_xlfn.IFS(Table1[[#This Row],[quality]]&lt;=4,"Low",Table1[[#This Row],[quality]]&lt;=6,"Medium",Table1[[#This Row],[quality]]&gt;=7,"High")</f>
        <v>Medium</v>
      </c>
      <c r="O373" s="2" t="str">
        <f>IF(AND(Table1[[#This Row],[fixed acidity]]&gt;Sheet1!$C$4,Table1[[#This Row],[pH]]&lt;Sheet1!$K$4),"High","Normal")</f>
        <v>Normal</v>
      </c>
      <c r="P373" s="1">
        <f>(Table1[[#This Row],[alcohol]]*2)+(Table1[[#This Row],[sulphates]]*1.5)-(Table1[[#This Row],[volatile acidity]]*2)</f>
        <v>18.224999999999998</v>
      </c>
      <c r="Q373" s="1">
        <f>RANK(Table1[[#This Row],[Quality_score_index]],Table1[Quality_score_index],0)</f>
        <v>1478</v>
      </c>
      <c r="R373" s="1">
        <f>Table1[[#This Row],[total sulfur dioxide]]-Table1[[#This Row],[free sulfur dioxide]]</f>
        <v>14</v>
      </c>
      <c r="S373" s="1" t="str">
        <f>IF(AND(Table1[[#This Row],[pH]]&gt;=3.2,Table1[[#This Row],[alcohol]]&gt;=10),"White wine","Red wine")</f>
        <v>Red wine</v>
      </c>
    </row>
    <row r="374" spans="1:19" x14ac:dyDescent="0.3">
      <c r="A374" s="13">
        <v>373</v>
      </c>
      <c r="B374" s="1">
        <v>9.1</v>
      </c>
      <c r="C374" s="1">
        <v>0.28000000000000003</v>
      </c>
      <c r="D374" s="1">
        <v>0.48</v>
      </c>
      <c r="E374" s="1">
        <v>1.8</v>
      </c>
      <c r="F374" s="1">
        <v>6.7000000000000004E-2</v>
      </c>
      <c r="G374" s="1">
        <v>26</v>
      </c>
      <c r="H374" s="1">
        <v>46</v>
      </c>
      <c r="I374" s="1">
        <v>0.99670000000000003</v>
      </c>
      <c r="J374" s="1">
        <v>3.32</v>
      </c>
      <c r="K374" s="1">
        <v>1.04</v>
      </c>
      <c r="L374" s="1">
        <v>10.6</v>
      </c>
      <c r="M374" s="2">
        <v>6</v>
      </c>
      <c r="N374" s="2" t="str" cm="1">
        <f t="array" ref="N374">_xlfn.IFS(Table1[[#This Row],[quality]]&lt;=4,"Low",Table1[[#This Row],[quality]]&lt;=6,"Medium",Table1[[#This Row],[quality]]&gt;=7,"High")</f>
        <v>Medium</v>
      </c>
      <c r="O374" s="2" t="str">
        <f>IF(AND(Table1[[#This Row],[fixed acidity]]&gt;Sheet1!$C$4,Table1[[#This Row],[pH]]&lt;Sheet1!$K$4),"High","Normal")</f>
        <v>Normal</v>
      </c>
      <c r="P374" s="1">
        <f>(Table1[[#This Row],[alcohol]]*2)+(Table1[[#This Row],[sulphates]]*1.5)-(Table1[[#This Row],[volatile acidity]]*2)</f>
        <v>22.2</v>
      </c>
      <c r="Q374" s="1">
        <f>RANK(Table1[[#This Row],[Quality_score_index]],Table1[Quality_score_index],0)</f>
        <v>419</v>
      </c>
      <c r="R374" s="1">
        <f>Table1[[#This Row],[total sulfur dioxide]]-Table1[[#This Row],[free sulfur dioxide]]</f>
        <v>20</v>
      </c>
      <c r="S374" s="1" t="str">
        <f>IF(AND(Table1[[#This Row],[pH]]&gt;=3.2,Table1[[#This Row],[alcohol]]&gt;=10),"White wine","Red wine")</f>
        <v>White wine</v>
      </c>
    </row>
    <row r="375" spans="1:19" x14ac:dyDescent="0.3">
      <c r="A375" s="13">
        <v>374</v>
      </c>
      <c r="B375" s="1">
        <v>7.4</v>
      </c>
      <c r="C375" s="1">
        <v>0.55000000000000004</v>
      </c>
      <c r="D375" s="1">
        <v>0.22</v>
      </c>
      <c r="E375" s="1">
        <v>2.2000000000000002</v>
      </c>
      <c r="F375" s="1">
        <v>0.106</v>
      </c>
      <c r="G375" s="1">
        <v>12</v>
      </c>
      <c r="H375" s="1">
        <v>72</v>
      </c>
      <c r="I375" s="1">
        <v>0.99590000000000001</v>
      </c>
      <c r="J375" s="1">
        <v>3.05</v>
      </c>
      <c r="K375" s="1">
        <v>0.63</v>
      </c>
      <c r="L375" s="1">
        <v>9.1999999999999993</v>
      </c>
      <c r="M375" s="2">
        <v>5</v>
      </c>
      <c r="N375" s="2" t="str" cm="1">
        <f t="array" ref="N375">_xlfn.IFS(Table1[[#This Row],[quality]]&lt;=4,"Low",Table1[[#This Row],[quality]]&lt;=6,"Medium",Table1[[#This Row],[quality]]&gt;=7,"High")</f>
        <v>Medium</v>
      </c>
      <c r="O375" s="2" t="str">
        <f>IF(AND(Table1[[#This Row],[fixed acidity]]&gt;Sheet1!$C$4,Table1[[#This Row],[pH]]&lt;Sheet1!$K$4),"High","Normal")</f>
        <v>Normal</v>
      </c>
      <c r="P375" s="1">
        <f>(Table1[[#This Row],[alcohol]]*2)+(Table1[[#This Row],[sulphates]]*1.5)-(Table1[[#This Row],[volatile acidity]]*2)</f>
        <v>18.244999999999997</v>
      </c>
      <c r="Q375" s="1">
        <f>RANK(Table1[[#This Row],[Quality_score_index]],Table1[Quality_score_index],0)</f>
        <v>1469</v>
      </c>
      <c r="R375" s="1">
        <f>Table1[[#This Row],[total sulfur dioxide]]-Table1[[#This Row],[free sulfur dioxide]]</f>
        <v>60</v>
      </c>
      <c r="S375" s="1" t="str">
        <f>IF(AND(Table1[[#This Row],[pH]]&gt;=3.2,Table1[[#This Row],[alcohol]]&gt;=10),"White wine","Red wine")</f>
        <v>Red wine</v>
      </c>
    </row>
    <row r="376" spans="1:19" x14ac:dyDescent="0.3">
      <c r="A376" s="13">
        <v>375</v>
      </c>
      <c r="B376" s="1">
        <v>14</v>
      </c>
      <c r="C376" s="1">
        <v>0.41</v>
      </c>
      <c r="D376" s="1">
        <v>0.63</v>
      </c>
      <c r="E376" s="1">
        <v>3.8</v>
      </c>
      <c r="F376" s="1">
        <v>8.8999999999999996E-2</v>
      </c>
      <c r="G376" s="1">
        <v>6</v>
      </c>
      <c r="H376" s="1">
        <v>47</v>
      </c>
      <c r="I376" s="1">
        <v>1.0014000000000001</v>
      </c>
      <c r="J376" s="1">
        <v>3.01</v>
      </c>
      <c r="K376" s="1">
        <v>0.81</v>
      </c>
      <c r="L376" s="1">
        <v>10.8</v>
      </c>
      <c r="M376" s="2">
        <v>6</v>
      </c>
      <c r="N376" s="2" t="str" cm="1">
        <f t="array" ref="N376">_xlfn.IFS(Table1[[#This Row],[quality]]&lt;=4,"Low",Table1[[#This Row],[quality]]&lt;=6,"Medium",Table1[[#This Row],[quality]]&gt;=7,"High")</f>
        <v>Medium</v>
      </c>
      <c r="O376" s="2" t="str">
        <f>IF(AND(Table1[[#This Row],[fixed acidity]]&gt;Sheet1!$C$4,Table1[[#This Row],[pH]]&lt;Sheet1!$K$4),"High","Normal")</f>
        <v>High</v>
      </c>
      <c r="P376" s="1">
        <f>(Table1[[#This Row],[alcohol]]*2)+(Table1[[#This Row],[sulphates]]*1.5)-(Table1[[#This Row],[volatile acidity]]*2)</f>
        <v>21.995000000000001</v>
      </c>
      <c r="Q376" s="1">
        <f>RANK(Table1[[#This Row],[Quality_score_index]],Table1[Quality_score_index],0)</f>
        <v>456</v>
      </c>
      <c r="R376" s="1">
        <f>Table1[[#This Row],[total sulfur dioxide]]-Table1[[#This Row],[free sulfur dioxide]]</f>
        <v>41</v>
      </c>
      <c r="S376" s="1" t="str">
        <f>IF(AND(Table1[[#This Row],[pH]]&gt;=3.2,Table1[[#This Row],[alcohol]]&gt;=10),"White wine","Red wine")</f>
        <v>Red wine</v>
      </c>
    </row>
    <row r="377" spans="1:19" x14ac:dyDescent="0.3">
      <c r="A377" s="13">
        <v>376</v>
      </c>
      <c r="B377" s="1">
        <v>11.5</v>
      </c>
      <c r="C377" s="1">
        <v>0.54</v>
      </c>
      <c r="D377" s="1">
        <v>0.71</v>
      </c>
      <c r="E377" s="1">
        <v>4.4000000000000004</v>
      </c>
      <c r="F377" s="1">
        <v>0.124</v>
      </c>
      <c r="G377" s="1">
        <v>6</v>
      </c>
      <c r="H377" s="1">
        <v>15</v>
      </c>
      <c r="I377" s="1">
        <v>0.99839999999999995</v>
      </c>
      <c r="J377" s="1">
        <v>3.01</v>
      </c>
      <c r="K377" s="1">
        <v>0.83</v>
      </c>
      <c r="L377" s="1">
        <v>11.8</v>
      </c>
      <c r="M377" s="2">
        <v>7</v>
      </c>
      <c r="N377" s="2" t="str" cm="1">
        <f t="array" ref="N377">_xlfn.IFS(Table1[[#This Row],[quality]]&lt;=4,"Low",Table1[[#This Row],[quality]]&lt;=6,"Medium",Table1[[#This Row],[quality]]&gt;=7,"High")</f>
        <v>High</v>
      </c>
      <c r="O377" s="2" t="str">
        <f>IF(AND(Table1[[#This Row],[fixed acidity]]&gt;Sheet1!$C$4,Table1[[#This Row],[pH]]&lt;Sheet1!$K$4),"High","Normal")</f>
        <v>High</v>
      </c>
      <c r="P377" s="1">
        <f>(Table1[[#This Row],[alcohol]]*2)+(Table1[[#This Row],[sulphates]]*1.5)-(Table1[[#This Row],[volatile acidity]]*2)</f>
        <v>23.765000000000001</v>
      </c>
      <c r="Q377" s="1">
        <f>RANK(Table1[[#This Row],[Quality_score_index]],Table1[Quality_score_index],0)</f>
        <v>195</v>
      </c>
      <c r="R377" s="1">
        <f>Table1[[#This Row],[total sulfur dioxide]]-Table1[[#This Row],[free sulfur dioxide]]</f>
        <v>9</v>
      </c>
      <c r="S377" s="1" t="str">
        <f>IF(AND(Table1[[#This Row],[pH]]&gt;=3.2,Table1[[#This Row],[alcohol]]&gt;=10),"White wine","Red wine")</f>
        <v>Red wine</v>
      </c>
    </row>
    <row r="378" spans="1:19" x14ac:dyDescent="0.3">
      <c r="A378" s="13">
        <v>377</v>
      </c>
      <c r="B378" s="1">
        <v>11.5</v>
      </c>
      <c r="C378" s="1">
        <v>0.45</v>
      </c>
      <c r="D378" s="1">
        <v>0.5</v>
      </c>
      <c r="E378" s="1">
        <v>3</v>
      </c>
      <c r="F378" s="1">
        <v>7.8E-2</v>
      </c>
      <c r="G378" s="1">
        <v>19</v>
      </c>
      <c r="H378" s="1">
        <v>47</v>
      </c>
      <c r="I378" s="1">
        <v>1.0003</v>
      </c>
      <c r="J378" s="1">
        <v>3.26</v>
      </c>
      <c r="K378" s="1">
        <v>1.1100000000000001</v>
      </c>
      <c r="L378" s="1">
        <v>11</v>
      </c>
      <c r="M378" s="2">
        <v>6</v>
      </c>
      <c r="N378" s="2" t="str" cm="1">
        <f t="array" ref="N378">_xlfn.IFS(Table1[[#This Row],[quality]]&lt;=4,"Low",Table1[[#This Row],[quality]]&lt;=6,"Medium",Table1[[#This Row],[quality]]&gt;=7,"High")</f>
        <v>Medium</v>
      </c>
      <c r="O378" s="2" t="str">
        <f>IF(AND(Table1[[#This Row],[fixed acidity]]&gt;Sheet1!$C$4,Table1[[#This Row],[pH]]&lt;Sheet1!$K$4),"High","Normal")</f>
        <v>High</v>
      </c>
      <c r="P378" s="1">
        <f>(Table1[[#This Row],[alcohol]]*2)+(Table1[[#This Row],[sulphates]]*1.5)-(Table1[[#This Row],[volatile acidity]]*2)</f>
        <v>22.765000000000001</v>
      </c>
      <c r="Q378" s="1">
        <f>RANK(Table1[[#This Row],[Quality_score_index]],Table1[Quality_score_index],0)</f>
        <v>318</v>
      </c>
      <c r="R378" s="1">
        <f>Table1[[#This Row],[total sulfur dioxide]]-Table1[[#This Row],[free sulfur dioxide]]</f>
        <v>28</v>
      </c>
      <c r="S378" s="1" t="str">
        <f>IF(AND(Table1[[#This Row],[pH]]&gt;=3.2,Table1[[#This Row],[alcohol]]&gt;=10),"White wine","Red wine")</f>
        <v>White wine</v>
      </c>
    </row>
    <row r="379" spans="1:19" x14ac:dyDescent="0.3">
      <c r="A379" s="13">
        <v>378</v>
      </c>
      <c r="B379" s="1">
        <v>9.4</v>
      </c>
      <c r="C379" s="1">
        <v>0.27</v>
      </c>
      <c r="D379" s="1">
        <v>0.53</v>
      </c>
      <c r="E379" s="1">
        <v>2.4</v>
      </c>
      <c r="F379" s="1">
        <v>7.3999999999999996E-2</v>
      </c>
      <c r="G379" s="1">
        <v>6</v>
      </c>
      <c r="H379" s="1">
        <v>18</v>
      </c>
      <c r="I379" s="1">
        <v>0.99619999999999997</v>
      </c>
      <c r="J379" s="1">
        <v>3.2</v>
      </c>
      <c r="K379" s="1">
        <v>1.1299999999999999</v>
      </c>
      <c r="L379" s="1">
        <v>12</v>
      </c>
      <c r="M379" s="2">
        <v>7</v>
      </c>
      <c r="N379" s="2" t="str" cm="1">
        <f t="array" ref="N379">_xlfn.IFS(Table1[[#This Row],[quality]]&lt;=4,"Low",Table1[[#This Row],[quality]]&lt;=6,"Medium",Table1[[#This Row],[quality]]&gt;=7,"High")</f>
        <v>High</v>
      </c>
      <c r="O379" s="2" t="str">
        <f>IF(AND(Table1[[#This Row],[fixed acidity]]&gt;Sheet1!$C$4,Table1[[#This Row],[pH]]&lt;Sheet1!$K$4),"High","Normal")</f>
        <v>High</v>
      </c>
      <c r="P379" s="1">
        <f>(Table1[[#This Row],[alcohol]]*2)+(Table1[[#This Row],[sulphates]]*1.5)-(Table1[[#This Row],[volatile acidity]]*2)</f>
        <v>25.155000000000001</v>
      </c>
      <c r="Q379" s="1">
        <f>RANK(Table1[[#This Row],[Quality_score_index]],Table1[Quality_score_index],0)</f>
        <v>86</v>
      </c>
      <c r="R379" s="1">
        <f>Table1[[#This Row],[total sulfur dioxide]]-Table1[[#This Row],[free sulfur dioxide]]</f>
        <v>12</v>
      </c>
      <c r="S379" s="1" t="str">
        <f>IF(AND(Table1[[#This Row],[pH]]&gt;=3.2,Table1[[#This Row],[alcohol]]&gt;=10),"White wine","Red wine")</f>
        <v>White wine</v>
      </c>
    </row>
    <row r="380" spans="1:19" x14ac:dyDescent="0.3">
      <c r="A380" s="13">
        <v>379</v>
      </c>
      <c r="B380" s="1">
        <v>11.4</v>
      </c>
      <c r="C380" s="1">
        <v>0.625</v>
      </c>
      <c r="D380" s="1">
        <v>0.66</v>
      </c>
      <c r="E380" s="1">
        <v>6.2</v>
      </c>
      <c r="F380" s="1">
        <v>8.7999999999999995E-2</v>
      </c>
      <c r="G380" s="1">
        <v>6</v>
      </c>
      <c r="H380" s="1">
        <v>24</v>
      </c>
      <c r="I380" s="1">
        <v>0.99880000000000002</v>
      </c>
      <c r="J380" s="1">
        <v>3.11</v>
      </c>
      <c r="K380" s="1">
        <v>0.99</v>
      </c>
      <c r="L380" s="1">
        <v>13.3</v>
      </c>
      <c r="M380" s="2">
        <v>6</v>
      </c>
      <c r="N380" s="2" t="str" cm="1">
        <f t="array" ref="N380">_xlfn.IFS(Table1[[#This Row],[quality]]&lt;=4,"Low",Table1[[#This Row],[quality]]&lt;=6,"Medium",Table1[[#This Row],[quality]]&gt;=7,"High")</f>
        <v>Medium</v>
      </c>
      <c r="O380" s="2" t="str">
        <f>IF(AND(Table1[[#This Row],[fixed acidity]]&gt;Sheet1!$C$4,Table1[[#This Row],[pH]]&lt;Sheet1!$K$4),"High","Normal")</f>
        <v>High</v>
      </c>
      <c r="P380" s="1">
        <f>(Table1[[#This Row],[alcohol]]*2)+(Table1[[#This Row],[sulphates]]*1.5)-(Table1[[#This Row],[volatile acidity]]*2)</f>
        <v>26.835000000000001</v>
      </c>
      <c r="Q380" s="1">
        <f>RANK(Table1[[#This Row],[Quality_score_index]],Table1[Quality_score_index],0)</f>
        <v>18</v>
      </c>
      <c r="R380" s="1">
        <f>Table1[[#This Row],[total sulfur dioxide]]-Table1[[#This Row],[free sulfur dioxide]]</f>
        <v>18</v>
      </c>
      <c r="S380" s="1" t="str">
        <f>IF(AND(Table1[[#This Row],[pH]]&gt;=3.2,Table1[[#This Row],[alcohol]]&gt;=10),"White wine","Red wine")</f>
        <v>Red wine</v>
      </c>
    </row>
    <row r="381" spans="1:19" x14ac:dyDescent="0.3">
      <c r="A381" s="13">
        <v>380</v>
      </c>
      <c r="B381" s="1">
        <v>8.3000000000000007</v>
      </c>
      <c r="C381" s="1">
        <v>0.42</v>
      </c>
      <c r="D381" s="1">
        <v>0.38</v>
      </c>
      <c r="E381" s="1">
        <v>2.5</v>
      </c>
      <c r="F381" s="1">
        <v>9.4E-2</v>
      </c>
      <c r="G381" s="1">
        <v>24</v>
      </c>
      <c r="H381" s="1">
        <v>60</v>
      </c>
      <c r="I381" s="1">
        <v>0.99790000000000001</v>
      </c>
      <c r="J381" s="1">
        <v>3.31</v>
      </c>
      <c r="K381" s="1">
        <v>0.7</v>
      </c>
      <c r="L381" s="1">
        <v>10.8</v>
      </c>
      <c r="M381" s="2">
        <v>6</v>
      </c>
      <c r="N381" s="2" t="str" cm="1">
        <f t="array" ref="N381">_xlfn.IFS(Table1[[#This Row],[quality]]&lt;=4,"Low",Table1[[#This Row],[quality]]&lt;=6,"Medium",Table1[[#This Row],[quality]]&gt;=7,"High")</f>
        <v>Medium</v>
      </c>
      <c r="O381" s="2" t="str">
        <f>IF(AND(Table1[[#This Row],[fixed acidity]]&gt;Sheet1!$C$4,Table1[[#This Row],[pH]]&lt;Sheet1!$K$4),"High","Normal")</f>
        <v>Normal</v>
      </c>
      <c r="P381" s="1">
        <f>(Table1[[#This Row],[alcohol]]*2)+(Table1[[#This Row],[sulphates]]*1.5)-(Table1[[#This Row],[volatile acidity]]*2)</f>
        <v>21.810000000000002</v>
      </c>
      <c r="Q381" s="1">
        <f>RANK(Table1[[#This Row],[Quality_score_index]],Table1[Quality_score_index],0)</f>
        <v>479</v>
      </c>
      <c r="R381" s="1">
        <f>Table1[[#This Row],[total sulfur dioxide]]-Table1[[#This Row],[free sulfur dioxide]]</f>
        <v>36</v>
      </c>
      <c r="S381" s="1" t="str">
        <f>IF(AND(Table1[[#This Row],[pH]]&gt;=3.2,Table1[[#This Row],[alcohol]]&gt;=10),"White wine","Red wine")</f>
        <v>White wine</v>
      </c>
    </row>
    <row r="382" spans="1:19" x14ac:dyDescent="0.3">
      <c r="A382" s="13">
        <v>381</v>
      </c>
      <c r="B382" s="1">
        <v>8.3000000000000007</v>
      </c>
      <c r="C382" s="1">
        <v>0.26</v>
      </c>
      <c r="D382" s="1">
        <v>0.42</v>
      </c>
      <c r="E382" s="1">
        <v>2</v>
      </c>
      <c r="F382" s="1">
        <v>0.08</v>
      </c>
      <c r="G382" s="1">
        <v>11</v>
      </c>
      <c r="H382" s="1">
        <v>27</v>
      </c>
      <c r="I382" s="1">
        <v>0.99739999999999995</v>
      </c>
      <c r="J382" s="1">
        <v>3.21</v>
      </c>
      <c r="K382" s="1">
        <v>0.8</v>
      </c>
      <c r="L382" s="1">
        <v>9.4</v>
      </c>
      <c r="M382" s="2">
        <v>6</v>
      </c>
      <c r="N382" s="2" t="str" cm="1">
        <f t="array" ref="N382">_xlfn.IFS(Table1[[#This Row],[quality]]&lt;=4,"Low",Table1[[#This Row],[quality]]&lt;=6,"Medium",Table1[[#This Row],[quality]]&gt;=7,"High")</f>
        <v>Medium</v>
      </c>
      <c r="O382" s="2" t="str">
        <f>IF(AND(Table1[[#This Row],[fixed acidity]]&gt;Sheet1!$C$4,Table1[[#This Row],[pH]]&lt;Sheet1!$K$4),"High","Normal")</f>
        <v>Normal</v>
      </c>
      <c r="P382" s="1">
        <f>(Table1[[#This Row],[alcohol]]*2)+(Table1[[#This Row],[sulphates]]*1.5)-(Table1[[#This Row],[volatile acidity]]*2)</f>
        <v>19.48</v>
      </c>
      <c r="Q382" s="1">
        <f>RANK(Table1[[#This Row],[Quality_score_index]],Table1[Quality_score_index],0)</f>
        <v>983</v>
      </c>
      <c r="R382" s="1">
        <f>Table1[[#This Row],[total sulfur dioxide]]-Table1[[#This Row],[free sulfur dioxide]]</f>
        <v>16</v>
      </c>
      <c r="S382" s="1" t="str">
        <f>IF(AND(Table1[[#This Row],[pH]]&gt;=3.2,Table1[[#This Row],[alcohol]]&gt;=10),"White wine","Red wine")</f>
        <v>Red wine</v>
      </c>
    </row>
    <row r="383" spans="1:19" x14ac:dyDescent="0.3">
      <c r="A383" s="13">
        <v>382</v>
      </c>
      <c r="B383" s="1">
        <v>13.7</v>
      </c>
      <c r="C383" s="1">
        <v>0.41499999999999998</v>
      </c>
      <c r="D383" s="1">
        <v>0.68</v>
      </c>
      <c r="E383" s="1">
        <v>2.9</v>
      </c>
      <c r="F383" s="1">
        <v>8.5000000000000006E-2</v>
      </c>
      <c r="G383" s="1">
        <v>17</v>
      </c>
      <c r="H383" s="1">
        <v>43</v>
      </c>
      <c r="I383" s="1">
        <v>1.0014000000000001</v>
      </c>
      <c r="J383" s="1">
        <v>3.06</v>
      </c>
      <c r="K383" s="1">
        <v>0.8</v>
      </c>
      <c r="L383" s="1">
        <v>10</v>
      </c>
      <c r="M383" s="2">
        <v>6</v>
      </c>
      <c r="N383" s="2" t="str" cm="1">
        <f t="array" ref="N383">_xlfn.IFS(Table1[[#This Row],[quality]]&lt;=4,"Low",Table1[[#This Row],[quality]]&lt;=6,"Medium",Table1[[#This Row],[quality]]&gt;=7,"High")</f>
        <v>Medium</v>
      </c>
      <c r="O383" s="2" t="str">
        <f>IF(AND(Table1[[#This Row],[fixed acidity]]&gt;Sheet1!$C$4,Table1[[#This Row],[pH]]&lt;Sheet1!$K$4),"High","Normal")</f>
        <v>High</v>
      </c>
      <c r="P383" s="1">
        <f>(Table1[[#This Row],[alcohol]]*2)+(Table1[[#This Row],[sulphates]]*1.5)-(Table1[[#This Row],[volatile acidity]]*2)</f>
        <v>20.37</v>
      </c>
      <c r="Q383" s="1">
        <f>RANK(Table1[[#This Row],[Quality_score_index]],Table1[Quality_score_index],0)</f>
        <v>775</v>
      </c>
      <c r="R383" s="1">
        <f>Table1[[#This Row],[total sulfur dioxide]]-Table1[[#This Row],[free sulfur dioxide]]</f>
        <v>26</v>
      </c>
      <c r="S383" s="1" t="str">
        <f>IF(AND(Table1[[#This Row],[pH]]&gt;=3.2,Table1[[#This Row],[alcohol]]&gt;=10),"White wine","Red wine")</f>
        <v>Red wine</v>
      </c>
    </row>
    <row r="384" spans="1:19" x14ac:dyDescent="0.3">
      <c r="A384" s="13">
        <v>383</v>
      </c>
      <c r="B384" s="1">
        <v>8.3000000000000007</v>
      </c>
      <c r="C384" s="1">
        <v>0.26</v>
      </c>
      <c r="D384" s="1">
        <v>0.42</v>
      </c>
      <c r="E384" s="1">
        <v>2</v>
      </c>
      <c r="F384" s="1">
        <v>0.08</v>
      </c>
      <c r="G384" s="1">
        <v>11</v>
      </c>
      <c r="H384" s="1">
        <v>27</v>
      </c>
      <c r="I384" s="1">
        <v>0.99739999999999995</v>
      </c>
      <c r="J384" s="1">
        <v>3.21</v>
      </c>
      <c r="K384" s="1">
        <v>0.8</v>
      </c>
      <c r="L384" s="1">
        <v>9.4</v>
      </c>
      <c r="M384" s="2">
        <v>6</v>
      </c>
      <c r="N384" s="2" t="str" cm="1">
        <f t="array" ref="N384">_xlfn.IFS(Table1[[#This Row],[quality]]&lt;=4,"Low",Table1[[#This Row],[quality]]&lt;=6,"Medium",Table1[[#This Row],[quality]]&gt;=7,"High")</f>
        <v>Medium</v>
      </c>
      <c r="O384" s="2" t="str">
        <f>IF(AND(Table1[[#This Row],[fixed acidity]]&gt;Sheet1!$C$4,Table1[[#This Row],[pH]]&lt;Sheet1!$K$4),"High","Normal")</f>
        <v>Normal</v>
      </c>
      <c r="P384" s="1">
        <f>(Table1[[#This Row],[alcohol]]*2)+(Table1[[#This Row],[sulphates]]*1.5)-(Table1[[#This Row],[volatile acidity]]*2)</f>
        <v>19.48</v>
      </c>
      <c r="Q384" s="1">
        <f>RANK(Table1[[#This Row],[Quality_score_index]],Table1[Quality_score_index],0)</f>
        <v>983</v>
      </c>
      <c r="R384" s="1">
        <f>Table1[[#This Row],[total sulfur dioxide]]-Table1[[#This Row],[free sulfur dioxide]]</f>
        <v>16</v>
      </c>
      <c r="S384" s="1" t="str">
        <f>IF(AND(Table1[[#This Row],[pH]]&gt;=3.2,Table1[[#This Row],[alcohol]]&gt;=10),"White wine","Red wine")</f>
        <v>Red wine</v>
      </c>
    </row>
    <row r="385" spans="1:19" x14ac:dyDescent="0.3">
      <c r="A385" s="13">
        <v>384</v>
      </c>
      <c r="B385" s="1">
        <v>8.3000000000000007</v>
      </c>
      <c r="C385" s="1">
        <v>0.26</v>
      </c>
      <c r="D385" s="1">
        <v>0.42</v>
      </c>
      <c r="E385" s="1">
        <v>2</v>
      </c>
      <c r="F385" s="1">
        <v>0.08</v>
      </c>
      <c r="G385" s="1">
        <v>11</v>
      </c>
      <c r="H385" s="1">
        <v>27</v>
      </c>
      <c r="I385" s="1">
        <v>0.99739999999999995</v>
      </c>
      <c r="J385" s="1">
        <v>3.21</v>
      </c>
      <c r="K385" s="1">
        <v>0.8</v>
      </c>
      <c r="L385" s="1">
        <v>9.4</v>
      </c>
      <c r="M385" s="2">
        <v>6</v>
      </c>
      <c r="N385" s="2" t="str" cm="1">
        <f t="array" ref="N385">_xlfn.IFS(Table1[[#This Row],[quality]]&lt;=4,"Low",Table1[[#This Row],[quality]]&lt;=6,"Medium",Table1[[#This Row],[quality]]&gt;=7,"High")</f>
        <v>Medium</v>
      </c>
      <c r="O385" s="2" t="str">
        <f>IF(AND(Table1[[#This Row],[fixed acidity]]&gt;Sheet1!$C$4,Table1[[#This Row],[pH]]&lt;Sheet1!$K$4),"High","Normal")</f>
        <v>Normal</v>
      </c>
      <c r="P385" s="1">
        <f>(Table1[[#This Row],[alcohol]]*2)+(Table1[[#This Row],[sulphates]]*1.5)-(Table1[[#This Row],[volatile acidity]]*2)</f>
        <v>19.48</v>
      </c>
      <c r="Q385" s="1">
        <f>RANK(Table1[[#This Row],[Quality_score_index]],Table1[Quality_score_index],0)</f>
        <v>983</v>
      </c>
      <c r="R385" s="1">
        <f>Table1[[#This Row],[total sulfur dioxide]]-Table1[[#This Row],[free sulfur dioxide]]</f>
        <v>16</v>
      </c>
      <c r="S385" s="1" t="str">
        <f>IF(AND(Table1[[#This Row],[pH]]&gt;=3.2,Table1[[#This Row],[alcohol]]&gt;=10),"White wine","Red wine")</f>
        <v>Red wine</v>
      </c>
    </row>
    <row r="386" spans="1:19" x14ac:dyDescent="0.3">
      <c r="A386" s="13">
        <v>385</v>
      </c>
      <c r="B386" s="1">
        <v>7.7</v>
      </c>
      <c r="C386" s="1">
        <v>0.51</v>
      </c>
      <c r="D386" s="1">
        <v>0.28000000000000003</v>
      </c>
      <c r="E386" s="1">
        <v>2.1</v>
      </c>
      <c r="F386" s="1">
        <v>8.6999999999999994E-2</v>
      </c>
      <c r="G386" s="1">
        <v>23</v>
      </c>
      <c r="H386" s="1">
        <v>54</v>
      </c>
      <c r="I386" s="1">
        <v>0.998</v>
      </c>
      <c r="J386" s="1">
        <v>3.42</v>
      </c>
      <c r="K386" s="1">
        <v>0.74</v>
      </c>
      <c r="L386" s="1">
        <v>9.1999999999999993</v>
      </c>
      <c r="M386" s="2">
        <v>5</v>
      </c>
      <c r="N386" s="2" t="str" cm="1">
        <f t="array" ref="N386">_xlfn.IFS(Table1[[#This Row],[quality]]&lt;=4,"Low",Table1[[#This Row],[quality]]&lt;=6,"Medium",Table1[[#This Row],[quality]]&gt;=7,"High")</f>
        <v>Medium</v>
      </c>
      <c r="O386" s="2" t="str">
        <f>IF(AND(Table1[[#This Row],[fixed acidity]]&gt;Sheet1!$C$4,Table1[[#This Row],[pH]]&lt;Sheet1!$K$4),"High","Normal")</f>
        <v>Normal</v>
      </c>
      <c r="P386" s="1">
        <f>(Table1[[#This Row],[alcohol]]*2)+(Table1[[#This Row],[sulphates]]*1.5)-(Table1[[#This Row],[volatile acidity]]*2)</f>
        <v>18.489999999999998</v>
      </c>
      <c r="Q386" s="1">
        <f>RANK(Table1[[#This Row],[Quality_score_index]],Table1[Quality_score_index],0)</f>
        <v>1377</v>
      </c>
      <c r="R386" s="1">
        <f>Table1[[#This Row],[total sulfur dioxide]]-Table1[[#This Row],[free sulfur dioxide]]</f>
        <v>31</v>
      </c>
      <c r="S386" s="1" t="str">
        <f>IF(AND(Table1[[#This Row],[pH]]&gt;=3.2,Table1[[#This Row],[alcohol]]&gt;=10),"White wine","Red wine")</f>
        <v>Red wine</v>
      </c>
    </row>
    <row r="387" spans="1:19" x14ac:dyDescent="0.3">
      <c r="A387" s="13">
        <v>386</v>
      </c>
      <c r="B387" s="1">
        <v>7.4</v>
      </c>
      <c r="C387" s="1">
        <v>0.63</v>
      </c>
      <c r="D387" s="1">
        <v>7.0000000000000007E-2</v>
      </c>
      <c r="E387" s="1">
        <v>2.4</v>
      </c>
      <c r="F387" s="1">
        <v>0.09</v>
      </c>
      <c r="G387" s="1">
        <v>11</v>
      </c>
      <c r="H387" s="1">
        <v>37</v>
      </c>
      <c r="I387" s="1">
        <v>0.99790000000000001</v>
      </c>
      <c r="J387" s="1">
        <v>3.43</v>
      </c>
      <c r="K387" s="1">
        <v>0.76</v>
      </c>
      <c r="L387" s="1">
        <v>9.6999999999999993</v>
      </c>
      <c r="M387" s="2">
        <v>6</v>
      </c>
      <c r="N387" s="2" t="str" cm="1">
        <f t="array" ref="N387">_xlfn.IFS(Table1[[#This Row],[quality]]&lt;=4,"Low",Table1[[#This Row],[quality]]&lt;=6,"Medium",Table1[[#This Row],[quality]]&gt;=7,"High")</f>
        <v>Medium</v>
      </c>
      <c r="O387" s="2" t="str">
        <f>IF(AND(Table1[[#This Row],[fixed acidity]]&gt;Sheet1!$C$4,Table1[[#This Row],[pH]]&lt;Sheet1!$K$4),"High","Normal")</f>
        <v>Normal</v>
      </c>
      <c r="P387" s="1">
        <f>(Table1[[#This Row],[alcohol]]*2)+(Table1[[#This Row],[sulphates]]*1.5)-(Table1[[#This Row],[volatile acidity]]*2)</f>
        <v>19.279999999999998</v>
      </c>
      <c r="Q387" s="1">
        <f>RANK(Table1[[#This Row],[Quality_score_index]],Table1[Quality_score_index],0)</f>
        <v>1050</v>
      </c>
      <c r="R387" s="1">
        <f>Table1[[#This Row],[total sulfur dioxide]]-Table1[[#This Row],[free sulfur dioxide]]</f>
        <v>26</v>
      </c>
      <c r="S387" s="1" t="str">
        <f>IF(AND(Table1[[#This Row],[pH]]&gt;=3.2,Table1[[#This Row],[alcohol]]&gt;=10),"White wine","Red wine")</f>
        <v>Red wine</v>
      </c>
    </row>
    <row r="388" spans="1:19" x14ac:dyDescent="0.3">
      <c r="A388" s="13">
        <v>387</v>
      </c>
      <c r="B388" s="1">
        <v>7.8</v>
      </c>
      <c r="C388" s="1">
        <v>0.54</v>
      </c>
      <c r="D388" s="1">
        <v>0.26</v>
      </c>
      <c r="E388" s="1">
        <v>2</v>
      </c>
      <c r="F388" s="1">
        <v>8.7999999999999995E-2</v>
      </c>
      <c r="G388" s="1">
        <v>23</v>
      </c>
      <c r="H388" s="1">
        <v>48</v>
      </c>
      <c r="I388" s="1">
        <v>0.99809999999999999</v>
      </c>
      <c r="J388" s="1">
        <v>3.41</v>
      </c>
      <c r="K388" s="1">
        <v>0.74</v>
      </c>
      <c r="L388" s="1">
        <v>9.1999999999999993</v>
      </c>
      <c r="M388" s="2">
        <v>6</v>
      </c>
      <c r="N388" s="2" t="str" cm="1">
        <f t="array" ref="N388">_xlfn.IFS(Table1[[#This Row],[quality]]&lt;=4,"Low",Table1[[#This Row],[quality]]&lt;=6,"Medium",Table1[[#This Row],[quality]]&gt;=7,"High")</f>
        <v>Medium</v>
      </c>
      <c r="O388" s="2" t="str">
        <f>IF(AND(Table1[[#This Row],[fixed acidity]]&gt;Sheet1!$C$4,Table1[[#This Row],[pH]]&lt;Sheet1!$K$4),"High","Normal")</f>
        <v>Normal</v>
      </c>
      <c r="P388" s="1">
        <f>(Table1[[#This Row],[alcohol]]*2)+(Table1[[#This Row],[sulphates]]*1.5)-(Table1[[#This Row],[volatile acidity]]*2)</f>
        <v>18.43</v>
      </c>
      <c r="Q388" s="1">
        <f>RANK(Table1[[#This Row],[Quality_score_index]],Table1[Quality_score_index],0)</f>
        <v>1399</v>
      </c>
      <c r="R388" s="1">
        <f>Table1[[#This Row],[total sulfur dioxide]]-Table1[[#This Row],[free sulfur dioxide]]</f>
        <v>25</v>
      </c>
      <c r="S388" s="1" t="str">
        <f>IF(AND(Table1[[#This Row],[pH]]&gt;=3.2,Table1[[#This Row],[alcohol]]&gt;=10),"White wine","Red wine")</f>
        <v>Red wine</v>
      </c>
    </row>
    <row r="389" spans="1:19" x14ac:dyDescent="0.3">
      <c r="A389" s="13">
        <v>388</v>
      </c>
      <c r="B389" s="1">
        <v>8.3000000000000007</v>
      </c>
      <c r="C389" s="1">
        <v>0.66</v>
      </c>
      <c r="D389" s="1">
        <v>0.15</v>
      </c>
      <c r="E389" s="1">
        <v>1.9</v>
      </c>
      <c r="F389" s="1">
        <v>7.9000000000000001E-2</v>
      </c>
      <c r="G389" s="1">
        <v>17</v>
      </c>
      <c r="H389" s="1">
        <v>42</v>
      </c>
      <c r="I389" s="1">
        <v>0.99719999999999998</v>
      </c>
      <c r="J389" s="1">
        <v>3.31</v>
      </c>
      <c r="K389" s="1">
        <v>0.54</v>
      </c>
      <c r="L389" s="1">
        <v>9.6</v>
      </c>
      <c r="M389" s="2">
        <v>6</v>
      </c>
      <c r="N389" s="2" t="str" cm="1">
        <f t="array" ref="N389">_xlfn.IFS(Table1[[#This Row],[quality]]&lt;=4,"Low",Table1[[#This Row],[quality]]&lt;=6,"Medium",Table1[[#This Row],[quality]]&gt;=7,"High")</f>
        <v>Medium</v>
      </c>
      <c r="O389" s="2" t="str">
        <f>IF(AND(Table1[[#This Row],[fixed acidity]]&gt;Sheet1!$C$4,Table1[[#This Row],[pH]]&lt;Sheet1!$K$4),"High","Normal")</f>
        <v>Normal</v>
      </c>
      <c r="P389" s="1">
        <f>(Table1[[#This Row],[alcohol]]*2)+(Table1[[#This Row],[sulphates]]*1.5)-(Table1[[#This Row],[volatile acidity]]*2)</f>
        <v>18.689999999999998</v>
      </c>
      <c r="Q389" s="1">
        <f>RANK(Table1[[#This Row],[Quality_score_index]],Table1[Quality_score_index],0)</f>
        <v>1297</v>
      </c>
      <c r="R389" s="1">
        <f>Table1[[#This Row],[total sulfur dioxide]]-Table1[[#This Row],[free sulfur dioxide]]</f>
        <v>25</v>
      </c>
      <c r="S389" s="1" t="str">
        <f>IF(AND(Table1[[#This Row],[pH]]&gt;=3.2,Table1[[#This Row],[alcohol]]&gt;=10),"White wine","Red wine")</f>
        <v>Red wine</v>
      </c>
    </row>
    <row r="390" spans="1:19" x14ac:dyDescent="0.3">
      <c r="A390" s="13">
        <v>389</v>
      </c>
      <c r="B390" s="1">
        <v>7.8</v>
      </c>
      <c r="C390" s="1">
        <v>0.46</v>
      </c>
      <c r="D390" s="1">
        <v>0.26</v>
      </c>
      <c r="E390" s="1">
        <v>1.9</v>
      </c>
      <c r="F390" s="1">
        <v>8.7999999999999995E-2</v>
      </c>
      <c r="G390" s="1">
        <v>23</v>
      </c>
      <c r="H390" s="1">
        <v>53</v>
      </c>
      <c r="I390" s="1">
        <v>0.99809999999999999</v>
      </c>
      <c r="J390" s="1">
        <v>3.43</v>
      </c>
      <c r="K390" s="1">
        <v>0.74</v>
      </c>
      <c r="L390" s="1">
        <v>9.1999999999999993</v>
      </c>
      <c r="M390" s="2">
        <v>6</v>
      </c>
      <c r="N390" s="2" t="str" cm="1">
        <f t="array" ref="N390">_xlfn.IFS(Table1[[#This Row],[quality]]&lt;=4,"Low",Table1[[#This Row],[quality]]&lt;=6,"Medium",Table1[[#This Row],[quality]]&gt;=7,"High")</f>
        <v>Medium</v>
      </c>
      <c r="O390" s="2" t="str">
        <f>IF(AND(Table1[[#This Row],[fixed acidity]]&gt;Sheet1!$C$4,Table1[[#This Row],[pH]]&lt;Sheet1!$K$4),"High","Normal")</f>
        <v>Normal</v>
      </c>
      <c r="P390" s="1">
        <f>(Table1[[#This Row],[alcohol]]*2)+(Table1[[#This Row],[sulphates]]*1.5)-(Table1[[#This Row],[volatile acidity]]*2)</f>
        <v>18.589999999999996</v>
      </c>
      <c r="Q390" s="1">
        <f>RANK(Table1[[#This Row],[Quality_score_index]],Table1[Quality_score_index],0)</f>
        <v>1348</v>
      </c>
      <c r="R390" s="1">
        <f>Table1[[#This Row],[total sulfur dioxide]]-Table1[[#This Row],[free sulfur dioxide]]</f>
        <v>30</v>
      </c>
      <c r="S390" s="1" t="str">
        <f>IF(AND(Table1[[#This Row],[pH]]&gt;=3.2,Table1[[#This Row],[alcohol]]&gt;=10),"White wine","Red wine")</f>
        <v>Red wine</v>
      </c>
    </row>
    <row r="391" spans="1:19" x14ac:dyDescent="0.3">
      <c r="A391" s="13">
        <v>390</v>
      </c>
      <c r="B391" s="1">
        <v>9.6</v>
      </c>
      <c r="C391" s="1">
        <v>0.38</v>
      </c>
      <c r="D391" s="1">
        <v>0.31</v>
      </c>
      <c r="E391" s="1">
        <v>2.5</v>
      </c>
      <c r="F391" s="1">
        <v>9.6000000000000002E-2</v>
      </c>
      <c r="G391" s="1">
        <v>16</v>
      </c>
      <c r="H391" s="1">
        <v>49</v>
      </c>
      <c r="I391" s="1">
        <v>0.99819999999999998</v>
      </c>
      <c r="J391" s="1">
        <v>3.19</v>
      </c>
      <c r="K391" s="1">
        <v>0.7</v>
      </c>
      <c r="L391" s="1">
        <v>10</v>
      </c>
      <c r="M391" s="2">
        <v>7</v>
      </c>
      <c r="N391" s="2" t="str" cm="1">
        <f t="array" ref="N391">_xlfn.IFS(Table1[[#This Row],[quality]]&lt;=4,"Low",Table1[[#This Row],[quality]]&lt;=6,"Medium",Table1[[#This Row],[quality]]&gt;=7,"High")</f>
        <v>High</v>
      </c>
      <c r="O391" s="2" t="str">
        <f>IF(AND(Table1[[#This Row],[fixed acidity]]&gt;Sheet1!$C$4,Table1[[#This Row],[pH]]&lt;Sheet1!$K$4),"High","Normal")</f>
        <v>High</v>
      </c>
      <c r="P391" s="1">
        <f>(Table1[[#This Row],[alcohol]]*2)+(Table1[[#This Row],[sulphates]]*1.5)-(Table1[[#This Row],[volatile acidity]]*2)</f>
        <v>20.29</v>
      </c>
      <c r="Q391" s="1">
        <f>RANK(Table1[[#This Row],[Quality_score_index]],Table1[Quality_score_index],0)</f>
        <v>795</v>
      </c>
      <c r="R391" s="1">
        <f>Table1[[#This Row],[total sulfur dioxide]]-Table1[[#This Row],[free sulfur dioxide]]</f>
        <v>33</v>
      </c>
      <c r="S391" s="1" t="str">
        <f>IF(AND(Table1[[#This Row],[pH]]&gt;=3.2,Table1[[#This Row],[alcohol]]&gt;=10),"White wine","Red wine")</f>
        <v>Red wine</v>
      </c>
    </row>
    <row r="392" spans="1:19" x14ac:dyDescent="0.3">
      <c r="A392" s="13">
        <v>391</v>
      </c>
      <c r="B392" s="1">
        <v>5.6</v>
      </c>
      <c r="C392" s="1">
        <v>0.85</v>
      </c>
      <c r="D392" s="1">
        <v>0.05</v>
      </c>
      <c r="E392" s="1">
        <v>1.4</v>
      </c>
      <c r="F392" s="1">
        <v>4.4999999999999998E-2</v>
      </c>
      <c r="G392" s="1">
        <v>12</v>
      </c>
      <c r="H392" s="1">
        <v>88</v>
      </c>
      <c r="I392" s="1">
        <v>0.99239999999999995</v>
      </c>
      <c r="J392" s="1">
        <v>3.56</v>
      </c>
      <c r="K392" s="1">
        <v>0.82</v>
      </c>
      <c r="L392" s="1">
        <v>12.9</v>
      </c>
      <c r="M392" s="2">
        <v>8</v>
      </c>
      <c r="N392" s="2" t="str" cm="1">
        <f t="array" ref="N392">_xlfn.IFS(Table1[[#This Row],[quality]]&lt;=4,"Low",Table1[[#This Row],[quality]]&lt;=6,"Medium",Table1[[#This Row],[quality]]&gt;=7,"High")</f>
        <v>High</v>
      </c>
      <c r="O392" s="2" t="str">
        <f>IF(AND(Table1[[#This Row],[fixed acidity]]&gt;Sheet1!$C$4,Table1[[#This Row],[pH]]&lt;Sheet1!$K$4),"High","Normal")</f>
        <v>Normal</v>
      </c>
      <c r="P392" s="1">
        <f>(Table1[[#This Row],[alcohol]]*2)+(Table1[[#This Row],[sulphates]]*1.5)-(Table1[[#This Row],[volatile acidity]]*2)</f>
        <v>25.330000000000002</v>
      </c>
      <c r="Q392" s="1">
        <f>RANK(Table1[[#This Row],[Quality_score_index]],Table1[Quality_score_index],0)</f>
        <v>68</v>
      </c>
      <c r="R392" s="1">
        <f>Table1[[#This Row],[total sulfur dioxide]]-Table1[[#This Row],[free sulfur dioxide]]</f>
        <v>76</v>
      </c>
      <c r="S392" s="1" t="str">
        <f>IF(AND(Table1[[#This Row],[pH]]&gt;=3.2,Table1[[#This Row],[alcohol]]&gt;=10),"White wine","Red wine")</f>
        <v>White wine</v>
      </c>
    </row>
    <row r="393" spans="1:19" x14ac:dyDescent="0.3">
      <c r="A393" s="13">
        <v>392</v>
      </c>
      <c r="B393" s="1">
        <v>13.7</v>
      </c>
      <c r="C393" s="1">
        <v>0.41499999999999998</v>
      </c>
      <c r="D393" s="1">
        <v>0.68</v>
      </c>
      <c r="E393" s="1">
        <v>2.9</v>
      </c>
      <c r="F393" s="1">
        <v>8.5000000000000006E-2</v>
      </c>
      <c r="G393" s="1">
        <v>17</v>
      </c>
      <c r="H393" s="1">
        <v>43</v>
      </c>
      <c r="I393" s="1">
        <v>1.0014000000000001</v>
      </c>
      <c r="J393" s="1">
        <v>3.06</v>
      </c>
      <c r="K393" s="1">
        <v>0.8</v>
      </c>
      <c r="L393" s="1">
        <v>10</v>
      </c>
      <c r="M393" s="2">
        <v>6</v>
      </c>
      <c r="N393" s="2" t="str" cm="1">
        <f t="array" ref="N393">_xlfn.IFS(Table1[[#This Row],[quality]]&lt;=4,"Low",Table1[[#This Row],[quality]]&lt;=6,"Medium",Table1[[#This Row],[quality]]&gt;=7,"High")</f>
        <v>Medium</v>
      </c>
      <c r="O393" s="2" t="str">
        <f>IF(AND(Table1[[#This Row],[fixed acidity]]&gt;Sheet1!$C$4,Table1[[#This Row],[pH]]&lt;Sheet1!$K$4),"High","Normal")</f>
        <v>High</v>
      </c>
      <c r="P393" s="1">
        <f>(Table1[[#This Row],[alcohol]]*2)+(Table1[[#This Row],[sulphates]]*1.5)-(Table1[[#This Row],[volatile acidity]]*2)</f>
        <v>20.37</v>
      </c>
      <c r="Q393" s="1">
        <f>RANK(Table1[[#This Row],[Quality_score_index]],Table1[Quality_score_index],0)</f>
        <v>775</v>
      </c>
      <c r="R393" s="1">
        <f>Table1[[#This Row],[total sulfur dioxide]]-Table1[[#This Row],[free sulfur dioxide]]</f>
        <v>26</v>
      </c>
      <c r="S393" s="1" t="str">
        <f>IF(AND(Table1[[#This Row],[pH]]&gt;=3.2,Table1[[#This Row],[alcohol]]&gt;=10),"White wine","Red wine")</f>
        <v>Red wine</v>
      </c>
    </row>
    <row r="394" spans="1:19" x14ac:dyDescent="0.3">
      <c r="A394" s="13">
        <v>393</v>
      </c>
      <c r="B394" s="1">
        <v>9.5</v>
      </c>
      <c r="C394" s="1">
        <v>0.37</v>
      </c>
      <c r="D394" s="1">
        <v>0.52</v>
      </c>
      <c r="E394" s="1">
        <v>2</v>
      </c>
      <c r="F394" s="1">
        <v>8.2000000000000003E-2</v>
      </c>
      <c r="G394" s="1">
        <v>6</v>
      </c>
      <c r="H394" s="1">
        <v>26</v>
      </c>
      <c r="I394" s="1">
        <v>0.998</v>
      </c>
      <c r="J394" s="1">
        <v>3.18</v>
      </c>
      <c r="K394" s="1">
        <v>0.51</v>
      </c>
      <c r="L394" s="1">
        <v>9.5</v>
      </c>
      <c r="M394" s="2">
        <v>5</v>
      </c>
      <c r="N394" s="2" t="str" cm="1">
        <f t="array" ref="N394">_xlfn.IFS(Table1[[#This Row],[quality]]&lt;=4,"Low",Table1[[#This Row],[quality]]&lt;=6,"Medium",Table1[[#This Row],[quality]]&gt;=7,"High")</f>
        <v>Medium</v>
      </c>
      <c r="O394" s="2" t="str">
        <f>IF(AND(Table1[[#This Row],[fixed acidity]]&gt;Sheet1!$C$4,Table1[[#This Row],[pH]]&lt;Sheet1!$K$4),"High","Normal")</f>
        <v>High</v>
      </c>
      <c r="P394" s="1">
        <f>(Table1[[#This Row],[alcohol]]*2)+(Table1[[#This Row],[sulphates]]*1.5)-(Table1[[#This Row],[volatile acidity]]*2)</f>
        <v>19.025000000000002</v>
      </c>
      <c r="Q394" s="1">
        <f>RANK(Table1[[#This Row],[Quality_score_index]],Table1[Quality_score_index],0)</f>
        <v>1155</v>
      </c>
      <c r="R394" s="1">
        <f>Table1[[#This Row],[total sulfur dioxide]]-Table1[[#This Row],[free sulfur dioxide]]</f>
        <v>20</v>
      </c>
      <c r="S394" s="1" t="str">
        <f>IF(AND(Table1[[#This Row],[pH]]&gt;=3.2,Table1[[#This Row],[alcohol]]&gt;=10),"White wine","Red wine")</f>
        <v>Red wine</v>
      </c>
    </row>
    <row r="395" spans="1:19" x14ac:dyDescent="0.3">
      <c r="A395" s="13">
        <v>394</v>
      </c>
      <c r="B395" s="1">
        <v>8.4</v>
      </c>
      <c r="C395" s="1">
        <v>0.66500000000000004</v>
      </c>
      <c r="D395" s="1">
        <v>0.61</v>
      </c>
      <c r="E395" s="1">
        <v>2</v>
      </c>
      <c r="F395" s="1">
        <v>0.112</v>
      </c>
      <c r="G395" s="1">
        <v>13</v>
      </c>
      <c r="H395" s="1">
        <v>95</v>
      </c>
      <c r="I395" s="1">
        <v>0.997</v>
      </c>
      <c r="J395" s="1">
        <v>3.16</v>
      </c>
      <c r="K395" s="1">
        <v>0.54</v>
      </c>
      <c r="L395" s="1">
        <v>9.1</v>
      </c>
      <c r="M395" s="2">
        <v>5</v>
      </c>
      <c r="N395" s="2" t="str" cm="1">
        <f t="array" ref="N395">_xlfn.IFS(Table1[[#This Row],[quality]]&lt;=4,"Low",Table1[[#This Row],[quality]]&lt;=6,"Medium",Table1[[#This Row],[quality]]&gt;=7,"High")</f>
        <v>Medium</v>
      </c>
      <c r="O395" s="2" t="str">
        <f>IF(AND(Table1[[#This Row],[fixed acidity]]&gt;Sheet1!$C$4,Table1[[#This Row],[pH]]&lt;Sheet1!$K$4),"High","Normal")</f>
        <v>High</v>
      </c>
      <c r="P395" s="1">
        <f>(Table1[[#This Row],[alcohol]]*2)+(Table1[[#This Row],[sulphates]]*1.5)-(Table1[[#This Row],[volatile acidity]]*2)</f>
        <v>17.68</v>
      </c>
      <c r="Q395" s="1">
        <f>RANK(Table1[[#This Row],[Quality_score_index]],Table1[Quality_score_index],0)</f>
        <v>1574</v>
      </c>
      <c r="R395" s="1">
        <f>Table1[[#This Row],[total sulfur dioxide]]-Table1[[#This Row],[free sulfur dioxide]]</f>
        <v>82</v>
      </c>
      <c r="S395" s="1" t="str">
        <f>IF(AND(Table1[[#This Row],[pH]]&gt;=3.2,Table1[[#This Row],[alcohol]]&gt;=10),"White wine","Red wine")</f>
        <v>Red wine</v>
      </c>
    </row>
    <row r="396" spans="1:19" x14ac:dyDescent="0.3">
      <c r="A396" s="13">
        <v>395</v>
      </c>
      <c r="B396" s="1">
        <v>12.7</v>
      </c>
      <c r="C396" s="1">
        <v>0.6</v>
      </c>
      <c r="D396" s="1">
        <v>0.65</v>
      </c>
      <c r="E396" s="1">
        <v>2.2999999999999998</v>
      </c>
      <c r="F396" s="1">
        <v>6.3E-2</v>
      </c>
      <c r="G396" s="1">
        <v>6</v>
      </c>
      <c r="H396" s="1">
        <v>25</v>
      </c>
      <c r="I396" s="1">
        <v>0.99970000000000003</v>
      </c>
      <c r="J396" s="1">
        <v>3.03</v>
      </c>
      <c r="K396" s="1">
        <v>0.56999999999999995</v>
      </c>
      <c r="L396" s="1">
        <v>9.9</v>
      </c>
      <c r="M396" s="2">
        <v>5</v>
      </c>
      <c r="N396" s="2" t="str" cm="1">
        <f t="array" ref="N396">_xlfn.IFS(Table1[[#This Row],[quality]]&lt;=4,"Low",Table1[[#This Row],[quality]]&lt;=6,"Medium",Table1[[#This Row],[quality]]&gt;=7,"High")</f>
        <v>Medium</v>
      </c>
      <c r="O396" s="2" t="str">
        <f>IF(AND(Table1[[#This Row],[fixed acidity]]&gt;Sheet1!$C$4,Table1[[#This Row],[pH]]&lt;Sheet1!$K$4),"High","Normal")</f>
        <v>High</v>
      </c>
      <c r="P396" s="1">
        <f>(Table1[[#This Row],[alcohol]]*2)+(Table1[[#This Row],[sulphates]]*1.5)-(Table1[[#This Row],[volatile acidity]]*2)</f>
        <v>19.455000000000002</v>
      </c>
      <c r="Q396" s="1">
        <f>RANK(Table1[[#This Row],[Quality_score_index]],Table1[Quality_score_index],0)</f>
        <v>993</v>
      </c>
      <c r="R396" s="1">
        <f>Table1[[#This Row],[total sulfur dioxide]]-Table1[[#This Row],[free sulfur dioxide]]</f>
        <v>19</v>
      </c>
      <c r="S396" s="1" t="str">
        <f>IF(AND(Table1[[#This Row],[pH]]&gt;=3.2,Table1[[#This Row],[alcohol]]&gt;=10),"White wine","Red wine")</f>
        <v>Red wine</v>
      </c>
    </row>
    <row r="397" spans="1:19" x14ac:dyDescent="0.3">
      <c r="A397" s="13">
        <v>396</v>
      </c>
      <c r="B397" s="1">
        <v>12</v>
      </c>
      <c r="C397" s="1">
        <v>0.37</v>
      </c>
      <c r="D397" s="1">
        <v>0.76</v>
      </c>
      <c r="E397" s="1">
        <v>4.2</v>
      </c>
      <c r="F397" s="1">
        <v>6.6000000000000003E-2</v>
      </c>
      <c r="G397" s="1">
        <v>7</v>
      </c>
      <c r="H397" s="1">
        <v>38</v>
      </c>
      <c r="I397" s="1">
        <v>1.0004</v>
      </c>
      <c r="J397" s="1">
        <v>3.22</v>
      </c>
      <c r="K397" s="1">
        <v>0.6</v>
      </c>
      <c r="L397" s="1">
        <v>13</v>
      </c>
      <c r="M397" s="2">
        <v>7</v>
      </c>
      <c r="N397" s="2" t="str" cm="1">
        <f t="array" ref="N397">_xlfn.IFS(Table1[[#This Row],[quality]]&lt;=4,"Low",Table1[[#This Row],[quality]]&lt;=6,"Medium",Table1[[#This Row],[quality]]&gt;=7,"High")</f>
        <v>High</v>
      </c>
      <c r="O397" s="2" t="str">
        <f>IF(AND(Table1[[#This Row],[fixed acidity]]&gt;Sheet1!$C$4,Table1[[#This Row],[pH]]&lt;Sheet1!$K$4),"High","Normal")</f>
        <v>High</v>
      </c>
      <c r="P397" s="1">
        <f>(Table1[[#This Row],[alcohol]]*2)+(Table1[[#This Row],[sulphates]]*1.5)-(Table1[[#This Row],[volatile acidity]]*2)</f>
        <v>26.16</v>
      </c>
      <c r="Q397" s="1">
        <f>RANK(Table1[[#This Row],[Quality_score_index]],Table1[Quality_score_index],0)</f>
        <v>24</v>
      </c>
      <c r="R397" s="1">
        <f>Table1[[#This Row],[total sulfur dioxide]]-Table1[[#This Row],[free sulfur dioxide]]</f>
        <v>31</v>
      </c>
      <c r="S397" s="1" t="str">
        <f>IF(AND(Table1[[#This Row],[pH]]&gt;=3.2,Table1[[#This Row],[alcohol]]&gt;=10),"White wine","Red wine")</f>
        <v>White wine</v>
      </c>
    </row>
    <row r="398" spans="1:19" x14ac:dyDescent="0.3">
      <c r="A398" s="13">
        <v>397</v>
      </c>
      <c r="B398" s="1">
        <v>6.6</v>
      </c>
      <c r="C398" s="1">
        <v>0.73499999999999999</v>
      </c>
      <c r="D398" s="1">
        <v>0.02</v>
      </c>
      <c r="E398" s="1">
        <v>7.9</v>
      </c>
      <c r="F398" s="1">
        <v>0.122</v>
      </c>
      <c r="G398" s="1">
        <v>68</v>
      </c>
      <c r="H398" s="1">
        <v>124</v>
      </c>
      <c r="I398" s="1">
        <v>0.99939999999999996</v>
      </c>
      <c r="J398" s="1">
        <v>3.47</v>
      </c>
      <c r="K398" s="1">
        <v>0.53</v>
      </c>
      <c r="L398" s="1">
        <v>9.9</v>
      </c>
      <c r="M398" s="2">
        <v>5</v>
      </c>
      <c r="N398" s="2" t="str" cm="1">
        <f t="array" ref="N398">_xlfn.IFS(Table1[[#This Row],[quality]]&lt;=4,"Low",Table1[[#This Row],[quality]]&lt;=6,"Medium",Table1[[#This Row],[quality]]&gt;=7,"High")</f>
        <v>Medium</v>
      </c>
      <c r="O398" s="2" t="str">
        <f>IF(AND(Table1[[#This Row],[fixed acidity]]&gt;Sheet1!$C$4,Table1[[#This Row],[pH]]&lt;Sheet1!$K$4),"High","Normal")</f>
        <v>Normal</v>
      </c>
      <c r="P398" s="1">
        <f>(Table1[[#This Row],[alcohol]]*2)+(Table1[[#This Row],[sulphates]]*1.5)-(Table1[[#This Row],[volatile acidity]]*2)</f>
        <v>19.125000000000004</v>
      </c>
      <c r="Q398" s="1">
        <f>RANK(Table1[[#This Row],[Quality_score_index]],Table1[Quality_score_index],0)</f>
        <v>1109</v>
      </c>
      <c r="R398" s="1">
        <f>Table1[[#This Row],[total sulfur dioxide]]-Table1[[#This Row],[free sulfur dioxide]]</f>
        <v>56</v>
      </c>
      <c r="S398" s="1" t="str">
        <f>IF(AND(Table1[[#This Row],[pH]]&gt;=3.2,Table1[[#This Row],[alcohol]]&gt;=10),"White wine","Red wine")</f>
        <v>Red wine</v>
      </c>
    </row>
    <row r="399" spans="1:19" x14ac:dyDescent="0.3">
      <c r="A399" s="13">
        <v>398</v>
      </c>
      <c r="B399" s="1">
        <v>11.5</v>
      </c>
      <c r="C399" s="1">
        <v>0.59</v>
      </c>
      <c r="D399" s="1">
        <v>0.59</v>
      </c>
      <c r="E399" s="1">
        <v>2.6</v>
      </c>
      <c r="F399" s="1">
        <v>8.6999999999999994E-2</v>
      </c>
      <c r="G399" s="1">
        <v>13</v>
      </c>
      <c r="H399" s="1">
        <v>49</v>
      </c>
      <c r="I399" s="1">
        <v>0.99880000000000002</v>
      </c>
      <c r="J399" s="1">
        <v>3.18</v>
      </c>
      <c r="K399" s="1">
        <v>0.65</v>
      </c>
      <c r="L399" s="1">
        <v>11</v>
      </c>
      <c r="M399" s="2">
        <v>6</v>
      </c>
      <c r="N399" s="2" t="str" cm="1">
        <f t="array" ref="N399">_xlfn.IFS(Table1[[#This Row],[quality]]&lt;=4,"Low",Table1[[#This Row],[quality]]&lt;=6,"Medium",Table1[[#This Row],[quality]]&gt;=7,"High")</f>
        <v>Medium</v>
      </c>
      <c r="O399" s="2" t="str">
        <f>IF(AND(Table1[[#This Row],[fixed acidity]]&gt;Sheet1!$C$4,Table1[[#This Row],[pH]]&lt;Sheet1!$K$4),"High","Normal")</f>
        <v>High</v>
      </c>
      <c r="P399" s="1">
        <f>(Table1[[#This Row],[alcohol]]*2)+(Table1[[#This Row],[sulphates]]*1.5)-(Table1[[#This Row],[volatile acidity]]*2)</f>
        <v>21.795000000000002</v>
      </c>
      <c r="Q399" s="1">
        <f>RANK(Table1[[#This Row],[Quality_score_index]],Table1[Quality_score_index],0)</f>
        <v>482</v>
      </c>
      <c r="R399" s="1">
        <f>Table1[[#This Row],[total sulfur dioxide]]-Table1[[#This Row],[free sulfur dioxide]]</f>
        <v>36</v>
      </c>
      <c r="S399" s="1" t="str">
        <f>IF(AND(Table1[[#This Row],[pH]]&gt;=3.2,Table1[[#This Row],[alcohol]]&gt;=10),"White wine","Red wine")</f>
        <v>Red wine</v>
      </c>
    </row>
    <row r="400" spans="1:19" x14ac:dyDescent="0.3">
      <c r="A400" s="13">
        <v>399</v>
      </c>
      <c r="B400" s="1">
        <v>11.5</v>
      </c>
      <c r="C400" s="1">
        <v>0.59</v>
      </c>
      <c r="D400" s="1">
        <v>0.59</v>
      </c>
      <c r="E400" s="1">
        <v>2.6</v>
      </c>
      <c r="F400" s="1">
        <v>8.6999999999999994E-2</v>
      </c>
      <c r="G400" s="1">
        <v>13</v>
      </c>
      <c r="H400" s="1">
        <v>49</v>
      </c>
      <c r="I400" s="1">
        <v>0.99880000000000002</v>
      </c>
      <c r="J400" s="1">
        <v>3.18</v>
      </c>
      <c r="K400" s="1">
        <v>0.65</v>
      </c>
      <c r="L400" s="1">
        <v>11</v>
      </c>
      <c r="M400" s="2">
        <v>6</v>
      </c>
      <c r="N400" s="2" t="str" cm="1">
        <f t="array" ref="N400">_xlfn.IFS(Table1[[#This Row],[quality]]&lt;=4,"Low",Table1[[#This Row],[quality]]&lt;=6,"Medium",Table1[[#This Row],[quality]]&gt;=7,"High")</f>
        <v>Medium</v>
      </c>
      <c r="O400" s="2" t="str">
        <f>IF(AND(Table1[[#This Row],[fixed acidity]]&gt;Sheet1!$C$4,Table1[[#This Row],[pH]]&lt;Sheet1!$K$4),"High","Normal")</f>
        <v>High</v>
      </c>
      <c r="P400" s="1">
        <f>(Table1[[#This Row],[alcohol]]*2)+(Table1[[#This Row],[sulphates]]*1.5)-(Table1[[#This Row],[volatile acidity]]*2)</f>
        <v>21.795000000000002</v>
      </c>
      <c r="Q400" s="1">
        <f>RANK(Table1[[#This Row],[Quality_score_index]],Table1[Quality_score_index],0)</f>
        <v>482</v>
      </c>
      <c r="R400" s="1">
        <f>Table1[[#This Row],[total sulfur dioxide]]-Table1[[#This Row],[free sulfur dioxide]]</f>
        <v>36</v>
      </c>
      <c r="S400" s="1" t="str">
        <f>IF(AND(Table1[[#This Row],[pH]]&gt;=3.2,Table1[[#This Row],[alcohol]]&gt;=10),"White wine","Red wine")</f>
        <v>Red wine</v>
      </c>
    </row>
    <row r="401" spans="1:19" x14ac:dyDescent="0.3">
      <c r="A401" s="13">
        <v>400</v>
      </c>
      <c r="B401" s="1">
        <v>8.6999999999999993</v>
      </c>
      <c r="C401" s="1">
        <v>0.76500000000000001</v>
      </c>
      <c r="D401" s="1">
        <v>0.22</v>
      </c>
      <c r="E401" s="1">
        <v>2.2999999999999998</v>
      </c>
      <c r="F401" s="1">
        <v>6.4000000000000001E-2</v>
      </c>
      <c r="G401" s="1">
        <v>9</v>
      </c>
      <c r="H401" s="1">
        <v>42</v>
      </c>
      <c r="I401" s="1">
        <v>0.99629999999999996</v>
      </c>
      <c r="J401" s="1">
        <v>3.1</v>
      </c>
      <c r="K401" s="1">
        <v>0.55000000000000004</v>
      </c>
      <c r="L401" s="1">
        <v>9.4</v>
      </c>
      <c r="M401" s="2">
        <v>5</v>
      </c>
      <c r="N401" s="2" t="str" cm="1">
        <f t="array" ref="N401">_xlfn.IFS(Table1[[#This Row],[quality]]&lt;=4,"Low",Table1[[#This Row],[quality]]&lt;=6,"Medium",Table1[[#This Row],[quality]]&gt;=7,"High")</f>
        <v>Medium</v>
      </c>
      <c r="O401" s="2" t="str">
        <f>IF(AND(Table1[[#This Row],[fixed acidity]]&gt;Sheet1!$C$4,Table1[[#This Row],[pH]]&lt;Sheet1!$K$4),"High","Normal")</f>
        <v>High</v>
      </c>
      <c r="P401" s="1">
        <f>(Table1[[#This Row],[alcohol]]*2)+(Table1[[#This Row],[sulphates]]*1.5)-(Table1[[#This Row],[volatile acidity]]*2)</f>
        <v>18.094999999999999</v>
      </c>
      <c r="Q401" s="1">
        <f>RANK(Table1[[#This Row],[Quality_score_index]],Table1[Quality_score_index],0)</f>
        <v>1501</v>
      </c>
      <c r="R401" s="1">
        <f>Table1[[#This Row],[total sulfur dioxide]]-Table1[[#This Row],[free sulfur dioxide]]</f>
        <v>33</v>
      </c>
      <c r="S401" s="1" t="str">
        <f>IF(AND(Table1[[#This Row],[pH]]&gt;=3.2,Table1[[#This Row],[alcohol]]&gt;=10),"White wine","Red wine")</f>
        <v>Red wine</v>
      </c>
    </row>
    <row r="402" spans="1:19" x14ac:dyDescent="0.3">
      <c r="A402" s="13">
        <v>401</v>
      </c>
      <c r="B402" s="1">
        <v>6.6</v>
      </c>
      <c r="C402" s="1">
        <v>0.73499999999999999</v>
      </c>
      <c r="D402" s="1">
        <v>0.02</v>
      </c>
      <c r="E402" s="1">
        <v>7.9</v>
      </c>
      <c r="F402" s="1">
        <v>0.122</v>
      </c>
      <c r="G402" s="1">
        <v>68</v>
      </c>
      <c r="H402" s="1">
        <v>124</v>
      </c>
      <c r="I402" s="1">
        <v>0.99939999999999996</v>
      </c>
      <c r="J402" s="1">
        <v>3.47</v>
      </c>
      <c r="K402" s="1">
        <v>0.53</v>
      </c>
      <c r="L402" s="1">
        <v>9.9</v>
      </c>
      <c r="M402" s="2">
        <v>5</v>
      </c>
      <c r="N402" s="2" t="str" cm="1">
        <f t="array" ref="N402">_xlfn.IFS(Table1[[#This Row],[quality]]&lt;=4,"Low",Table1[[#This Row],[quality]]&lt;=6,"Medium",Table1[[#This Row],[quality]]&gt;=7,"High")</f>
        <v>Medium</v>
      </c>
      <c r="O402" s="2" t="str">
        <f>IF(AND(Table1[[#This Row],[fixed acidity]]&gt;Sheet1!$C$4,Table1[[#This Row],[pH]]&lt;Sheet1!$K$4),"High","Normal")</f>
        <v>Normal</v>
      </c>
      <c r="P402" s="1">
        <f>(Table1[[#This Row],[alcohol]]*2)+(Table1[[#This Row],[sulphates]]*1.5)-(Table1[[#This Row],[volatile acidity]]*2)</f>
        <v>19.125000000000004</v>
      </c>
      <c r="Q402" s="1">
        <f>RANK(Table1[[#This Row],[Quality_score_index]],Table1[Quality_score_index],0)</f>
        <v>1109</v>
      </c>
      <c r="R402" s="1">
        <f>Table1[[#This Row],[total sulfur dioxide]]-Table1[[#This Row],[free sulfur dioxide]]</f>
        <v>56</v>
      </c>
      <c r="S402" s="1" t="str">
        <f>IF(AND(Table1[[#This Row],[pH]]&gt;=3.2,Table1[[#This Row],[alcohol]]&gt;=10),"White wine","Red wine")</f>
        <v>Red wine</v>
      </c>
    </row>
    <row r="403" spans="1:19" x14ac:dyDescent="0.3">
      <c r="A403" s="13">
        <v>402</v>
      </c>
      <c r="B403" s="1">
        <v>7.7</v>
      </c>
      <c r="C403" s="1">
        <v>0.26</v>
      </c>
      <c r="D403" s="1">
        <v>0.3</v>
      </c>
      <c r="E403" s="1">
        <v>1.7</v>
      </c>
      <c r="F403" s="1">
        <v>5.8999999999999997E-2</v>
      </c>
      <c r="G403" s="1">
        <v>20</v>
      </c>
      <c r="H403" s="1">
        <v>38</v>
      </c>
      <c r="I403" s="1">
        <v>0.99490000000000001</v>
      </c>
      <c r="J403" s="1">
        <v>3.29</v>
      </c>
      <c r="K403" s="1">
        <v>0.47</v>
      </c>
      <c r="L403" s="1">
        <v>10.8</v>
      </c>
      <c r="M403" s="2">
        <v>6</v>
      </c>
      <c r="N403" s="2" t="str" cm="1">
        <f t="array" ref="N403">_xlfn.IFS(Table1[[#This Row],[quality]]&lt;=4,"Low",Table1[[#This Row],[quality]]&lt;=6,"Medium",Table1[[#This Row],[quality]]&gt;=7,"High")</f>
        <v>Medium</v>
      </c>
      <c r="O403" s="2" t="str">
        <f>IF(AND(Table1[[#This Row],[fixed acidity]]&gt;Sheet1!$C$4,Table1[[#This Row],[pH]]&lt;Sheet1!$K$4),"High","Normal")</f>
        <v>Normal</v>
      </c>
      <c r="P403" s="1">
        <f>(Table1[[#This Row],[alcohol]]*2)+(Table1[[#This Row],[sulphates]]*1.5)-(Table1[[#This Row],[volatile acidity]]*2)</f>
        <v>21.785</v>
      </c>
      <c r="Q403" s="1">
        <f>RANK(Table1[[#This Row],[Quality_score_index]],Table1[Quality_score_index],0)</f>
        <v>484</v>
      </c>
      <c r="R403" s="1">
        <f>Table1[[#This Row],[total sulfur dioxide]]-Table1[[#This Row],[free sulfur dioxide]]</f>
        <v>18</v>
      </c>
      <c r="S403" s="1" t="str">
        <f>IF(AND(Table1[[#This Row],[pH]]&gt;=3.2,Table1[[#This Row],[alcohol]]&gt;=10),"White wine","Red wine")</f>
        <v>White wine</v>
      </c>
    </row>
    <row r="404" spans="1:19" x14ac:dyDescent="0.3">
      <c r="A404" s="13">
        <v>403</v>
      </c>
      <c r="B404" s="1">
        <v>12.2</v>
      </c>
      <c r="C404" s="1">
        <v>0.48</v>
      </c>
      <c r="D404" s="1">
        <v>0.54</v>
      </c>
      <c r="E404" s="1">
        <v>2.6</v>
      </c>
      <c r="F404" s="1">
        <v>8.5000000000000006E-2</v>
      </c>
      <c r="G404" s="1">
        <v>19</v>
      </c>
      <c r="H404" s="1">
        <v>64</v>
      </c>
      <c r="I404" s="1">
        <v>1</v>
      </c>
      <c r="J404" s="1">
        <v>3.1</v>
      </c>
      <c r="K404" s="1">
        <v>0.61</v>
      </c>
      <c r="L404" s="1">
        <v>10.5</v>
      </c>
      <c r="M404" s="2">
        <v>6</v>
      </c>
      <c r="N404" s="2" t="str" cm="1">
        <f t="array" ref="N404">_xlfn.IFS(Table1[[#This Row],[quality]]&lt;=4,"Low",Table1[[#This Row],[quality]]&lt;=6,"Medium",Table1[[#This Row],[quality]]&gt;=7,"High")</f>
        <v>Medium</v>
      </c>
      <c r="O404" s="2" t="str">
        <f>IF(AND(Table1[[#This Row],[fixed acidity]]&gt;Sheet1!$C$4,Table1[[#This Row],[pH]]&lt;Sheet1!$K$4),"High","Normal")</f>
        <v>High</v>
      </c>
      <c r="P404" s="1">
        <f>(Table1[[#This Row],[alcohol]]*2)+(Table1[[#This Row],[sulphates]]*1.5)-(Table1[[#This Row],[volatile acidity]]*2)</f>
        <v>20.954999999999998</v>
      </c>
      <c r="Q404" s="1">
        <f>RANK(Table1[[#This Row],[Quality_score_index]],Table1[Quality_score_index],0)</f>
        <v>659</v>
      </c>
      <c r="R404" s="1">
        <f>Table1[[#This Row],[total sulfur dioxide]]-Table1[[#This Row],[free sulfur dioxide]]</f>
        <v>45</v>
      </c>
      <c r="S404" s="1" t="str">
        <f>IF(AND(Table1[[#This Row],[pH]]&gt;=3.2,Table1[[#This Row],[alcohol]]&gt;=10),"White wine","Red wine")</f>
        <v>Red wine</v>
      </c>
    </row>
    <row r="405" spans="1:19" x14ac:dyDescent="0.3">
      <c r="A405" s="13">
        <v>404</v>
      </c>
      <c r="B405" s="1">
        <v>11.4</v>
      </c>
      <c r="C405" s="1">
        <v>0.6</v>
      </c>
      <c r="D405" s="1">
        <v>0.49</v>
      </c>
      <c r="E405" s="1">
        <v>2.7</v>
      </c>
      <c r="F405" s="1">
        <v>8.5000000000000006E-2</v>
      </c>
      <c r="G405" s="1">
        <v>10</v>
      </c>
      <c r="H405" s="1">
        <v>41</v>
      </c>
      <c r="I405" s="1">
        <v>0.99939999999999996</v>
      </c>
      <c r="J405" s="1">
        <v>3.15</v>
      </c>
      <c r="K405" s="1">
        <v>0.63</v>
      </c>
      <c r="L405" s="1">
        <v>10.5</v>
      </c>
      <c r="M405" s="2">
        <v>6</v>
      </c>
      <c r="N405" s="2" t="str" cm="1">
        <f t="array" ref="N405">_xlfn.IFS(Table1[[#This Row],[quality]]&lt;=4,"Low",Table1[[#This Row],[quality]]&lt;=6,"Medium",Table1[[#This Row],[quality]]&gt;=7,"High")</f>
        <v>Medium</v>
      </c>
      <c r="O405" s="2" t="str">
        <f>IF(AND(Table1[[#This Row],[fixed acidity]]&gt;Sheet1!$C$4,Table1[[#This Row],[pH]]&lt;Sheet1!$K$4),"High","Normal")</f>
        <v>High</v>
      </c>
      <c r="P405" s="1">
        <f>(Table1[[#This Row],[alcohol]]*2)+(Table1[[#This Row],[sulphates]]*1.5)-(Table1[[#This Row],[volatile acidity]]*2)</f>
        <v>20.745000000000001</v>
      </c>
      <c r="Q405" s="1">
        <f>RANK(Table1[[#This Row],[Quality_score_index]],Table1[Quality_score_index],0)</f>
        <v>716</v>
      </c>
      <c r="R405" s="1">
        <f>Table1[[#This Row],[total sulfur dioxide]]-Table1[[#This Row],[free sulfur dioxide]]</f>
        <v>31</v>
      </c>
      <c r="S405" s="1" t="str">
        <f>IF(AND(Table1[[#This Row],[pH]]&gt;=3.2,Table1[[#This Row],[alcohol]]&gt;=10),"White wine","Red wine")</f>
        <v>Red wine</v>
      </c>
    </row>
    <row r="406" spans="1:19" x14ac:dyDescent="0.3">
      <c r="A406" s="13">
        <v>405</v>
      </c>
      <c r="B406" s="1">
        <v>7.7</v>
      </c>
      <c r="C406" s="1">
        <v>0.69</v>
      </c>
      <c r="D406" s="1">
        <v>0.05</v>
      </c>
      <c r="E406" s="1">
        <v>2.7</v>
      </c>
      <c r="F406" s="1">
        <v>7.4999999999999997E-2</v>
      </c>
      <c r="G406" s="1">
        <v>15</v>
      </c>
      <c r="H406" s="1">
        <v>27</v>
      </c>
      <c r="I406" s="1">
        <v>0.99739999999999995</v>
      </c>
      <c r="J406" s="1">
        <v>3.26</v>
      </c>
      <c r="K406" s="1">
        <v>0.61</v>
      </c>
      <c r="L406" s="1">
        <v>9.1</v>
      </c>
      <c r="M406" s="2">
        <v>5</v>
      </c>
      <c r="N406" s="2" t="str" cm="1">
        <f t="array" ref="N406">_xlfn.IFS(Table1[[#This Row],[quality]]&lt;=4,"Low",Table1[[#This Row],[quality]]&lt;=6,"Medium",Table1[[#This Row],[quality]]&gt;=7,"High")</f>
        <v>Medium</v>
      </c>
      <c r="O406" s="2" t="str">
        <f>IF(AND(Table1[[#This Row],[fixed acidity]]&gt;Sheet1!$C$4,Table1[[#This Row],[pH]]&lt;Sheet1!$K$4),"High","Normal")</f>
        <v>Normal</v>
      </c>
      <c r="P406" s="1">
        <f>(Table1[[#This Row],[alcohol]]*2)+(Table1[[#This Row],[sulphates]]*1.5)-(Table1[[#This Row],[volatile acidity]]*2)</f>
        <v>17.734999999999999</v>
      </c>
      <c r="Q406" s="1">
        <f>RANK(Table1[[#This Row],[Quality_score_index]],Table1[Quality_score_index],0)</f>
        <v>1564</v>
      </c>
      <c r="R406" s="1">
        <f>Table1[[#This Row],[total sulfur dioxide]]-Table1[[#This Row],[free sulfur dioxide]]</f>
        <v>12</v>
      </c>
      <c r="S406" s="1" t="str">
        <f>IF(AND(Table1[[#This Row],[pH]]&gt;=3.2,Table1[[#This Row],[alcohol]]&gt;=10),"White wine","Red wine")</f>
        <v>Red wine</v>
      </c>
    </row>
    <row r="407" spans="1:19" x14ac:dyDescent="0.3">
      <c r="A407" s="13">
        <v>406</v>
      </c>
      <c r="B407" s="1">
        <v>8.6999999999999993</v>
      </c>
      <c r="C407" s="1">
        <v>0.31</v>
      </c>
      <c r="D407" s="1">
        <v>0.46</v>
      </c>
      <c r="E407" s="1">
        <v>1.4</v>
      </c>
      <c r="F407" s="1">
        <v>5.8999999999999997E-2</v>
      </c>
      <c r="G407" s="1">
        <v>11</v>
      </c>
      <c r="H407" s="1">
        <v>25</v>
      </c>
      <c r="I407" s="1">
        <v>0.99660000000000004</v>
      </c>
      <c r="J407" s="1">
        <v>3.36</v>
      </c>
      <c r="K407" s="1">
        <v>0.76</v>
      </c>
      <c r="L407" s="1">
        <v>10.1</v>
      </c>
      <c r="M407" s="2">
        <v>6</v>
      </c>
      <c r="N407" s="2" t="str" cm="1">
        <f t="array" ref="N407">_xlfn.IFS(Table1[[#This Row],[quality]]&lt;=4,"Low",Table1[[#This Row],[quality]]&lt;=6,"Medium",Table1[[#This Row],[quality]]&gt;=7,"High")</f>
        <v>Medium</v>
      </c>
      <c r="O407" s="2" t="str">
        <f>IF(AND(Table1[[#This Row],[fixed acidity]]&gt;Sheet1!$C$4,Table1[[#This Row],[pH]]&lt;Sheet1!$K$4),"High","Normal")</f>
        <v>Normal</v>
      </c>
      <c r="P407" s="1">
        <f>(Table1[[#This Row],[alcohol]]*2)+(Table1[[#This Row],[sulphates]]*1.5)-(Table1[[#This Row],[volatile acidity]]*2)</f>
        <v>20.72</v>
      </c>
      <c r="Q407" s="1">
        <f>RANK(Table1[[#This Row],[Quality_score_index]],Table1[Quality_score_index],0)</f>
        <v>721</v>
      </c>
      <c r="R407" s="1">
        <f>Table1[[#This Row],[total sulfur dioxide]]-Table1[[#This Row],[free sulfur dioxide]]</f>
        <v>14</v>
      </c>
      <c r="S407" s="1" t="str">
        <f>IF(AND(Table1[[#This Row],[pH]]&gt;=3.2,Table1[[#This Row],[alcohol]]&gt;=10),"White wine","Red wine")</f>
        <v>White wine</v>
      </c>
    </row>
    <row r="408" spans="1:19" x14ac:dyDescent="0.3">
      <c r="A408" s="13">
        <v>407</v>
      </c>
      <c r="B408" s="1">
        <v>9.8000000000000007</v>
      </c>
      <c r="C408" s="1">
        <v>0.44</v>
      </c>
      <c r="D408" s="1">
        <v>0.47</v>
      </c>
      <c r="E408" s="1">
        <v>2.5</v>
      </c>
      <c r="F408" s="1">
        <v>6.3E-2</v>
      </c>
      <c r="G408" s="1">
        <v>9</v>
      </c>
      <c r="H408" s="1">
        <v>28</v>
      </c>
      <c r="I408" s="1">
        <v>0.99809999999999999</v>
      </c>
      <c r="J408" s="1">
        <v>3.24</v>
      </c>
      <c r="K408" s="1">
        <v>0.65</v>
      </c>
      <c r="L408" s="1">
        <v>10.8</v>
      </c>
      <c r="M408" s="2">
        <v>6</v>
      </c>
      <c r="N408" s="2" t="str" cm="1">
        <f t="array" ref="N408">_xlfn.IFS(Table1[[#This Row],[quality]]&lt;=4,"Low",Table1[[#This Row],[quality]]&lt;=6,"Medium",Table1[[#This Row],[quality]]&gt;=7,"High")</f>
        <v>Medium</v>
      </c>
      <c r="O408" s="2" t="str">
        <f>IF(AND(Table1[[#This Row],[fixed acidity]]&gt;Sheet1!$C$4,Table1[[#This Row],[pH]]&lt;Sheet1!$K$4),"High","Normal")</f>
        <v>High</v>
      </c>
      <c r="P408" s="1">
        <f>(Table1[[#This Row],[alcohol]]*2)+(Table1[[#This Row],[sulphates]]*1.5)-(Table1[[#This Row],[volatile acidity]]*2)</f>
        <v>21.695000000000004</v>
      </c>
      <c r="Q408" s="1">
        <f>RANK(Table1[[#This Row],[Quality_score_index]],Table1[Quality_score_index],0)</f>
        <v>505</v>
      </c>
      <c r="R408" s="1">
        <f>Table1[[#This Row],[total sulfur dioxide]]-Table1[[#This Row],[free sulfur dioxide]]</f>
        <v>19</v>
      </c>
      <c r="S408" s="1" t="str">
        <f>IF(AND(Table1[[#This Row],[pH]]&gt;=3.2,Table1[[#This Row],[alcohol]]&gt;=10),"White wine","Red wine")</f>
        <v>White wine</v>
      </c>
    </row>
    <row r="409" spans="1:19" x14ac:dyDescent="0.3">
      <c r="A409" s="13">
        <v>408</v>
      </c>
      <c r="B409" s="1">
        <v>12</v>
      </c>
      <c r="C409" s="1">
        <v>0.39</v>
      </c>
      <c r="D409" s="1">
        <v>0.66</v>
      </c>
      <c r="E409" s="1">
        <v>3</v>
      </c>
      <c r="F409" s="1">
        <v>9.2999999999999999E-2</v>
      </c>
      <c r="G409" s="1">
        <v>12</v>
      </c>
      <c r="H409" s="1">
        <v>30</v>
      </c>
      <c r="I409" s="1">
        <v>0.99960000000000004</v>
      </c>
      <c r="J409" s="1">
        <v>3.18</v>
      </c>
      <c r="K409" s="1">
        <v>0.63</v>
      </c>
      <c r="L409" s="1">
        <v>10.8</v>
      </c>
      <c r="M409" s="2">
        <v>7</v>
      </c>
      <c r="N409" s="2" t="str" cm="1">
        <f t="array" ref="N409">_xlfn.IFS(Table1[[#This Row],[quality]]&lt;=4,"Low",Table1[[#This Row],[quality]]&lt;=6,"Medium",Table1[[#This Row],[quality]]&gt;=7,"High")</f>
        <v>High</v>
      </c>
      <c r="O409" s="2" t="str">
        <f>IF(AND(Table1[[#This Row],[fixed acidity]]&gt;Sheet1!$C$4,Table1[[#This Row],[pH]]&lt;Sheet1!$K$4),"High","Normal")</f>
        <v>High</v>
      </c>
      <c r="P409" s="1">
        <f>(Table1[[#This Row],[alcohol]]*2)+(Table1[[#This Row],[sulphates]]*1.5)-(Table1[[#This Row],[volatile acidity]]*2)</f>
        <v>21.765000000000001</v>
      </c>
      <c r="Q409" s="1">
        <f>RANK(Table1[[#This Row],[Quality_score_index]],Table1[Quality_score_index],0)</f>
        <v>492</v>
      </c>
      <c r="R409" s="1">
        <f>Table1[[#This Row],[total sulfur dioxide]]-Table1[[#This Row],[free sulfur dioxide]]</f>
        <v>18</v>
      </c>
      <c r="S409" s="1" t="str">
        <f>IF(AND(Table1[[#This Row],[pH]]&gt;=3.2,Table1[[#This Row],[alcohol]]&gt;=10),"White wine","Red wine")</f>
        <v>Red wine</v>
      </c>
    </row>
    <row r="410" spans="1:19" x14ac:dyDescent="0.3">
      <c r="A410" s="13">
        <v>409</v>
      </c>
      <c r="B410" s="1">
        <v>10.4</v>
      </c>
      <c r="C410" s="1">
        <v>0.34</v>
      </c>
      <c r="D410" s="1">
        <v>0.57999999999999996</v>
      </c>
      <c r="E410" s="1">
        <v>3.7</v>
      </c>
      <c r="F410" s="1">
        <v>0.17399999999999999</v>
      </c>
      <c r="G410" s="1">
        <v>6</v>
      </c>
      <c r="H410" s="1">
        <v>16</v>
      </c>
      <c r="I410" s="1">
        <v>0.997</v>
      </c>
      <c r="J410" s="1">
        <v>3.19</v>
      </c>
      <c r="K410" s="1">
        <v>0.7</v>
      </c>
      <c r="L410" s="1">
        <v>11.3</v>
      </c>
      <c r="M410" s="2">
        <v>6</v>
      </c>
      <c r="N410" s="2" t="str" cm="1">
        <f t="array" ref="N410">_xlfn.IFS(Table1[[#This Row],[quality]]&lt;=4,"Low",Table1[[#This Row],[quality]]&lt;=6,"Medium",Table1[[#This Row],[quality]]&gt;=7,"High")</f>
        <v>Medium</v>
      </c>
      <c r="O410" s="2" t="str">
        <f>IF(AND(Table1[[#This Row],[fixed acidity]]&gt;Sheet1!$C$4,Table1[[#This Row],[pH]]&lt;Sheet1!$K$4),"High","Normal")</f>
        <v>High</v>
      </c>
      <c r="P410" s="1">
        <f>(Table1[[#This Row],[alcohol]]*2)+(Table1[[#This Row],[sulphates]]*1.5)-(Table1[[#This Row],[volatile acidity]]*2)</f>
        <v>22.970000000000002</v>
      </c>
      <c r="Q410" s="1">
        <f>RANK(Table1[[#This Row],[Quality_score_index]],Table1[Quality_score_index],0)</f>
        <v>277</v>
      </c>
      <c r="R410" s="1">
        <f>Table1[[#This Row],[total sulfur dioxide]]-Table1[[#This Row],[free sulfur dioxide]]</f>
        <v>10</v>
      </c>
      <c r="S410" s="1" t="str">
        <f>IF(AND(Table1[[#This Row],[pH]]&gt;=3.2,Table1[[#This Row],[alcohol]]&gt;=10),"White wine","Red wine")</f>
        <v>Red wine</v>
      </c>
    </row>
    <row r="411" spans="1:19" x14ac:dyDescent="0.3">
      <c r="A411" s="13">
        <v>410</v>
      </c>
      <c r="B411" s="1">
        <v>12.5</v>
      </c>
      <c r="C411" s="1">
        <v>0.46</v>
      </c>
      <c r="D411" s="1">
        <v>0.49</v>
      </c>
      <c r="E411" s="1">
        <v>4.5</v>
      </c>
      <c r="F411" s="1">
        <v>7.0000000000000007E-2</v>
      </c>
      <c r="G411" s="1">
        <v>26</v>
      </c>
      <c r="H411" s="1">
        <v>49</v>
      </c>
      <c r="I411" s="1">
        <v>0.99809999999999999</v>
      </c>
      <c r="J411" s="1">
        <v>3.05</v>
      </c>
      <c r="K411" s="1">
        <v>0.56999999999999995</v>
      </c>
      <c r="L411" s="1">
        <v>9.6</v>
      </c>
      <c r="M411" s="2">
        <v>4</v>
      </c>
      <c r="N411" s="2" t="str" cm="1">
        <f t="array" ref="N411">_xlfn.IFS(Table1[[#This Row],[quality]]&lt;=4,"Low",Table1[[#This Row],[quality]]&lt;=6,"Medium",Table1[[#This Row],[quality]]&gt;=7,"High")</f>
        <v>Low</v>
      </c>
      <c r="O411" s="2" t="str">
        <f>IF(AND(Table1[[#This Row],[fixed acidity]]&gt;Sheet1!$C$4,Table1[[#This Row],[pH]]&lt;Sheet1!$K$4),"High","Normal")</f>
        <v>High</v>
      </c>
      <c r="P411" s="1">
        <f>(Table1[[#This Row],[alcohol]]*2)+(Table1[[#This Row],[sulphates]]*1.5)-(Table1[[#This Row],[volatile acidity]]*2)</f>
        <v>19.134999999999998</v>
      </c>
      <c r="Q411" s="1">
        <f>RANK(Table1[[#This Row],[Quality_score_index]],Table1[Quality_score_index],0)</f>
        <v>1108</v>
      </c>
      <c r="R411" s="1">
        <f>Table1[[#This Row],[total sulfur dioxide]]-Table1[[#This Row],[free sulfur dioxide]]</f>
        <v>23</v>
      </c>
      <c r="S411" s="1" t="str">
        <f>IF(AND(Table1[[#This Row],[pH]]&gt;=3.2,Table1[[#This Row],[alcohol]]&gt;=10),"White wine","Red wine")</f>
        <v>Red wine</v>
      </c>
    </row>
    <row r="412" spans="1:19" x14ac:dyDescent="0.3">
      <c r="A412" s="13">
        <v>411</v>
      </c>
      <c r="B412" s="1">
        <v>9</v>
      </c>
      <c r="C412" s="1">
        <v>0.43</v>
      </c>
      <c r="D412" s="1">
        <v>0.34</v>
      </c>
      <c r="E412" s="1">
        <v>2.5</v>
      </c>
      <c r="F412" s="1">
        <v>0.08</v>
      </c>
      <c r="G412" s="1">
        <v>26</v>
      </c>
      <c r="H412" s="1">
        <v>86</v>
      </c>
      <c r="I412" s="1">
        <v>0.99870000000000003</v>
      </c>
      <c r="J412" s="1">
        <v>3.38</v>
      </c>
      <c r="K412" s="1">
        <v>0.62</v>
      </c>
      <c r="L412" s="1">
        <v>9.5</v>
      </c>
      <c r="M412" s="2">
        <v>6</v>
      </c>
      <c r="N412" s="2" t="str" cm="1">
        <f t="array" ref="N412">_xlfn.IFS(Table1[[#This Row],[quality]]&lt;=4,"Low",Table1[[#This Row],[quality]]&lt;=6,"Medium",Table1[[#This Row],[quality]]&gt;=7,"High")</f>
        <v>Medium</v>
      </c>
      <c r="O412" s="2" t="str">
        <f>IF(AND(Table1[[#This Row],[fixed acidity]]&gt;Sheet1!$C$4,Table1[[#This Row],[pH]]&lt;Sheet1!$K$4),"High","Normal")</f>
        <v>Normal</v>
      </c>
      <c r="P412" s="1">
        <f>(Table1[[#This Row],[alcohol]]*2)+(Table1[[#This Row],[sulphates]]*1.5)-(Table1[[#This Row],[volatile acidity]]*2)</f>
        <v>19.07</v>
      </c>
      <c r="Q412" s="1">
        <f>RANK(Table1[[#This Row],[Quality_score_index]],Table1[Quality_score_index],0)</f>
        <v>1137</v>
      </c>
      <c r="R412" s="1">
        <f>Table1[[#This Row],[total sulfur dioxide]]-Table1[[#This Row],[free sulfur dioxide]]</f>
        <v>60</v>
      </c>
      <c r="S412" s="1" t="str">
        <f>IF(AND(Table1[[#This Row],[pH]]&gt;=3.2,Table1[[#This Row],[alcohol]]&gt;=10),"White wine","Red wine")</f>
        <v>Red wine</v>
      </c>
    </row>
    <row r="413" spans="1:19" x14ac:dyDescent="0.3">
      <c r="A413" s="13">
        <v>412</v>
      </c>
      <c r="B413" s="1">
        <v>9.1</v>
      </c>
      <c r="C413" s="1">
        <v>0.45</v>
      </c>
      <c r="D413" s="1">
        <v>0.35</v>
      </c>
      <c r="E413" s="1">
        <v>2.4</v>
      </c>
      <c r="F413" s="1">
        <v>0.08</v>
      </c>
      <c r="G413" s="1">
        <v>23</v>
      </c>
      <c r="H413" s="1">
        <v>78</v>
      </c>
      <c r="I413" s="1">
        <v>0.99870000000000003</v>
      </c>
      <c r="J413" s="1">
        <v>3.38</v>
      </c>
      <c r="K413" s="1">
        <v>0.62</v>
      </c>
      <c r="L413" s="1">
        <v>9.5</v>
      </c>
      <c r="M413" s="2">
        <v>5</v>
      </c>
      <c r="N413" s="2" t="str" cm="1">
        <f t="array" ref="N413">_xlfn.IFS(Table1[[#This Row],[quality]]&lt;=4,"Low",Table1[[#This Row],[quality]]&lt;=6,"Medium",Table1[[#This Row],[quality]]&gt;=7,"High")</f>
        <v>Medium</v>
      </c>
      <c r="O413" s="2" t="str">
        <f>IF(AND(Table1[[#This Row],[fixed acidity]]&gt;Sheet1!$C$4,Table1[[#This Row],[pH]]&lt;Sheet1!$K$4),"High","Normal")</f>
        <v>Normal</v>
      </c>
      <c r="P413" s="1">
        <f>(Table1[[#This Row],[alcohol]]*2)+(Table1[[#This Row],[sulphates]]*1.5)-(Table1[[#This Row],[volatile acidity]]*2)</f>
        <v>19.03</v>
      </c>
      <c r="Q413" s="1">
        <f>RANK(Table1[[#This Row],[Quality_score_index]],Table1[Quality_score_index],0)</f>
        <v>1152</v>
      </c>
      <c r="R413" s="1">
        <f>Table1[[#This Row],[total sulfur dioxide]]-Table1[[#This Row],[free sulfur dioxide]]</f>
        <v>55</v>
      </c>
      <c r="S413" s="1" t="str">
        <f>IF(AND(Table1[[#This Row],[pH]]&gt;=3.2,Table1[[#This Row],[alcohol]]&gt;=10),"White wine","Red wine")</f>
        <v>Red wine</v>
      </c>
    </row>
    <row r="414" spans="1:19" x14ac:dyDescent="0.3">
      <c r="A414" s="13">
        <v>413</v>
      </c>
      <c r="B414" s="1">
        <v>7.1</v>
      </c>
      <c r="C414" s="1">
        <v>0.73499999999999999</v>
      </c>
      <c r="D414" s="1">
        <v>0.16</v>
      </c>
      <c r="E414" s="1">
        <v>1.9</v>
      </c>
      <c r="F414" s="1">
        <v>0.1</v>
      </c>
      <c r="G414" s="1">
        <v>15</v>
      </c>
      <c r="H414" s="1">
        <v>77</v>
      </c>
      <c r="I414" s="1">
        <v>0.99660000000000004</v>
      </c>
      <c r="J414" s="1">
        <v>3.27</v>
      </c>
      <c r="K414" s="1">
        <v>0.64</v>
      </c>
      <c r="L414" s="1">
        <v>9.3000000000000007</v>
      </c>
      <c r="M414" s="2">
        <v>5</v>
      </c>
      <c r="N414" s="2" t="str" cm="1">
        <f t="array" ref="N414">_xlfn.IFS(Table1[[#This Row],[quality]]&lt;=4,"Low",Table1[[#This Row],[quality]]&lt;=6,"Medium",Table1[[#This Row],[quality]]&gt;=7,"High")</f>
        <v>Medium</v>
      </c>
      <c r="O414" s="2" t="str">
        <f>IF(AND(Table1[[#This Row],[fixed acidity]]&gt;Sheet1!$C$4,Table1[[#This Row],[pH]]&lt;Sheet1!$K$4),"High","Normal")</f>
        <v>Normal</v>
      </c>
      <c r="P414" s="1">
        <f>(Table1[[#This Row],[alcohol]]*2)+(Table1[[#This Row],[sulphates]]*1.5)-(Table1[[#This Row],[volatile acidity]]*2)</f>
        <v>18.090000000000003</v>
      </c>
      <c r="Q414" s="1">
        <f>RANK(Table1[[#This Row],[Quality_score_index]],Table1[Quality_score_index],0)</f>
        <v>1502</v>
      </c>
      <c r="R414" s="1">
        <f>Table1[[#This Row],[total sulfur dioxide]]-Table1[[#This Row],[free sulfur dioxide]]</f>
        <v>62</v>
      </c>
      <c r="S414" s="1" t="str">
        <f>IF(AND(Table1[[#This Row],[pH]]&gt;=3.2,Table1[[#This Row],[alcohol]]&gt;=10),"White wine","Red wine")</f>
        <v>Red wine</v>
      </c>
    </row>
    <row r="415" spans="1:19" x14ac:dyDescent="0.3">
      <c r="A415" s="13">
        <v>414</v>
      </c>
      <c r="B415" s="1">
        <v>9.9</v>
      </c>
      <c r="C415" s="1">
        <v>0.4</v>
      </c>
      <c r="D415" s="1">
        <v>0.53</v>
      </c>
      <c r="E415" s="1">
        <v>6.7</v>
      </c>
      <c r="F415" s="1">
        <v>9.7000000000000003E-2</v>
      </c>
      <c r="G415" s="1">
        <v>6</v>
      </c>
      <c r="H415" s="1">
        <v>19</v>
      </c>
      <c r="I415" s="1">
        <v>0.99860000000000004</v>
      </c>
      <c r="J415" s="1">
        <v>3.27</v>
      </c>
      <c r="K415" s="1">
        <v>0.82</v>
      </c>
      <c r="L415" s="1">
        <v>11.7</v>
      </c>
      <c r="M415" s="2">
        <v>7</v>
      </c>
      <c r="N415" s="2" t="str" cm="1">
        <f t="array" ref="N415">_xlfn.IFS(Table1[[#This Row],[quality]]&lt;=4,"Low",Table1[[#This Row],[quality]]&lt;=6,"Medium",Table1[[#This Row],[quality]]&gt;=7,"High")</f>
        <v>High</v>
      </c>
      <c r="O415" s="2" t="str">
        <f>IF(AND(Table1[[#This Row],[fixed acidity]]&gt;Sheet1!$C$4,Table1[[#This Row],[pH]]&lt;Sheet1!$K$4),"High","Normal")</f>
        <v>High</v>
      </c>
      <c r="P415" s="1">
        <f>(Table1[[#This Row],[alcohol]]*2)+(Table1[[#This Row],[sulphates]]*1.5)-(Table1[[#This Row],[volatile acidity]]*2)</f>
        <v>23.83</v>
      </c>
      <c r="Q415" s="1">
        <f>RANK(Table1[[#This Row],[Quality_score_index]],Table1[Quality_score_index],0)</f>
        <v>191</v>
      </c>
      <c r="R415" s="1">
        <f>Table1[[#This Row],[total sulfur dioxide]]-Table1[[#This Row],[free sulfur dioxide]]</f>
        <v>13</v>
      </c>
      <c r="S415" s="1" t="str">
        <f>IF(AND(Table1[[#This Row],[pH]]&gt;=3.2,Table1[[#This Row],[alcohol]]&gt;=10),"White wine","Red wine")</f>
        <v>White wine</v>
      </c>
    </row>
    <row r="416" spans="1:19" x14ac:dyDescent="0.3">
      <c r="A416" s="13">
        <v>415</v>
      </c>
      <c r="B416" s="1">
        <v>8.8000000000000007</v>
      </c>
      <c r="C416" s="1">
        <v>0.52</v>
      </c>
      <c r="D416" s="1">
        <v>0.34</v>
      </c>
      <c r="E416" s="1">
        <v>2.7</v>
      </c>
      <c r="F416" s="1">
        <v>8.6999999999999994E-2</v>
      </c>
      <c r="G416" s="1">
        <v>24</v>
      </c>
      <c r="H416" s="1">
        <v>122</v>
      </c>
      <c r="I416" s="1">
        <v>0.99819999999999998</v>
      </c>
      <c r="J416" s="1">
        <v>3.26</v>
      </c>
      <c r="K416" s="1">
        <v>0.61</v>
      </c>
      <c r="L416" s="1">
        <v>9.5</v>
      </c>
      <c r="M416" s="2">
        <v>5</v>
      </c>
      <c r="N416" s="2" t="str" cm="1">
        <f t="array" ref="N416">_xlfn.IFS(Table1[[#This Row],[quality]]&lt;=4,"Low",Table1[[#This Row],[quality]]&lt;=6,"Medium",Table1[[#This Row],[quality]]&gt;=7,"High")</f>
        <v>Medium</v>
      </c>
      <c r="O416" s="2" t="str">
        <f>IF(AND(Table1[[#This Row],[fixed acidity]]&gt;Sheet1!$C$4,Table1[[#This Row],[pH]]&lt;Sheet1!$K$4),"High","Normal")</f>
        <v>High</v>
      </c>
      <c r="P416" s="1">
        <f>(Table1[[#This Row],[alcohol]]*2)+(Table1[[#This Row],[sulphates]]*1.5)-(Table1[[#This Row],[volatile acidity]]*2)</f>
        <v>18.875</v>
      </c>
      <c r="Q416" s="1">
        <f>RANK(Table1[[#This Row],[Quality_score_index]],Table1[Quality_score_index],0)</f>
        <v>1215</v>
      </c>
      <c r="R416" s="1">
        <f>Table1[[#This Row],[total sulfur dioxide]]-Table1[[#This Row],[free sulfur dioxide]]</f>
        <v>98</v>
      </c>
      <c r="S416" s="1" t="str">
        <f>IF(AND(Table1[[#This Row],[pH]]&gt;=3.2,Table1[[#This Row],[alcohol]]&gt;=10),"White wine","Red wine")</f>
        <v>Red wine</v>
      </c>
    </row>
    <row r="417" spans="1:19" x14ac:dyDescent="0.3">
      <c r="A417" s="13">
        <v>416</v>
      </c>
      <c r="B417" s="1">
        <v>8.6</v>
      </c>
      <c r="C417" s="1">
        <v>0.72499999999999998</v>
      </c>
      <c r="D417" s="1">
        <v>0.24</v>
      </c>
      <c r="E417" s="1">
        <v>6.6</v>
      </c>
      <c r="F417" s="1">
        <v>0.11700000000000001</v>
      </c>
      <c r="G417" s="1">
        <v>31</v>
      </c>
      <c r="H417" s="1">
        <v>134</v>
      </c>
      <c r="I417" s="1">
        <v>1.0014000000000001</v>
      </c>
      <c r="J417" s="1">
        <v>3.32</v>
      </c>
      <c r="K417" s="1">
        <v>1.07</v>
      </c>
      <c r="L417" s="1">
        <v>9.3000000000000007</v>
      </c>
      <c r="M417" s="2">
        <v>5</v>
      </c>
      <c r="N417" s="2" t="str" cm="1">
        <f t="array" ref="N417">_xlfn.IFS(Table1[[#This Row],[quality]]&lt;=4,"Low",Table1[[#This Row],[quality]]&lt;=6,"Medium",Table1[[#This Row],[quality]]&gt;=7,"High")</f>
        <v>Medium</v>
      </c>
      <c r="O417" s="2" t="str">
        <f>IF(AND(Table1[[#This Row],[fixed acidity]]&gt;Sheet1!$C$4,Table1[[#This Row],[pH]]&lt;Sheet1!$K$4),"High","Normal")</f>
        <v>Normal</v>
      </c>
      <c r="P417" s="1">
        <f>(Table1[[#This Row],[alcohol]]*2)+(Table1[[#This Row],[sulphates]]*1.5)-(Table1[[#This Row],[volatile acidity]]*2)</f>
        <v>18.755000000000003</v>
      </c>
      <c r="Q417" s="1">
        <f>RANK(Table1[[#This Row],[Quality_score_index]],Table1[Quality_score_index],0)</f>
        <v>1261</v>
      </c>
      <c r="R417" s="1">
        <f>Table1[[#This Row],[total sulfur dioxide]]-Table1[[#This Row],[free sulfur dioxide]]</f>
        <v>103</v>
      </c>
      <c r="S417" s="1" t="str">
        <f>IF(AND(Table1[[#This Row],[pH]]&gt;=3.2,Table1[[#This Row],[alcohol]]&gt;=10),"White wine","Red wine")</f>
        <v>Red wine</v>
      </c>
    </row>
    <row r="418" spans="1:19" x14ac:dyDescent="0.3">
      <c r="A418" s="13">
        <v>417</v>
      </c>
      <c r="B418" s="1">
        <v>10.6</v>
      </c>
      <c r="C418" s="1">
        <v>0.48</v>
      </c>
      <c r="D418" s="1">
        <v>0.64</v>
      </c>
      <c r="E418" s="1">
        <v>2.2000000000000002</v>
      </c>
      <c r="F418" s="1">
        <v>0.111</v>
      </c>
      <c r="G418" s="1">
        <v>6</v>
      </c>
      <c r="H418" s="1">
        <v>20</v>
      </c>
      <c r="I418" s="1">
        <v>0.997</v>
      </c>
      <c r="J418" s="1">
        <v>3.26</v>
      </c>
      <c r="K418" s="1">
        <v>0.66</v>
      </c>
      <c r="L418" s="1">
        <v>11.7</v>
      </c>
      <c r="M418" s="2">
        <v>6</v>
      </c>
      <c r="N418" s="2" t="str" cm="1">
        <f t="array" ref="N418">_xlfn.IFS(Table1[[#This Row],[quality]]&lt;=4,"Low",Table1[[#This Row],[quality]]&lt;=6,"Medium",Table1[[#This Row],[quality]]&gt;=7,"High")</f>
        <v>Medium</v>
      </c>
      <c r="O418" s="2" t="str">
        <f>IF(AND(Table1[[#This Row],[fixed acidity]]&gt;Sheet1!$C$4,Table1[[#This Row],[pH]]&lt;Sheet1!$K$4),"High","Normal")</f>
        <v>High</v>
      </c>
      <c r="P418" s="1">
        <f>(Table1[[#This Row],[alcohol]]*2)+(Table1[[#This Row],[sulphates]]*1.5)-(Table1[[#This Row],[volatile acidity]]*2)</f>
        <v>23.429999999999996</v>
      </c>
      <c r="Q418" s="1">
        <f>RANK(Table1[[#This Row],[Quality_score_index]],Table1[Quality_score_index],0)</f>
        <v>224</v>
      </c>
      <c r="R418" s="1">
        <f>Table1[[#This Row],[total sulfur dioxide]]-Table1[[#This Row],[free sulfur dioxide]]</f>
        <v>14</v>
      </c>
      <c r="S418" s="1" t="str">
        <f>IF(AND(Table1[[#This Row],[pH]]&gt;=3.2,Table1[[#This Row],[alcohol]]&gt;=10),"White wine","Red wine")</f>
        <v>White wine</v>
      </c>
    </row>
    <row r="419" spans="1:19" x14ac:dyDescent="0.3">
      <c r="A419" s="13">
        <v>418</v>
      </c>
      <c r="B419" s="1">
        <v>7</v>
      </c>
      <c r="C419" s="1">
        <v>0.57999999999999996</v>
      </c>
      <c r="D419" s="1">
        <v>0.12</v>
      </c>
      <c r="E419" s="1">
        <v>1.9</v>
      </c>
      <c r="F419" s="1">
        <v>9.0999999999999998E-2</v>
      </c>
      <c r="G419" s="1">
        <v>34</v>
      </c>
      <c r="H419" s="1">
        <v>124</v>
      </c>
      <c r="I419" s="1">
        <v>0.99560000000000004</v>
      </c>
      <c r="J419" s="1">
        <v>3.44</v>
      </c>
      <c r="K419" s="1">
        <v>0.48</v>
      </c>
      <c r="L419" s="1">
        <v>10.5</v>
      </c>
      <c r="M419" s="2">
        <v>5</v>
      </c>
      <c r="N419" s="2" t="str" cm="1">
        <f t="array" ref="N419">_xlfn.IFS(Table1[[#This Row],[quality]]&lt;=4,"Low",Table1[[#This Row],[quality]]&lt;=6,"Medium",Table1[[#This Row],[quality]]&gt;=7,"High")</f>
        <v>Medium</v>
      </c>
      <c r="O419" s="2" t="str">
        <f>IF(AND(Table1[[#This Row],[fixed acidity]]&gt;Sheet1!$C$4,Table1[[#This Row],[pH]]&lt;Sheet1!$K$4),"High","Normal")</f>
        <v>Normal</v>
      </c>
      <c r="P419" s="1">
        <f>(Table1[[#This Row],[alcohol]]*2)+(Table1[[#This Row],[sulphates]]*1.5)-(Table1[[#This Row],[volatile acidity]]*2)</f>
        <v>20.56</v>
      </c>
      <c r="Q419" s="1">
        <f>RANK(Table1[[#This Row],[Quality_score_index]],Table1[Quality_score_index],0)</f>
        <v>743</v>
      </c>
      <c r="R419" s="1">
        <f>Table1[[#This Row],[total sulfur dioxide]]-Table1[[#This Row],[free sulfur dioxide]]</f>
        <v>90</v>
      </c>
      <c r="S419" s="1" t="str">
        <f>IF(AND(Table1[[#This Row],[pH]]&gt;=3.2,Table1[[#This Row],[alcohol]]&gt;=10),"White wine","Red wine")</f>
        <v>White wine</v>
      </c>
    </row>
    <row r="420" spans="1:19" x14ac:dyDescent="0.3">
      <c r="A420" s="13">
        <v>419</v>
      </c>
      <c r="B420" s="1">
        <v>11.9</v>
      </c>
      <c r="C420" s="1">
        <v>0.38</v>
      </c>
      <c r="D420" s="1">
        <v>0.51</v>
      </c>
      <c r="E420" s="1">
        <v>2</v>
      </c>
      <c r="F420" s="1">
        <v>0.121</v>
      </c>
      <c r="G420" s="1">
        <v>7</v>
      </c>
      <c r="H420" s="1">
        <v>20</v>
      </c>
      <c r="I420" s="1">
        <v>0.99960000000000004</v>
      </c>
      <c r="J420" s="1">
        <v>3.24</v>
      </c>
      <c r="K420" s="1">
        <v>0.76</v>
      </c>
      <c r="L420" s="1">
        <v>10.4</v>
      </c>
      <c r="M420" s="2">
        <v>6</v>
      </c>
      <c r="N420" s="2" t="str" cm="1">
        <f t="array" ref="N420">_xlfn.IFS(Table1[[#This Row],[quality]]&lt;=4,"Low",Table1[[#This Row],[quality]]&lt;=6,"Medium",Table1[[#This Row],[quality]]&gt;=7,"High")</f>
        <v>Medium</v>
      </c>
      <c r="O420" s="2" t="str">
        <f>IF(AND(Table1[[#This Row],[fixed acidity]]&gt;Sheet1!$C$4,Table1[[#This Row],[pH]]&lt;Sheet1!$K$4),"High","Normal")</f>
        <v>High</v>
      </c>
      <c r="P420" s="1">
        <f>(Table1[[#This Row],[alcohol]]*2)+(Table1[[#This Row],[sulphates]]*1.5)-(Table1[[#This Row],[volatile acidity]]*2)</f>
        <v>21.18</v>
      </c>
      <c r="Q420" s="1">
        <f>RANK(Table1[[#This Row],[Quality_score_index]],Table1[Quality_score_index],0)</f>
        <v>610</v>
      </c>
      <c r="R420" s="1">
        <f>Table1[[#This Row],[total sulfur dioxide]]-Table1[[#This Row],[free sulfur dioxide]]</f>
        <v>13</v>
      </c>
      <c r="S420" s="1" t="str">
        <f>IF(AND(Table1[[#This Row],[pH]]&gt;=3.2,Table1[[#This Row],[alcohol]]&gt;=10),"White wine","Red wine")</f>
        <v>White wine</v>
      </c>
    </row>
    <row r="421" spans="1:19" x14ac:dyDescent="0.3">
      <c r="A421" s="13">
        <v>420</v>
      </c>
      <c r="B421" s="1">
        <v>6.8</v>
      </c>
      <c r="C421" s="1">
        <v>0.77</v>
      </c>
      <c r="D421" s="1">
        <v>0</v>
      </c>
      <c r="E421" s="1">
        <v>1.8</v>
      </c>
      <c r="F421" s="1">
        <v>6.6000000000000003E-2</v>
      </c>
      <c r="G421" s="1">
        <v>34</v>
      </c>
      <c r="H421" s="1">
        <v>52</v>
      </c>
      <c r="I421" s="1">
        <v>0.99760000000000004</v>
      </c>
      <c r="J421" s="1">
        <v>3.62</v>
      </c>
      <c r="K421" s="1">
        <v>0.68</v>
      </c>
      <c r="L421" s="1">
        <v>9.9</v>
      </c>
      <c r="M421" s="2">
        <v>5</v>
      </c>
      <c r="N421" s="2" t="str" cm="1">
        <f t="array" ref="N421">_xlfn.IFS(Table1[[#This Row],[quality]]&lt;=4,"Low",Table1[[#This Row],[quality]]&lt;=6,"Medium",Table1[[#This Row],[quality]]&gt;=7,"High")</f>
        <v>Medium</v>
      </c>
      <c r="O421" s="2" t="str">
        <f>IF(AND(Table1[[#This Row],[fixed acidity]]&gt;Sheet1!$C$4,Table1[[#This Row],[pH]]&lt;Sheet1!$K$4),"High","Normal")</f>
        <v>Normal</v>
      </c>
      <c r="P421" s="1">
        <f>(Table1[[#This Row],[alcohol]]*2)+(Table1[[#This Row],[sulphates]]*1.5)-(Table1[[#This Row],[volatile acidity]]*2)</f>
        <v>19.28</v>
      </c>
      <c r="Q421" s="1">
        <f>RANK(Table1[[#This Row],[Quality_score_index]],Table1[Quality_score_index],0)</f>
        <v>1046</v>
      </c>
      <c r="R421" s="1">
        <f>Table1[[#This Row],[total sulfur dioxide]]-Table1[[#This Row],[free sulfur dioxide]]</f>
        <v>18</v>
      </c>
      <c r="S421" s="1" t="str">
        <f>IF(AND(Table1[[#This Row],[pH]]&gt;=3.2,Table1[[#This Row],[alcohol]]&gt;=10),"White wine","Red wine")</f>
        <v>Red wine</v>
      </c>
    </row>
    <row r="422" spans="1:19" x14ac:dyDescent="0.3">
      <c r="A422" s="13">
        <v>421</v>
      </c>
      <c r="B422" s="1">
        <v>9.5</v>
      </c>
      <c r="C422" s="1">
        <v>0.56000000000000005</v>
      </c>
      <c r="D422" s="1">
        <v>0.33</v>
      </c>
      <c r="E422" s="1">
        <v>2.4</v>
      </c>
      <c r="F422" s="1">
        <v>8.8999999999999996E-2</v>
      </c>
      <c r="G422" s="1">
        <v>35</v>
      </c>
      <c r="H422" s="1">
        <v>67</v>
      </c>
      <c r="I422" s="1">
        <v>0.99719999999999998</v>
      </c>
      <c r="J422" s="1">
        <v>3.28</v>
      </c>
      <c r="K422" s="1">
        <v>0.73</v>
      </c>
      <c r="L422" s="1">
        <v>11.8</v>
      </c>
      <c r="M422" s="2">
        <v>7</v>
      </c>
      <c r="N422" s="2" t="str" cm="1">
        <f t="array" ref="N422">_xlfn.IFS(Table1[[#This Row],[quality]]&lt;=4,"Low",Table1[[#This Row],[quality]]&lt;=6,"Medium",Table1[[#This Row],[quality]]&gt;=7,"High")</f>
        <v>High</v>
      </c>
      <c r="O422" s="2" t="str">
        <f>IF(AND(Table1[[#This Row],[fixed acidity]]&gt;Sheet1!$C$4,Table1[[#This Row],[pH]]&lt;Sheet1!$K$4),"High","Normal")</f>
        <v>High</v>
      </c>
      <c r="P422" s="1">
        <f>(Table1[[#This Row],[alcohol]]*2)+(Table1[[#This Row],[sulphates]]*1.5)-(Table1[[#This Row],[volatile acidity]]*2)</f>
        <v>23.574999999999999</v>
      </c>
      <c r="Q422" s="1">
        <f>RANK(Table1[[#This Row],[Quality_score_index]],Table1[Quality_score_index],0)</f>
        <v>210</v>
      </c>
      <c r="R422" s="1">
        <f>Table1[[#This Row],[total sulfur dioxide]]-Table1[[#This Row],[free sulfur dioxide]]</f>
        <v>32</v>
      </c>
      <c r="S422" s="1" t="str">
        <f>IF(AND(Table1[[#This Row],[pH]]&gt;=3.2,Table1[[#This Row],[alcohol]]&gt;=10),"White wine","Red wine")</f>
        <v>White wine</v>
      </c>
    </row>
    <row r="423" spans="1:19" x14ac:dyDescent="0.3">
      <c r="A423" s="13">
        <v>422</v>
      </c>
      <c r="B423" s="1">
        <v>6.6</v>
      </c>
      <c r="C423" s="1">
        <v>0.84</v>
      </c>
      <c r="D423" s="1">
        <v>0.03</v>
      </c>
      <c r="E423" s="1">
        <v>2.2999999999999998</v>
      </c>
      <c r="F423" s="1">
        <v>5.8999999999999997E-2</v>
      </c>
      <c r="G423" s="1">
        <v>32</v>
      </c>
      <c r="H423" s="1">
        <v>48</v>
      </c>
      <c r="I423" s="1">
        <v>0.99519999999999997</v>
      </c>
      <c r="J423" s="1">
        <v>3.52</v>
      </c>
      <c r="K423" s="1">
        <v>0.56000000000000005</v>
      </c>
      <c r="L423" s="1">
        <v>12.3</v>
      </c>
      <c r="M423" s="2">
        <v>7</v>
      </c>
      <c r="N423" s="2" t="str" cm="1">
        <f t="array" ref="N423">_xlfn.IFS(Table1[[#This Row],[quality]]&lt;=4,"Low",Table1[[#This Row],[quality]]&lt;=6,"Medium",Table1[[#This Row],[quality]]&gt;=7,"High")</f>
        <v>High</v>
      </c>
      <c r="O423" s="2" t="str">
        <f>IF(AND(Table1[[#This Row],[fixed acidity]]&gt;Sheet1!$C$4,Table1[[#This Row],[pH]]&lt;Sheet1!$K$4),"High","Normal")</f>
        <v>Normal</v>
      </c>
      <c r="P423" s="1">
        <f>(Table1[[#This Row],[alcohol]]*2)+(Table1[[#This Row],[sulphates]]*1.5)-(Table1[[#This Row],[volatile acidity]]*2)</f>
        <v>23.76</v>
      </c>
      <c r="Q423" s="1">
        <f>RANK(Table1[[#This Row],[Quality_score_index]],Table1[Quality_score_index],0)</f>
        <v>197</v>
      </c>
      <c r="R423" s="1">
        <f>Table1[[#This Row],[total sulfur dioxide]]-Table1[[#This Row],[free sulfur dioxide]]</f>
        <v>16</v>
      </c>
      <c r="S423" s="1" t="str">
        <f>IF(AND(Table1[[#This Row],[pH]]&gt;=3.2,Table1[[#This Row],[alcohol]]&gt;=10),"White wine","Red wine")</f>
        <v>White wine</v>
      </c>
    </row>
    <row r="424" spans="1:19" x14ac:dyDescent="0.3">
      <c r="A424" s="13">
        <v>423</v>
      </c>
      <c r="B424" s="1">
        <v>7.7</v>
      </c>
      <c r="C424" s="1">
        <v>0.96</v>
      </c>
      <c r="D424" s="1">
        <v>0.2</v>
      </c>
      <c r="E424" s="1">
        <v>2</v>
      </c>
      <c r="F424" s="1">
        <v>4.7E-2</v>
      </c>
      <c r="G424" s="1">
        <v>15</v>
      </c>
      <c r="H424" s="1">
        <v>60</v>
      </c>
      <c r="I424" s="1">
        <v>0.99550000000000005</v>
      </c>
      <c r="J424" s="1">
        <v>3.36</v>
      </c>
      <c r="K424" s="1">
        <v>0.44</v>
      </c>
      <c r="L424" s="1">
        <v>10.9</v>
      </c>
      <c r="M424" s="2">
        <v>5</v>
      </c>
      <c r="N424" s="2" t="str" cm="1">
        <f t="array" ref="N424">_xlfn.IFS(Table1[[#This Row],[quality]]&lt;=4,"Low",Table1[[#This Row],[quality]]&lt;=6,"Medium",Table1[[#This Row],[quality]]&gt;=7,"High")</f>
        <v>Medium</v>
      </c>
      <c r="O424" s="2" t="str">
        <f>IF(AND(Table1[[#This Row],[fixed acidity]]&gt;Sheet1!$C$4,Table1[[#This Row],[pH]]&lt;Sheet1!$K$4),"High","Normal")</f>
        <v>Normal</v>
      </c>
      <c r="P424" s="1">
        <f>(Table1[[#This Row],[alcohol]]*2)+(Table1[[#This Row],[sulphates]]*1.5)-(Table1[[#This Row],[volatile acidity]]*2)</f>
        <v>20.54</v>
      </c>
      <c r="Q424" s="1">
        <f>RANK(Table1[[#This Row],[Quality_score_index]],Table1[Quality_score_index],0)</f>
        <v>748</v>
      </c>
      <c r="R424" s="1">
        <f>Table1[[#This Row],[total sulfur dioxide]]-Table1[[#This Row],[free sulfur dioxide]]</f>
        <v>45</v>
      </c>
      <c r="S424" s="1" t="str">
        <f>IF(AND(Table1[[#This Row],[pH]]&gt;=3.2,Table1[[#This Row],[alcohol]]&gt;=10),"White wine","Red wine")</f>
        <v>White wine</v>
      </c>
    </row>
    <row r="425" spans="1:19" x14ac:dyDescent="0.3">
      <c r="A425" s="13">
        <v>424</v>
      </c>
      <c r="B425" s="1">
        <v>10.5</v>
      </c>
      <c r="C425" s="1">
        <v>0.24</v>
      </c>
      <c r="D425" s="1">
        <v>0.47</v>
      </c>
      <c r="E425" s="1">
        <v>2.1</v>
      </c>
      <c r="F425" s="1">
        <v>6.6000000000000003E-2</v>
      </c>
      <c r="G425" s="1">
        <v>6</v>
      </c>
      <c r="H425" s="1">
        <v>24</v>
      </c>
      <c r="I425" s="1">
        <v>0.99780000000000002</v>
      </c>
      <c r="J425" s="1">
        <v>3.15</v>
      </c>
      <c r="K425" s="1">
        <v>0.9</v>
      </c>
      <c r="L425" s="1">
        <v>11</v>
      </c>
      <c r="M425" s="2">
        <v>7</v>
      </c>
      <c r="N425" s="2" t="str" cm="1">
        <f t="array" ref="N425">_xlfn.IFS(Table1[[#This Row],[quality]]&lt;=4,"Low",Table1[[#This Row],[quality]]&lt;=6,"Medium",Table1[[#This Row],[quality]]&gt;=7,"High")</f>
        <v>High</v>
      </c>
      <c r="O425" s="2" t="str">
        <f>IF(AND(Table1[[#This Row],[fixed acidity]]&gt;Sheet1!$C$4,Table1[[#This Row],[pH]]&lt;Sheet1!$K$4),"High","Normal")</f>
        <v>High</v>
      </c>
      <c r="P425" s="1">
        <f>(Table1[[#This Row],[alcohol]]*2)+(Table1[[#This Row],[sulphates]]*1.5)-(Table1[[#This Row],[volatile acidity]]*2)</f>
        <v>22.87</v>
      </c>
      <c r="Q425" s="1">
        <f>RANK(Table1[[#This Row],[Quality_score_index]],Table1[Quality_score_index],0)</f>
        <v>297</v>
      </c>
      <c r="R425" s="1">
        <f>Table1[[#This Row],[total sulfur dioxide]]-Table1[[#This Row],[free sulfur dioxide]]</f>
        <v>18</v>
      </c>
      <c r="S425" s="1" t="str">
        <f>IF(AND(Table1[[#This Row],[pH]]&gt;=3.2,Table1[[#This Row],[alcohol]]&gt;=10),"White wine","Red wine")</f>
        <v>Red wine</v>
      </c>
    </row>
    <row r="426" spans="1:19" x14ac:dyDescent="0.3">
      <c r="A426" s="13">
        <v>425</v>
      </c>
      <c r="B426" s="1">
        <v>7.7</v>
      </c>
      <c r="C426" s="1">
        <v>0.96</v>
      </c>
      <c r="D426" s="1">
        <v>0.2</v>
      </c>
      <c r="E426" s="1">
        <v>2</v>
      </c>
      <c r="F426" s="1">
        <v>4.7E-2</v>
      </c>
      <c r="G426" s="1">
        <v>15</v>
      </c>
      <c r="H426" s="1">
        <v>60</v>
      </c>
      <c r="I426" s="1">
        <v>0.99550000000000005</v>
      </c>
      <c r="J426" s="1">
        <v>3.36</v>
      </c>
      <c r="K426" s="1">
        <v>0.44</v>
      </c>
      <c r="L426" s="1">
        <v>10.9</v>
      </c>
      <c r="M426" s="2">
        <v>5</v>
      </c>
      <c r="N426" s="2" t="str" cm="1">
        <f t="array" ref="N426">_xlfn.IFS(Table1[[#This Row],[quality]]&lt;=4,"Low",Table1[[#This Row],[quality]]&lt;=6,"Medium",Table1[[#This Row],[quality]]&gt;=7,"High")</f>
        <v>Medium</v>
      </c>
      <c r="O426" s="2" t="str">
        <f>IF(AND(Table1[[#This Row],[fixed acidity]]&gt;Sheet1!$C$4,Table1[[#This Row],[pH]]&lt;Sheet1!$K$4),"High","Normal")</f>
        <v>Normal</v>
      </c>
      <c r="P426" s="1">
        <f>(Table1[[#This Row],[alcohol]]*2)+(Table1[[#This Row],[sulphates]]*1.5)-(Table1[[#This Row],[volatile acidity]]*2)</f>
        <v>20.54</v>
      </c>
      <c r="Q426" s="1">
        <f>RANK(Table1[[#This Row],[Quality_score_index]],Table1[Quality_score_index],0)</f>
        <v>748</v>
      </c>
      <c r="R426" s="1">
        <f>Table1[[#This Row],[total sulfur dioxide]]-Table1[[#This Row],[free sulfur dioxide]]</f>
        <v>45</v>
      </c>
      <c r="S426" s="1" t="str">
        <f>IF(AND(Table1[[#This Row],[pH]]&gt;=3.2,Table1[[#This Row],[alcohol]]&gt;=10),"White wine","Red wine")</f>
        <v>White wine</v>
      </c>
    </row>
    <row r="427" spans="1:19" x14ac:dyDescent="0.3">
      <c r="A427" s="13">
        <v>426</v>
      </c>
      <c r="B427" s="1">
        <v>6.6</v>
      </c>
      <c r="C427" s="1">
        <v>0.84</v>
      </c>
      <c r="D427" s="1">
        <v>0.03</v>
      </c>
      <c r="E427" s="1">
        <v>2.2999999999999998</v>
      </c>
      <c r="F427" s="1">
        <v>5.8999999999999997E-2</v>
      </c>
      <c r="G427" s="1">
        <v>32</v>
      </c>
      <c r="H427" s="1">
        <v>48</v>
      </c>
      <c r="I427" s="1">
        <v>0.99519999999999997</v>
      </c>
      <c r="J427" s="1">
        <v>3.52</v>
      </c>
      <c r="K427" s="1">
        <v>0.56000000000000005</v>
      </c>
      <c r="L427" s="1">
        <v>12.3</v>
      </c>
      <c r="M427" s="2">
        <v>7</v>
      </c>
      <c r="N427" s="2" t="str" cm="1">
        <f t="array" ref="N427">_xlfn.IFS(Table1[[#This Row],[quality]]&lt;=4,"Low",Table1[[#This Row],[quality]]&lt;=6,"Medium",Table1[[#This Row],[quality]]&gt;=7,"High")</f>
        <v>High</v>
      </c>
      <c r="O427" s="2" t="str">
        <f>IF(AND(Table1[[#This Row],[fixed acidity]]&gt;Sheet1!$C$4,Table1[[#This Row],[pH]]&lt;Sheet1!$K$4),"High","Normal")</f>
        <v>Normal</v>
      </c>
      <c r="P427" s="1">
        <f>(Table1[[#This Row],[alcohol]]*2)+(Table1[[#This Row],[sulphates]]*1.5)-(Table1[[#This Row],[volatile acidity]]*2)</f>
        <v>23.76</v>
      </c>
      <c r="Q427" s="1">
        <f>RANK(Table1[[#This Row],[Quality_score_index]],Table1[Quality_score_index],0)</f>
        <v>197</v>
      </c>
      <c r="R427" s="1">
        <f>Table1[[#This Row],[total sulfur dioxide]]-Table1[[#This Row],[free sulfur dioxide]]</f>
        <v>16</v>
      </c>
      <c r="S427" s="1" t="str">
        <f>IF(AND(Table1[[#This Row],[pH]]&gt;=3.2,Table1[[#This Row],[alcohol]]&gt;=10),"White wine","Red wine")</f>
        <v>White wine</v>
      </c>
    </row>
    <row r="428" spans="1:19" x14ac:dyDescent="0.3">
      <c r="A428" s="13">
        <v>427</v>
      </c>
      <c r="B428" s="1">
        <v>6.4</v>
      </c>
      <c r="C428" s="1">
        <v>0.67</v>
      </c>
      <c r="D428" s="1">
        <v>0.08</v>
      </c>
      <c r="E428" s="1">
        <v>2.1</v>
      </c>
      <c r="F428" s="1">
        <v>4.4999999999999998E-2</v>
      </c>
      <c r="G428" s="1">
        <v>19</v>
      </c>
      <c r="H428" s="1">
        <v>48</v>
      </c>
      <c r="I428" s="1">
        <v>0.99490000000000001</v>
      </c>
      <c r="J428" s="1">
        <v>3.49</v>
      </c>
      <c r="K428" s="1">
        <v>0.49</v>
      </c>
      <c r="L428" s="1">
        <v>11.4</v>
      </c>
      <c r="M428" s="2">
        <v>6</v>
      </c>
      <c r="N428" s="2" t="str" cm="1">
        <f t="array" ref="N428">_xlfn.IFS(Table1[[#This Row],[quality]]&lt;=4,"Low",Table1[[#This Row],[quality]]&lt;=6,"Medium",Table1[[#This Row],[quality]]&gt;=7,"High")</f>
        <v>Medium</v>
      </c>
      <c r="O428" s="2" t="str">
        <f>IF(AND(Table1[[#This Row],[fixed acidity]]&gt;Sheet1!$C$4,Table1[[#This Row],[pH]]&lt;Sheet1!$K$4),"High","Normal")</f>
        <v>Normal</v>
      </c>
      <c r="P428" s="1">
        <f>(Table1[[#This Row],[alcohol]]*2)+(Table1[[#This Row],[sulphates]]*1.5)-(Table1[[#This Row],[volatile acidity]]*2)</f>
        <v>22.195</v>
      </c>
      <c r="Q428" s="1">
        <f>RANK(Table1[[#This Row],[Quality_score_index]],Table1[Quality_score_index],0)</f>
        <v>420</v>
      </c>
      <c r="R428" s="1">
        <f>Table1[[#This Row],[total sulfur dioxide]]-Table1[[#This Row],[free sulfur dioxide]]</f>
        <v>29</v>
      </c>
      <c r="S428" s="1" t="str">
        <f>IF(AND(Table1[[#This Row],[pH]]&gt;=3.2,Table1[[#This Row],[alcohol]]&gt;=10),"White wine","Red wine")</f>
        <v>White wine</v>
      </c>
    </row>
    <row r="429" spans="1:19" x14ac:dyDescent="0.3">
      <c r="A429" s="13">
        <v>428</v>
      </c>
      <c r="B429" s="1">
        <v>9.5</v>
      </c>
      <c r="C429" s="1">
        <v>0.78</v>
      </c>
      <c r="D429" s="1">
        <v>0.22</v>
      </c>
      <c r="E429" s="1">
        <v>1.9</v>
      </c>
      <c r="F429" s="1">
        <v>7.6999999999999999E-2</v>
      </c>
      <c r="G429" s="1">
        <v>6</v>
      </c>
      <c r="H429" s="1">
        <v>32</v>
      </c>
      <c r="I429" s="1">
        <v>0.99880000000000002</v>
      </c>
      <c r="J429" s="1">
        <v>3.26</v>
      </c>
      <c r="K429" s="1">
        <v>0.56000000000000005</v>
      </c>
      <c r="L429" s="1">
        <v>10.6</v>
      </c>
      <c r="M429" s="2">
        <v>6</v>
      </c>
      <c r="N429" s="2" t="str" cm="1">
        <f t="array" ref="N429">_xlfn.IFS(Table1[[#This Row],[quality]]&lt;=4,"Low",Table1[[#This Row],[quality]]&lt;=6,"Medium",Table1[[#This Row],[quality]]&gt;=7,"High")</f>
        <v>Medium</v>
      </c>
      <c r="O429" s="2" t="str">
        <f>IF(AND(Table1[[#This Row],[fixed acidity]]&gt;Sheet1!$C$4,Table1[[#This Row],[pH]]&lt;Sheet1!$K$4),"High","Normal")</f>
        <v>High</v>
      </c>
      <c r="P429" s="1">
        <f>(Table1[[#This Row],[alcohol]]*2)+(Table1[[#This Row],[sulphates]]*1.5)-(Table1[[#This Row],[volatile acidity]]*2)</f>
        <v>20.48</v>
      </c>
      <c r="Q429" s="1">
        <f>RANK(Table1[[#This Row],[Quality_score_index]],Table1[Quality_score_index],0)</f>
        <v>757</v>
      </c>
      <c r="R429" s="1">
        <f>Table1[[#This Row],[total sulfur dioxide]]-Table1[[#This Row],[free sulfur dioxide]]</f>
        <v>26</v>
      </c>
      <c r="S429" s="1" t="str">
        <f>IF(AND(Table1[[#This Row],[pH]]&gt;=3.2,Table1[[#This Row],[alcohol]]&gt;=10),"White wine","Red wine")</f>
        <v>White wine</v>
      </c>
    </row>
    <row r="430" spans="1:19" x14ac:dyDescent="0.3">
      <c r="A430" s="13">
        <v>429</v>
      </c>
      <c r="B430" s="1">
        <v>9.1</v>
      </c>
      <c r="C430" s="1">
        <v>0.52</v>
      </c>
      <c r="D430" s="1">
        <v>0.33</v>
      </c>
      <c r="E430" s="1">
        <v>1.3</v>
      </c>
      <c r="F430" s="1">
        <v>7.0000000000000007E-2</v>
      </c>
      <c r="G430" s="1">
        <v>9</v>
      </c>
      <c r="H430" s="1">
        <v>30</v>
      </c>
      <c r="I430" s="1">
        <v>0.99780000000000002</v>
      </c>
      <c r="J430" s="1">
        <v>3.24</v>
      </c>
      <c r="K430" s="1">
        <v>0.6</v>
      </c>
      <c r="L430" s="1">
        <v>9.3000000000000007</v>
      </c>
      <c r="M430" s="2">
        <v>5</v>
      </c>
      <c r="N430" s="2" t="str" cm="1">
        <f t="array" ref="N430">_xlfn.IFS(Table1[[#This Row],[quality]]&lt;=4,"Low",Table1[[#This Row],[quality]]&lt;=6,"Medium",Table1[[#This Row],[quality]]&gt;=7,"High")</f>
        <v>Medium</v>
      </c>
      <c r="O430" s="2" t="str">
        <f>IF(AND(Table1[[#This Row],[fixed acidity]]&gt;Sheet1!$C$4,Table1[[#This Row],[pH]]&lt;Sheet1!$K$4),"High","Normal")</f>
        <v>High</v>
      </c>
      <c r="P430" s="1">
        <f>(Table1[[#This Row],[alcohol]]*2)+(Table1[[#This Row],[sulphates]]*1.5)-(Table1[[#This Row],[volatile acidity]]*2)</f>
        <v>18.46</v>
      </c>
      <c r="Q430" s="1">
        <f>RANK(Table1[[#This Row],[Quality_score_index]],Table1[Quality_score_index],0)</f>
        <v>1389</v>
      </c>
      <c r="R430" s="1">
        <f>Table1[[#This Row],[total sulfur dioxide]]-Table1[[#This Row],[free sulfur dioxide]]</f>
        <v>21</v>
      </c>
      <c r="S430" s="1" t="str">
        <f>IF(AND(Table1[[#This Row],[pH]]&gt;=3.2,Table1[[#This Row],[alcohol]]&gt;=10),"White wine","Red wine")</f>
        <v>Red wine</v>
      </c>
    </row>
    <row r="431" spans="1:19" x14ac:dyDescent="0.3">
      <c r="A431" s="13">
        <v>430</v>
      </c>
      <c r="B431" s="1">
        <v>12.8</v>
      </c>
      <c r="C431" s="1">
        <v>0.84</v>
      </c>
      <c r="D431" s="1">
        <v>0.63</v>
      </c>
      <c r="E431" s="1">
        <v>2.4</v>
      </c>
      <c r="F431" s="1">
        <v>8.7999999999999995E-2</v>
      </c>
      <c r="G431" s="1">
        <v>13</v>
      </c>
      <c r="H431" s="1">
        <v>35</v>
      </c>
      <c r="I431" s="1">
        <v>0.99970000000000003</v>
      </c>
      <c r="J431" s="1">
        <v>3.1</v>
      </c>
      <c r="K431" s="1">
        <v>0.6</v>
      </c>
      <c r="L431" s="1">
        <v>10.4</v>
      </c>
      <c r="M431" s="2">
        <v>6</v>
      </c>
      <c r="N431" s="2" t="str" cm="1">
        <f t="array" ref="N431">_xlfn.IFS(Table1[[#This Row],[quality]]&lt;=4,"Low",Table1[[#This Row],[quality]]&lt;=6,"Medium",Table1[[#This Row],[quality]]&gt;=7,"High")</f>
        <v>Medium</v>
      </c>
      <c r="O431" s="2" t="str">
        <f>IF(AND(Table1[[#This Row],[fixed acidity]]&gt;Sheet1!$C$4,Table1[[#This Row],[pH]]&lt;Sheet1!$K$4),"High","Normal")</f>
        <v>High</v>
      </c>
      <c r="P431" s="1">
        <f>(Table1[[#This Row],[alcohol]]*2)+(Table1[[#This Row],[sulphates]]*1.5)-(Table1[[#This Row],[volatile acidity]]*2)</f>
        <v>20.02</v>
      </c>
      <c r="Q431" s="1">
        <f>RANK(Table1[[#This Row],[Quality_score_index]],Table1[Quality_score_index],0)</f>
        <v>851</v>
      </c>
      <c r="R431" s="1">
        <f>Table1[[#This Row],[total sulfur dioxide]]-Table1[[#This Row],[free sulfur dioxide]]</f>
        <v>22</v>
      </c>
      <c r="S431" s="1" t="str">
        <f>IF(AND(Table1[[#This Row],[pH]]&gt;=3.2,Table1[[#This Row],[alcohol]]&gt;=10),"White wine","Red wine")</f>
        <v>Red wine</v>
      </c>
    </row>
    <row r="432" spans="1:19" x14ac:dyDescent="0.3">
      <c r="A432" s="13">
        <v>431</v>
      </c>
      <c r="B432" s="1">
        <v>10.5</v>
      </c>
      <c r="C432" s="1">
        <v>0.24</v>
      </c>
      <c r="D432" s="1">
        <v>0.47</v>
      </c>
      <c r="E432" s="1">
        <v>2.1</v>
      </c>
      <c r="F432" s="1">
        <v>6.6000000000000003E-2</v>
      </c>
      <c r="G432" s="1">
        <v>6</v>
      </c>
      <c r="H432" s="1">
        <v>24</v>
      </c>
      <c r="I432" s="1">
        <v>0.99780000000000002</v>
      </c>
      <c r="J432" s="1">
        <v>3.15</v>
      </c>
      <c r="K432" s="1">
        <v>0.9</v>
      </c>
      <c r="L432" s="1">
        <v>11</v>
      </c>
      <c r="M432" s="2">
        <v>7</v>
      </c>
      <c r="N432" s="2" t="str" cm="1">
        <f t="array" ref="N432">_xlfn.IFS(Table1[[#This Row],[quality]]&lt;=4,"Low",Table1[[#This Row],[quality]]&lt;=6,"Medium",Table1[[#This Row],[quality]]&gt;=7,"High")</f>
        <v>High</v>
      </c>
      <c r="O432" s="2" t="str">
        <f>IF(AND(Table1[[#This Row],[fixed acidity]]&gt;Sheet1!$C$4,Table1[[#This Row],[pH]]&lt;Sheet1!$K$4),"High","Normal")</f>
        <v>High</v>
      </c>
      <c r="P432" s="1">
        <f>(Table1[[#This Row],[alcohol]]*2)+(Table1[[#This Row],[sulphates]]*1.5)-(Table1[[#This Row],[volatile acidity]]*2)</f>
        <v>22.87</v>
      </c>
      <c r="Q432" s="1">
        <f>RANK(Table1[[#This Row],[Quality_score_index]],Table1[Quality_score_index],0)</f>
        <v>297</v>
      </c>
      <c r="R432" s="1">
        <f>Table1[[#This Row],[total sulfur dioxide]]-Table1[[#This Row],[free sulfur dioxide]]</f>
        <v>18</v>
      </c>
      <c r="S432" s="1" t="str">
        <f>IF(AND(Table1[[#This Row],[pH]]&gt;=3.2,Table1[[#This Row],[alcohol]]&gt;=10),"White wine","Red wine")</f>
        <v>Red wine</v>
      </c>
    </row>
    <row r="433" spans="1:19" x14ac:dyDescent="0.3">
      <c r="A433" s="13">
        <v>432</v>
      </c>
      <c r="B433" s="1">
        <v>7.8</v>
      </c>
      <c r="C433" s="1">
        <v>0.55000000000000004</v>
      </c>
      <c r="D433" s="1">
        <v>0.35</v>
      </c>
      <c r="E433" s="1">
        <v>2.2000000000000002</v>
      </c>
      <c r="F433" s="1">
        <v>7.3999999999999996E-2</v>
      </c>
      <c r="G433" s="1">
        <v>21</v>
      </c>
      <c r="H433" s="1">
        <v>66</v>
      </c>
      <c r="I433" s="1">
        <v>0.99739999999999995</v>
      </c>
      <c r="J433" s="1">
        <v>3.25</v>
      </c>
      <c r="K433" s="1">
        <v>0.56000000000000005</v>
      </c>
      <c r="L433" s="1">
        <v>9.1999999999999993</v>
      </c>
      <c r="M433" s="2">
        <v>5</v>
      </c>
      <c r="N433" s="2" t="str" cm="1">
        <f t="array" ref="N433">_xlfn.IFS(Table1[[#This Row],[quality]]&lt;=4,"Low",Table1[[#This Row],[quality]]&lt;=6,"Medium",Table1[[#This Row],[quality]]&gt;=7,"High")</f>
        <v>Medium</v>
      </c>
      <c r="O433" s="2" t="str">
        <f>IF(AND(Table1[[#This Row],[fixed acidity]]&gt;Sheet1!$C$4,Table1[[#This Row],[pH]]&lt;Sheet1!$K$4),"High","Normal")</f>
        <v>Normal</v>
      </c>
      <c r="P433" s="1">
        <f>(Table1[[#This Row],[alcohol]]*2)+(Table1[[#This Row],[sulphates]]*1.5)-(Table1[[#This Row],[volatile acidity]]*2)</f>
        <v>18.139999999999997</v>
      </c>
      <c r="Q433" s="1">
        <f>RANK(Table1[[#This Row],[Quality_score_index]],Table1[Quality_score_index],0)</f>
        <v>1493</v>
      </c>
      <c r="R433" s="1">
        <f>Table1[[#This Row],[total sulfur dioxide]]-Table1[[#This Row],[free sulfur dioxide]]</f>
        <v>45</v>
      </c>
      <c r="S433" s="1" t="str">
        <f>IF(AND(Table1[[#This Row],[pH]]&gt;=3.2,Table1[[#This Row],[alcohol]]&gt;=10),"White wine","Red wine")</f>
        <v>Red wine</v>
      </c>
    </row>
    <row r="434" spans="1:19" x14ac:dyDescent="0.3">
      <c r="A434" s="13">
        <v>433</v>
      </c>
      <c r="B434" s="1">
        <v>11.9</v>
      </c>
      <c r="C434" s="1">
        <v>0.37</v>
      </c>
      <c r="D434" s="1">
        <v>0.69</v>
      </c>
      <c r="E434" s="1">
        <v>2.2999999999999998</v>
      </c>
      <c r="F434" s="1">
        <v>7.8E-2</v>
      </c>
      <c r="G434" s="1">
        <v>12</v>
      </c>
      <c r="H434" s="1">
        <v>24</v>
      </c>
      <c r="I434" s="1">
        <v>0.99580000000000002</v>
      </c>
      <c r="J434" s="1">
        <v>3</v>
      </c>
      <c r="K434" s="1">
        <v>0.65</v>
      </c>
      <c r="L434" s="1">
        <v>12.8</v>
      </c>
      <c r="M434" s="2">
        <v>6</v>
      </c>
      <c r="N434" s="2" t="str" cm="1">
        <f t="array" ref="N434">_xlfn.IFS(Table1[[#This Row],[quality]]&lt;=4,"Low",Table1[[#This Row],[quality]]&lt;=6,"Medium",Table1[[#This Row],[quality]]&gt;=7,"High")</f>
        <v>Medium</v>
      </c>
      <c r="O434" s="2" t="str">
        <f>IF(AND(Table1[[#This Row],[fixed acidity]]&gt;Sheet1!$C$4,Table1[[#This Row],[pH]]&lt;Sheet1!$K$4),"High","Normal")</f>
        <v>High</v>
      </c>
      <c r="P434" s="1">
        <f>(Table1[[#This Row],[alcohol]]*2)+(Table1[[#This Row],[sulphates]]*1.5)-(Table1[[#This Row],[volatile acidity]]*2)</f>
        <v>25.835000000000004</v>
      </c>
      <c r="Q434" s="1">
        <f>RANK(Table1[[#This Row],[Quality_score_index]],Table1[Quality_score_index],0)</f>
        <v>38</v>
      </c>
      <c r="R434" s="1">
        <f>Table1[[#This Row],[total sulfur dioxide]]-Table1[[#This Row],[free sulfur dioxide]]</f>
        <v>12</v>
      </c>
      <c r="S434" s="1" t="str">
        <f>IF(AND(Table1[[#This Row],[pH]]&gt;=3.2,Table1[[#This Row],[alcohol]]&gt;=10),"White wine","Red wine")</f>
        <v>Red wine</v>
      </c>
    </row>
    <row r="435" spans="1:19" x14ac:dyDescent="0.3">
      <c r="A435" s="13">
        <v>434</v>
      </c>
      <c r="B435" s="1">
        <v>12.3</v>
      </c>
      <c r="C435" s="1">
        <v>0.39</v>
      </c>
      <c r="D435" s="1">
        <v>0.63</v>
      </c>
      <c r="E435" s="1">
        <v>2.2999999999999998</v>
      </c>
      <c r="F435" s="1">
        <v>9.0999999999999998E-2</v>
      </c>
      <c r="G435" s="1">
        <v>6</v>
      </c>
      <c r="H435" s="1">
        <v>18</v>
      </c>
      <c r="I435" s="1">
        <v>1.0004</v>
      </c>
      <c r="J435" s="1">
        <v>3.16</v>
      </c>
      <c r="K435" s="1">
        <v>0.49</v>
      </c>
      <c r="L435" s="1">
        <v>9.5</v>
      </c>
      <c r="M435" s="2">
        <v>5</v>
      </c>
      <c r="N435" s="2" t="str" cm="1">
        <f t="array" ref="N435">_xlfn.IFS(Table1[[#This Row],[quality]]&lt;=4,"Low",Table1[[#This Row],[quality]]&lt;=6,"Medium",Table1[[#This Row],[quality]]&gt;=7,"High")</f>
        <v>Medium</v>
      </c>
      <c r="O435" s="2" t="str">
        <f>IF(AND(Table1[[#This Row],[fixed acidity]]&gt;Sheet1!$C$4,Table1[[#This Row],[pH]]&lt;Sheet1!$K$4),"High","Normal")</f>
        <v>High</v>
      </c>
      <c r="P435" s="1">
        <f>(Table1[[#This Row],[alcohol]]*2)+(Table1[[#This Row],[sulphates]]*1.5)-(Table1[[#This Row],[volatile acidity]]*2)</f>
        <v>18.954999999999998</v>
      </c>
      <c r="Q435" s="1">
        <f>RANK(Table1[[#This Row],[Quality_score_index]],Table1[Quality_score_index],0)</f>
        <v>1180</v>
      </c>
      <c r="R435" s="1">
        <f>Table1[[#This Row],[total sulfur dioxide]]-Table1[[#This Row],[free sulfur dioxide]]</f>
        <v>12</v>
      </c>
      <c r="S435" s="1" t="str">
        <f>IF(AND(Table1[[#This Row],[pH]]&gt;=3.2,Table1[[#This Row],[alcohol]]&gt;=10),"White wine","Red wine")</f>
        <v>Red wine</v>
      </c>
    </row>
    <row r="436" spans="1:19" x14ac:dyDescent="0.3">
      <c r="A436" s="13">
        <v>435</v>
      </c>
      <c r="B436" s="1">
        <v>10.4</v>
      </c>
      <c r="C436" s="1">
        <v>0.41</v>
      </c>
      <c r="D436" s="1">
        <v>0.55000000000000004</v>
      </c>
      <c r="E436" s="1">
        <v>3.2</v>
      </c>
      <c r="F436" s="1">
        <v>7.5999999999999998E-2</v>
      </c>
      <c r="G436" s="1">
        <v>22</v>
      </c>
      <c r="H436" s="1">
        <v>54</v>
      </c>
      <c r="I436" s="1">
        <v>0.99960000000000004</v>
      </c>
      <c r="J436" s="1">
        <v>3.15</v>
      </c>
      <c r="K436" s="1">
        <v>0.89</v>
      </c>
      <c r="L436" s="1">
        <v>9.9</v>
      </c>
      <c r="M436" s="2">
        <v>6</v>
      </c>
      <c r="N436" s="2" t="str" cm="1">
        <f t="array" ref="N436">_xlfn.IFS(Table1[[#This Row],[quality]]&lt;=4,"Low",Table1[[#This Row],[quality]]&lt;=6,"Medium",Table1[[#This Row],[quality]]&gt;=7,"High")</f>
        <v>Medium</v>
      </c>
      <c r="O436" s="2" t="str">
        <f>IF(AND(Table1[[#This Row],[fixed acidity]]&gt;Sheet1!$C$4,Table1[[#This Row],[pH]]&lt;Sheet1!$K$4),"High","Normal")</f>
        <v>High</v>
      </c>
      <c r="P436" s="1">
        <f>(Table1[[#This Row],[alcohol]]*2)+(Table1[[#This Row],[sulphates]]*1.5)-(Table1[[#This Row],[volatile acidity]]*2)</f>
        <v>20.315000000000001</v>
      </c>
      <c r="Q436" s="1">
        <f>RANK(Table1[[#This Row],[Quality_score_index]],Table1[Quality_score_index],0)</f>
        <v>788</v>
      </c>
      <c r="R436" s="1">
        <f>Table1[[#This Row],[total sulfur dioxide]]-Table1[[#This Row],[free sulfur dioxide]]</f>
        <v>32</v>
      </c>
      <c r="S436" s="1" t="str">
        <f>IF(AND(Table1[[#This Row],[pH]]&gt;=3.2,Table1[[#This Row],[alcohol]]&gt;=10),"White wine","Red wine")</f>
        <v>Red wine</v>
      </c>
    </row>
    <row r="437" spans="1:19" x14ac:dyDescent="0.3">
      <c r="A437" s="13">
        <v>436</v>
      </c>
      <c r="B437" s="1">
        <v>12.3</v>
      </c>
      <c r="C437" s="1">
        <v>0.39</v>
      </c>
      <c r="D437" s="1">
        <v>0.63</v>
      </c>
      <c r="E437" s="1">
        <v>2.2999999999999998</v>
      </c>
      <c r="F437" s="1">
        <v>9.0999999999999998E-2</v>
      </c>
      <c r="G437" s="1">
        <v>6</v>
      </c>
      <c r="H437" s="1">
        <v>18</v>
      </c>
      <c r="I437" s="1">
        <v>1.0004</v>
      </c>
      <c r="J437" s="1">
        <v>3.16</v>
      </c>
      <c r="K437" s="1">
        <v>0.49</v>
      </c>
      <c r="L437" s="1">
        <v>9.5</v>
      </c>
      <c r="M437" s="2">
        <v>5</v>
      </c>
      <c r="N437" s="2" t="str" cm="1">
        <f t="array" ref="N437">_xlfn.IFS(Table1[[#This Row],[quality]]&lt;=4,"Low",Table1[[#This Row],[quality]]&lt;=6,"Medium",Table1[[#This Row],[quality]]&gt;=7,"High")</f>
        <v>Medium</v>
      </c>
      <c r="O437" s="2" t="str">
        <f>IF(AND(Table1[[#This Row],[fixed acidity]]&gt;Sheet1!$C$4,Table1[[#This Row],[pH]]&lt;Sheet1!$K$4),"High","Normal")</f>
        <v>High</v>
      </c>
      <c r="P437" s="1">
        <f>(Table1[[#This Row],[alcohol]]*2)+(Table1[[#This Row],[sulphates]]*1.5)-(Table1[[#This Row],[volatile acidity]]*2)</f>
        <v>18.954999999999998</v>
      </c>
      <c r="Q437" s="1">
        <f>RANK(Table1[[#This Row],[Quality_score_index]],Table1[Quality_score_index],0)</f>
        <v>1180</v>
      </c>
      <c r="R437" s="1">
        <f>Table1[[#This Row],[total sulfur dioxide]]-Table1[[#This Row],[free sulfur dioxide]]</f>
        <v>12</v>
      </c>
      <c r="S437" s="1" t="str">
        <f>IF(AND(Table1[[#This Row],[pH]]&gt;=3.2,Table1[[#This Row],[alcohol]]&gt;=10),"White wine","Red wine")</f>
        <v>Red wine</v>
      </c>
    </row>
    <row r="438" spans="1:19" x14ac:dyDescent="0.3">
      <c r="A438" s="13">
        <v>437</v>
      </c>
      <c r="B438" s="1">
        <v>8</v>
      </c>
      <c r="C438" s="1">
        <v>0.67</v>
      </c>
      <c r="D438" s="1">
        <v>0.3</v>
      </c>
      <c r="E438" s="1">
        <v>2</v>
      </c>
      <c r="F438" s="1">
        <v>0.06</v>
      </c>
      <c r="G438" s="1">
        <v>38</v>
      </c>
      <c r="H438" s="1">
        <v>62</v>
      </c>
      <c r="I438" s="1">
        <v>0.99580000000000002</v>
      </c>
      <c r="J438" s="1">
        <v>3.26</v>
      </c>
      <c r="K438" s="1">
        <v>0.56000000000000005</v>
      </c>
      <c r="L438" s="1">
        <v>10.199999999999999</v>
      </c>
      <c r="M438" s="2">
        <v>6</v>
      </c>
      <c r="N438" s="2" t="str" cm="1">
        <f t="array" ref="N438">_xlfn.IFS(Table1[[#This Row],[quality]]&lt;=4,"Low",Table1[[#This Row],[quality]]&lt;=6,"Medium",Table1[[#This Row],[quality]]&gt;=7,"High")</f>
        <v>Medium</v>
      </c>
      <c r="O438" s="2" t="str">
        <f>IF(AND(Table1[[#This Row],[fixed acidity]]&gt;Sheet1!$C$4,Table1[[#This Row],[pH]]&lt;Sheet1!$K$4),"High","Normal")</f>
        <v>Normal</v>
      </c>
      <c r="P438" s="1">
        <f>(Table1[[#This Row],[alcohol]]*2)+(Table1[[#This Row],[sulphates]]*1.5)-(Table1[[#This Row],[volatile acidity]]*2)</f>
        <v>19.899999999999999</v>
      </c>
      <c r="Q438" s="1">
        <f>RANK(Table1[[#This Row],[Quality_score_index]],Table1[Quality_score_index],0)</f>
        <v>880</v>
      </c>
      <c r="R438" s="1">
        <f>Table1[[#This Row],[total sulfur dioxide]]-Table1[[#This Row],[free sulfur dioxide]]</f>
        <v>24</v>
      </c>
      <c r="S438" s="1" t="str">
        <f>IF(AND(Table1[[#This Row],[pH]]&gt;=3.2,Table1[[#This Row],[alcohol]]&gt;=10),"White wine","Red wine")</f>
        <v>White wine</v>
      </c>
    </row>
    <row r="439" spans="1:19" x14ac:dyDescent="0.3">
      <c r="A439" s="13">
        <v>438</v>
      </c>
      <c r="B439" s="1">
        <v>11.1</v>
      </c>
      <c r="C439" s="1">
        <v>0.45</v>
      </c>
      <c r="D439" s="1">
        <v>0.73</v>
      </c>
      <c r="E439" s="1">
        <v>3.2</v>
      </c>
      <c r="F439" s="1">
        <v>6.6000000000000003E-2</v>
      </c>
      <c r="G439" s="1">
        <v>6</v>
      </c>
      <c r="H439" s="1">
        <v>22</v>
      </c>
      <c r="I439" s="1">
        <v>0.99860000000000004</v>
      </c>
      <c r="J439" s="1">
        <v>3.17</v>
      </c>
      <c r="K439" s="1">
        <v>0.66</v>
      </c>
      <c r="L439" s="1">
        <v>11.2</v>
      </c>
      <c r="M439" s="2">
        <v>6</v>
      </c>
      <c r="N439" s="2" t="str" cm="1">
        <f t="array" ref="N439">_xlfn.IFS(Table1[[#This Row],[quality]]&lt;=4,"Low",Table1[[#This Row],[quality]]&lt;=6,"Medium",Table1[[#This Row],[quality]]&gt;=7,"High")</f>
        <v>Medium</v>
      </c>
      <c r="O439" s="2" t="str">
        <f>IF(AND(Table1[[#This Row],[fixed acidity]]&gt;Sheet1!$C$4,Table1[[#This Row],[pH]]&lt;Sheet1!$K$4),"High","Normal")</f>
        <v>High</v>
      </c>
      <c r="P439" s="1">
        <f>(Table1[[#This Row],[alcohol]]*2)+(Table1[[#This Row],[sulphates]]*1.5)-(Table1[[#This Row],[volatile acidity]]*2)</f>
        <v>22.49</v>
      </c>
      <c r="Q439" s="1">
        <f>RANK(Table1[[#This Row],[Quality_score_index]],Table1[Quality_score_index],0)</f>
        <v>372</v>
      </c>
      <c r="R439" s="1">
        <f>Table1[[#This Row],[total sulfur dioxide]]-Table1[[#This Row],[free sulfur dioxide]]</f>
        <v>16</v>
      </c>
      <c r="S439" s="1" t="str">
        <f>IF(AND(Table1[[#This Row],[pH]]&gt;=3.2,Table1[[#This Row],[alcohol]]&gt;=10),"White wine","Red wine")</f>
        <v>Red wine</v>
      </c>
    </row>
    <row r="440" spans="1:19" x14ac:dyDescent="0.3">
      <c r="A440" s="13">
        <v>439</v>
      </c>
      <c r="B440" s="1">
        <v>10.4</v>
      </c>
      <c r="C440" s="1">
        <v>0.41</v>
      </c>
      <c r="D440" s="1">
        <v>0.55000000000000004</v>
      </c>
      <c r="E440" s="1">
        <v>3.2</v>
      </c>
      <c r="F440" s="1">
        <v>7.5999999999999998E-2</v>
      </c>
      <c r="G440" s="1">
        <v>22</v>
      </c>
      <c r="H440" s="1">
        <v>54</v>
      </c>
      <c r="I440" s="1">
        <v>0.99960000000000004</v>
      </c>
      <c r="J440" s="1">
        <v>3.15</v>
      </c>
      <c r="K440" s="1">
        <v>0.89</v>
      </c>
      <c r="L440" s="1">
        <v>9.9</v>
      </c>
      <c r="M440" s="2">
        <v>6</v>
      </c>
      <c r="N440" s="2" t="str" cm="1">
        <f t="array" ref="N440">_xlfn.IFS(Table1[[#This Row],[quality]]&lt;=4,"Low",Table1[[#This Row],[quality]]&lt;=6,"Medium",Table1[[#This Row],[quality]]&gt;=7,"High")</f>
        <v>Medium</v>
      </c>
      <c r="O440" s="2" t="str">
        <f>IF(AND(Table1[[#This Row],[fixed acidity]]&gt;Sheet1!$C$4,Table1[[#This Row],[pH]]&lt;Sheet1!$K$4),"High","Normal")</f>
        <v>High</v>
      </c>
      <c r="P440" s="1">
        <f>(Table1[[#This Row],[alcohol]]*2)+(Table1[[#This Row],[sulphates]]*1.5)-(Table1[[#This Row],[volatile acidity]]*2)</f>
        <v>20.315000000000001</v>
      </c>
      <c r="Q440" s="1">
        <f>RANK(Table1[[#This Row],[Quality_score_index]],Table1[Quality_score_index],0)</f>
        <v>788</v>
      </c>
      <c r="R440" s="1">
        <f>Table1[[#This Row],[total sulfur dioxide]]-Table1[[#This Row],[free sulfur dioxide]]</f>
        <v>32</v>
      </c>
      <c r="S440" s="1" t="str">
        <f>IF(AND(Table1[[#This Row],[pH]]&gt;=3.2,Table1[[#This Row],[alcohol]]&gt;=10),"White wine","Red wine")</f>
        <v>Red wine</v>
      </c>
    </row>
    <row r="441" spans="1:19" x14ac:dyDescent="0.3">
      <c r="A441" s="13">
        <v>440</v>
      </c>
      <c r="B441" s="1">
        <v>7</v>
      </c>
      <c r="C441" s="1">
        <v>0.62</v>
      </c>
      <c r="D441" s="1">
        <v>0.18</v>
      </c>
      <c r="E441" s="1">
        <v>1.5</v>
      </c>
      <c r="F441" s="1">
        <v>6.2E-2</v>
      </c>
      <c r="G441" s="1">
        <v>7</v>
      </c>
      <c r="H441" s="1">
        <v>50</v>
      </c>
      <c r="I441" s="1">
        <v>0.99509999999999998</v>
      </c>
      <c r="J441" s="1">
        <v>3.08</v>
      </c>
      <c r="K441" s="1">
        <v>0.6</v>
      </c>
      <c r="L441" s="1">
        <v>9.3000000000000007</v>
      </c>
      <c r="M441" s="2">
        <v>5</v>
      </c>
      <c r="N441" s="2" t="str" cm="1">
        <f t="array" ref="N441">_xlfn.IFS(Table1[[#This Row],[quality]]&lt;=4,"Low",Table1[[#This Row],[quality]]&lt;=6,"Medium",Table1[[#This Row],[quality]]&gt;=7,"High")</f>
        <v>Medium</v>
      </c>
      <c r="O441" s="2" t="str">
        <f>IF(AND(Table1[[#This Row],[fixed acidity]]&gt;Sheet1!$C$4,Table1[[#This Row],[pH]]&lt;Sheet1!$K$4),"High","Normal")</f>
        <v>Normal</v>
      </c>
      <c r="P441" s="1">
        <f>(Table1[[#This Row],[alcohol]]*2)+(Table1[[#This Row],[sulphates]]*1.5)-(Table1[[#This Row],[volatile acidity]]*2)</f>
        <v>18.260000000000002</v>
      </c>
      <c r="Q441" s="1">
        <f>RANK(Table1[[#This Row],[Quality_score_index]],Table1[Quality_score_index],0)</f>
        <v>1463</v>
      </c>
      <c r="R441" s="1">
        <f>Table1[[#This Row],[total sulfur dioxide]]-Table1[[#This Row],[free sulfur dioxide]]</f>
        <v>43</v>
      </c>
      <c r="S441" s="1" t="str">
        <f>IF(AND(Table1[[#This Row],[pH]]&gt;=3.2,Table1[[#This Row],[alcohol]]&gt;=10),"White wine","Red wine")</f>
        <v>Red wine</v>
      </c>
    </row>
    <row r="442" spans="1:19" x14ac:dyDescent="0.3">
      <c r="A442" s="13">
        <v>441</v>
      </c>
      <c r="B442" s="1">
        <v>12.6</v>
      </c>
      <c r="C442" s="1">
        <v>0.31</v>
      </c>
      <c r="D442" s="1">
        <v>0.72</v>
      </c>
      <c r="E442" s="1">
        <v>2.2000000000000002</v>
      </c>
      <c r="F442" s="1">
        <v>7.1999999999999995E-2</v>
      </c>
      <c r="G442" s="1">
        <v>6</v>
      </c>
      <c r="H442" s="1">
        <v>29</v>
      </c>
      <c r="I442" s="1">
        <v>0.99870000000000003</v>
      </c>
      <c r="J442" s="1">
        <v>2.88</v>
      </c>
      <c r="K442" s="1">
        <v>0.82</v>
      </c>
      <c r="L442" s="1">
        <v>9.8000000000000007</v>
      </c>
      <c r="M442" s="2">
        <v>8</v>
      </c>
      <c r="N442" s="2" t="str" cm="1">
        <f t="array" ref="N442">_xlfn.IFS(Table1[[#This Row],[quality]]&lt;=4,"Low",Table1[[#This Row],[quality]]&lt;=6,"Medium",Table1[[#This Row],[quality]]&gt;=7,"High")</f>
        <v>High</v>
      </c>
      <c r="O442" s="2" t="str">
        <f>IF(AND(Table1[[#This Row],[fixed acidity]]&gt;Sheet1!$C$4,Table1[[#This Row],[pH]]&lt;Sheet1!$K$4),"High","Normal")</f>
        <v>High</v>
      </c>
      <c r="P442" s="1">
        <f>(Table1[[#This Row],[alcohol]]*2)+(Table1[[#This Row],[sulphates]]*1.5)-(Table1[[#This Row],[volatile acidity]]*2)</f>
        <v>20.21</v>
      </c>
      <c r="Q442" s="1">
        <f>RANK(Table1[[#This Row],[Quality_score_index]],Table1[Quality_score_index],0)</f>
        <v>811</v>
      </c>
      <c r="R442" s="1">
        <f>Table1[[#This Row],[total sulfur dioxide]]-Table1[[#This Row],[free sulfur dioxide]]</f>
        <v>23</v>
      </c>
      <c r="S442" s="1" t="str">
        <f>IF(AND(Table1[[#This Row],[pH]]&gt;=3.2,Table1[[#This Row],[alcohol]]&gt;=10),"White wine","Red wine")</f>
        <v>Red wine</v>
      </c>
    </row>
    <row r="443" spans="1:19" x14ac:dyDescent="0.3">
      <c r="A443" s="13">
        <v>442</v>
      </c>
      <c r="B443" s="1">
        <v>11.9</v>
      </c>
      <c r="C443" s="1">
        <v>0.4</v>
      </c>
      <c r="D443" s="1">
        <v>0.65</v>
      </c>
      <c r="E443" s="1">
        <v>2.15</v>
      </c>
      <c r="F443" s="1">
        <v>6.8000000000000005E-2</v>
      </c>
      <c r="G443" s="1">
        <v>7</v>
      </c>
      <c r="H443" s="1">
        <v>27</v>
      </c>
      <c r="I443" s="1">
        <v>0.99880000000000002</v>
      </c>
      <c r="J443" s="1">
        <v>3.06</v>
      </c>
      <c r="K443" s="1">
        <v>0.68</v>
      </c>
      <c r="L443" s="1">
        <v>11.3</v>
      </c>
      <c r="M443" s="2">
        <v>6</v>
      </c>
      <c r="N443" s="2" t="str" cm="1">
        <f t="array" ref="N443">_xlfn.IFS(Table1[[#This Row],[quality]]&lt;=4,"Low",Table1[[#This Row],[quality]]&lt;=6,"Medium",Table1[[#This Row],[quality]]&gt;=7,"High")</f>
        <v>Medium</v>
      </c>
      <c r="O443" s="2" t="str">
        <f>IF(AND(Table1[[#This Row],[fixed acidity]]&gt;Sheet1!$C$4,Table1[[#This Row],[pH]]&lt;Sheet1!$K$4),"High","Normal")</f>
        <v>High</v>
      </c>
      <c r="P443" s="1">
        <f>(Table1[[#This Row],[alcohol]]*2)+(Table1[[#This Row],[sulphates]]*1.5)-(Table1[[#This Row],[volatile acidity]]*2)</f>
        <v>22.82</v>
      </c>
      <c r="Q443" s="1">
        <f>RANK(Table1[[#This Row],[Quality_score_index]],Table1[Quality_score_index],0)</f>
        <v>310</v>
      </c>
      <c r="R443" s="1">
        <f>Table1[[#This Row],[total sulfur dioxide]]-Table1[[#This Row],[free sulfur dioxide]]</f>
        <v>20</v>
      </c>
      <c r="S443" s="1" t="str">
        <f>IF(AND(Table1[[#This Row],[pH]]&gt;=3.2,Table1[[#This Row],[alcohol]]&gt;=10),"White wine","Red wine")</f>
        <v>Red wine</v>
      </c>
    </row>
    <row r="444" spans="1:19" x14ac:dyDescent="0.3">
      <c r="A444" s="13">
        <v>443</v>
      </c>
      <c r="B444" s="1">
        <v>15.6</v>
      </c>
      <c r="C444" s="1">
        <v>0.68500000000000005</v>
      </c>
      <c r="D444" s="1">
        <v>0.76</v>
      </c>
      <c r="E444" s="1">
        <v>3.7</v>
      </c>
      <c r="F444" s="1">
        <v>0.1</v>
      </c>
      <c r="G444" s="1">
        <v>6</v>
      </c>
      <c r="H444" s="1">
        <v>43</v>
      </c>
      <c r="I444" s="1">
        <v>1.0032000000000001</v>
      </c>
      <c r="J444" s="1">
        <v>2.95</v>
      </c>
      <c r="K444" s="1">
        <v>0.68</v>
      </c>
      <c r="L444" s="1">
        <v>11.2</v>
      </c>
      <c r="M444" s="2">
        <v>7</v>
      </c>
      <c r="N444" s="2" t="str" cm="1">
        <f t="array" ref="N444">_xlfn.IFS(Table1[[#This Row],[quality]]&lt;=4,"Low",Table1[[#This Row],[quality]]&lt;=6,"Medium",Table1[[#This Row],[quality]]&gt;=7,"High")</f>
        <v>High</v>
      </c>
      <c r="O444" s="2" t="str">
        <f>IF(AND(Table1[[#This Row],[fixed acidity]]&gt;Sheet1!$C$4,Table1[[#This Row],[pH]]&lt;Sheet1!$K$4),"High","Normal")</f>
        <v>High</v>
      </c>
      <c r="P444" s="1">
        <f>(Table1[[#This Row],[alcohol]]*2)+(Table1[[#This Row],[sulphates]]*1.5)-(Table1[[#This Row],[volatile acidity]]*2)</f>
        <v>22.049999999999997</v>
      </c>
      <c r="Q444" s="1">
        <f>RANK(Table1[[#This Row],[Quality_score_index]],Table1[Quality_score_index],0)</f>
        <v>448</v>
      </c>
      <c r="R444" s="1">
        <f>Table1[[#This Row],[total sulfur dioxide]]-Table1[[#This Row],[free sulfur dioxide]]</f>
        <v>37</v>
      </c>
      <c r="S444" s="1" t="str">
        <f>IF(AND(Table1[[#This Row],[pH]]&gt;=3.2,Table1[[#This Row],[alcohol]]&gt;=10),"White wine","Red wine")</f>
        <v>Red wine</v>
      </c>
    </row>
    <row r="445" spans="1:19" x14ac:dyDescent="0.3">
      <c r="A445" s="13">
        <v>444</v>
      </c>
      <c r="B445" s="1">
        <v>10</v>
      </c>
      <c r="C445" s="1">
        <v>0.44</v>
      </c>
      <c r="D445" s="1">
        <v>0.49</v>
      </c>
      <c r="E445" s="1">
        <v>2.7</v>
      </c>
      <c r="F445" s="1">
        <v>7.6999999999999999E-2</v>
      </c>
      <c r="G445" s="1">
        <v>11</v>
      </c>
      <c r="H445" s="1">
        <v>19</v>
      </c>
      <c r="I445" s="1">
        <v>0.99629999999999996</v>
      </c>
      <c r="J445" s="1">
        <v>3.23</v>
      </c>
      <c r="K445" s="1">
        <v>0.63</v>
      </c>
      <c r="L445" s="1">
        <v>11.6</v>
      </c>
      <c r="M445" s="2">
        <v>7</v>
      </c>
      <c r="N445" s="2" t="str" cm="1">
        <f t="array" ref="N445">_xlfn.IFS(Table1[[#This Row],[quality]]&lt;=4,"Low",Table1[[#This Row],[quality]]&lt;=6,"Medium",Table1[[#This Row],[quality]]&gt;=7,"High")</f>
        <v>High</v>
      </c>
      <c r="O445" s="2" t="str">
        <f>IF(AND(Table1[[#This Row],[fixed acidity]]&gt;Sheet1!$C$4,Table1[[#This Row],[pH]]&lt;Sheet1!$K$4),"High","Normal")</f>
        <v>High</v>
      </c>
      <c r="P445" s="1">
        <f>(Table1[[#This Row],[alcohol]]*2)+(Table1[[#This Row],[sulphates]]*1.5)-(Table1[[#This Row],[volatile acidity]]*2)</f>
        <v>23.265000000000001</v>
      </c>
      <c r="Q445" s="1">
        <f>RANK(Table1[[#This Row],[Quality_score_index]],Table1[Quality_score_index],0)</f>
        <v>237</v>
      </c>
      <c r="R445" s="1">
        <f>Table1[[#This Row],[total sulfur dioxide]]-Table1[[#This Row],[free sulfur dioxide]]</f>
        <v>8</v>
      </c>
      <c r="S445" s="1" t="str">
        <f>IF(AND(Table1[[#This Row],[pH]]&gt;=3.2,Table1[[#This Row],[alcohol]]&gt;=10),"White wine","Red wine")</f>
        <v>White wine</v>
      </c>
    </row>
    <row r="446" spans="1:19" x14ac:dyDescent="0.3">
      <c r="A446" s="13">
        <v>445</v>
      </c>
      <c r="B446" s="1">
        <v>5.3</v>
      </c>
      <c r="C446" s="1">
        <v>0.56999999999999995</v>
      </c>
      <c r="D446" s="1">
        <v>0.01</v>
      </c>
      <c r="E446" s="1">
        <v>1.7</v>
      </c>
      <c r="F446" s="1">
        <v>5.3999999999999999E-2</v>
      </c>
      <c r="G446" s="1">
        <v>5</v>
      </c>
      <c r="H446" s="1">
        <v>27</v>
      </c>
      <c r="I446" s="1">
        <v>0.99339999999999995</v>
      </c>
      <c r="J446" s="1">
        <v>3.57</v>
      </c>
      <c r="K446" s="1">
        <v>0.84</v>
      </c>
      <c r="L446" s="1">
        <v>12.5</v>
      </c>
      <c r="M446" s="2">
        <v>7</v>
      </c>
      <c r="N446" s="2" t="str" cm="1">
        <f t="array" ref="N446">_xlfn.IFS(Table1[[#This Row],[quality]]&lt;=4,"Low",Table1[[#This Row],[quality]]&lt;=6,"Medium",Table1[[#This Row],[quality]]&gt;=7,"High")</f>
        <v>High</v>
      </c>
      <c r="O446" s="2" t="str">
        <f>IF(AND(Table1[[#This Row],[fixed acidity]]&gt;Sheet1!$C$4,Table1[[#This Row],[pH]]&lt;Sheet1!$K$4),"High","Normal")</f>
        <v>Normal</v>
      </c>
      <c r="P446" s="1">
        <f>(Table1[[#This Row],[alcohol]]*2)+(Table1[[#This Row],[sulphates]]*1.5)-(Table1[[#This Row],[volatile acidity]]*2)</f>
        <v>25.12</v>
      </c>
      <c r="Q446" s="1">
        <f>RANK(Table1[[#This Row],[Quality_score_index]],Table1[Quality_score_index],0)</f>
        <v>88</v>
      </c>
      <c r="R446" s="1">
        <f>Table1[[#This Row],[total sulfur dioxide]]-Table1[[#This Row],[free sulfur dioxide]]</f>
        <v>22</v>
      </c>
      <c r="S446" s="1" t="str">
        <f>IF(AND(Table1[[#This Row],[pH]]&gt;=3.2,Table1[[#This Row],[alcohol]]&gt;=10),"White wine","Red wine")</f>
        <v>White wine</v>
      </c>
    </row>
    <row r="447" spans="1:19" x14ac:dyDescent="0.3">
      <c r="A447" s="13">
        <v>446</v>
      </c>
      <c r="B447" s="1">
        <v>9.5</v>
      </c>
      <c r="C447" s="1">
        <v>0.73499999999999999</v>
      </c>
      <c r="D447" s="1">
        <v>0.1</v>
      </c>
      <c r="E447" s="1">
        <v>2.1</v>
      </c>
      <c r="F447" s="1">
        <v>7.9000000000000001E-2</v>
      </c>
      <c r="G447" s="1">
        <v>6</v>
      </c>
      <c r="H447" s="1">
        <v>31</v>
      </c>
      <c r="I447" s="1">
        <v>0.99860000000000004</v>
      </c>
      <c r="J447" s="1">
        <v>3.23</v>
      </c>
      <c r="K447" s="1">
        <v>0.56000000000000005</v>
      </c>
      <c r="L447" s="1">
        <v>10.1</v>
      </c>
      <c r="M447" s="2">
        <v>6</v>
      </c>
      <c r="N447" s="2" t="str" cm="1">
        <f t="array" ref="N447">_xlfn.IFS(Table1[[#This Row],[quality]]&lt;=4,"Low",Table1[[#This Row],[quality]]&lt;=6,"Medium",Table1[[#This Row],[quality]]&gt;=7,"High")</f>
        <v>Medium</v>
      </c>
      <c r="O447" s="2" t="str">
        <f>IF(AND(Table1[[#This Row],[fixed acidity]]&gt;Sheet1!$C$4,Table1[[#This Row],[pH]]&lt;Sheet1!$K$4),"High","Normal")</f>
        <v>High</v>
      </c>
      <c r="P447" s="1">
        <f>(Table1[[#This Row],[alcohol]]*2)+(Table1[[#This Row],[sulphates]]*1.5)-(Table1[[#This Row],[volatile acidity]]*2)</f>
        <v>19.57</v>
      </c>
      <c r="Q447" s="1">
        <f>RANK(Table1[[#This Row],[Quality_score_index]],Table1[Quality_score_index],0)</f>
        <v>959</v>
      </c>
      <c r="R447" s="1">
        <f>Table1[[#This Row],[total sulfur dioxide]]-Table1[[#This Row],[free sulfur dioxide]]</f>
        <v>25</v>
      </c>
      <c r="S447" s="1" t="str">
        <f>IF(AND(Table1[[#This Row],[pH]]&gt;=3.2,Table1[[#This Row],[alcohol]]&gt;=10),"White wine","Red wine")</f>
        <v>White wine</v>
      </c>
    </row>
    <row r="448" spans="1:19" x14ac:dyDescent="0.3">
      <c r="A448" s="13">
        <v>447</v>
      </c>
      <c r="B448" s="1">
        <v>12.5</v>
      </c>
      <c r="C448" s="1">
        <v>0.38</v>
      </c>
      <c r="D448" s="1">
        <v>0.6</v>
      </c>
      <c r="E448" s="1">
        <v>2.6</v>
      </c>
      <c r="F448" s="1">
        <v>8.1000000000000003E-2</v>
      </c>
      <c r="G448" s="1">
        <v>31</v>
      </c>
      <c r="H448" s="1">
        <v>72</v>
      </c>
      <c r="I448" s="1">
        <v>0.99960000000000004</v>
      </c>
      <c r="J448" s="1">
        <v>3.1</v>
      </c>
      <c r="K448" s="1">
        <v>0.73</v>
      </c>
      <c r="L448" s="1">
        <v>10.5</v>
      </c>
      <c r="M448" s="2">
        <v>5</v>
      </c>
      <c r="N448" s="2" t="str" cm="1">
        <f t="array" ref="N448">_xlfn.IFS(Table1[[#This Row],[quality]]&lt;=4,"Low",Table1[[#This Row],[quality]]&lt;=6,"Medium",Table1[[#This Row],[quality]]&gt;=7,"High")</f>
        <v>Medium</v>
      </c>
      <c r="O448" s="2" t="str">
        <f>IF(AND(Table1[[#This Row],[fixed acidity]]&gt;Sheet1!$C$4,Table1[[#This Row],[pH]]&lt;Sheet1!$K$4),"High","Normal")</f>
        <v>High</v>
      </c>
      <c r="P448" s="1">
        <f>(Table1[[#This Row],[alcohol]]*2)+(Table1[[#This Row],[sulphates]]*1.5)-(Table1[[#This Row],[volatile acidity]]*2)</f>
        <v>21.334999999999997</v>
      </c>
      <c r="Q448" s="1">
        <f>RANK(Table1[[#This Row],[Quality_score_index]],Table1[Quality_score_index],0)</f>
        <v>572</v>
      </c>
      <c r="R448" s="1">
        <f>Table1[[#This Row],[total sulfur dioxide]]-Table1[[#This Row],[free sulfur dioxide]]</f>
        <v>41</v>
      </c>
      <c r="S448" s="1" t="str">
        <f>IF(AND(Table1[[#This Row],[pH]]&gt;=3.2,Table1[[#This Row],[alcohol]]&gt;=10),"White wine","Red wine")</f>
        <v>Red wine</v>
      </c>
    </row>
    <row r="449" spans="1:19" x14ac:dyDescent="0.3">
      <c r="A449" s="13">
        <v>448</v>
      </c>
      <c r="B449" s="1">
        <v>9.3000000000000007</v>
      </c>
      <c r="C449" s="1">
        <v>0.48</v>
      </c>
      <c r="D449" s="1">
        <v>0.28999999999999998</v>
      </c>
      <c r="E449" s="1">
        <v>2.1</v>
      </c>
      <c r="F449" s="1">
        <v>0.127</v>
      </c>
      <c r="G449" s="1">
        <v>6</v>
      </c>
      <c r="H449" s="1">
        <v>16</v>
      </c>
      <c r="I449" s="1">
        <v>0.99680000000000002</v>
      </c>
      <c r="J449" s="1">
        <v>3.22</v>
      </c>
      <c r="K449" s="1">
        <v>0.72</v>
      </c>
      <c r="L449" s="1">
        <v>11.2</v>
      </c>
      <c r="M449" s="2">
        <v>5</v>
      </c>
      <c r="N449" s="2" t="str" cm="1">
        <f t="array" ref="N449">_xlfn.IFS(Table1[[#This Row],[quality]]&lt;=4,"Low",Table1[[#This Row],[quality]]&lt;=6,"Medium",Table1[[#This Row],[quality]]&gt;=7,"High")</f>
        <v>Medium</v>
      </c>
      <c r="O449" s="2" t="str">
        <f>IF(AND(Table1[[#This Row],[fixed acidity]]&gt;Sheet1!$C$4,Table1[[#This Row],[pH]]&lt;Sheet1!$K$4),"High","Normal")</f>
        <v>High</v>
      </c>
      <c r="P449" s="1">
        <f>(Table1[[#This Row],[alcohol]]*2)+(Table1[[#This Row],[sulphates]]*1.5)-(Table1[[#This Row],[volatile acidity]]*2)</f>
        <v>22.519999999999996</v>
      </c>
      <c r="Q449" s="1">
        <f>RANK(Table1[[#This Row],[Quality_score_index]],Table1[Quality_score_index],0)</f>
        <v>361</v>
      </c>
      <c r="R449" s="1">
        <f>Table1[[#This Row],[total sulfur dioxide]]-Table1[[#This Row],[free sulfur dioxide]]</f>
        <v>10</v>
      </c>
      <c r="S449" s="1" t="str">
        <f>IF(AND(Table1[[#This Row],[pH]]&gt;=3.2,Table1[[#This Row],[alcohol]]&gt;=10),"White wine","Red wine")</f>
        <v>White wine</v>
      </c>
    </row>
    <row r="450" spans="1:19" x14ac:dyDescent="0.3">
      <c r="A450" s="13">
        <v>449</v>
      </c>
      <c r="B450" s="1">
        <v>8.6</v>
      </c>
      <c r="C450" s="1">
        <v>0.53</v>
      </c>
      <c r="D450" s="1">
        <v>0.22</v>
      </c>
      <c r="E450" s="1">
        <v>2</v>
      </c>
      <c r="F450" s="1">
        <v>0.1</v>
      </c>
      <c r="G450" s="1">
        <v>7</v>
      </c>
      <c r="H450" s="1">
        <v>27</v>
      </c>
      <c r="I450" s="1">
        <v>0.99670000000000003</v>
      </c>
      <c r="J450" s="1">
        <v>3.2</v>
      </c>
      <c r="K450" s="1">
        <v>0.56000000000000005</v>
      </c>
      <c r="L450" s="1">
        <v>10.199999999999999</v>
      </c>
      <c r="M450" s="2">
        <v>6</v>
      </c>
      <c r="N450" s="2" t="str" cm="1">
        <f t="array" ref="N450">_xlfn.IFS(Table1[[#This Row],[quality]]&lt;=4,"Low",Table1[[#This Row],[quality]]&lt;=6,"Medium",Table1[[#This Row],[quality]]&gt;=7,"High")</f>
        <v>Medium</v>
      </c>
      <c r="O450" s="2" t="str">
        <f>IF(AND(Table1[[#This Row],[fixed acidity]]&gt;Sheet1!$C$4,Table1[[#This Row],[pH]]&lt;Sheet1!$K$4),"High","Normal")</f>
        <v>High</v>
      </c>
      <c r="P450" s="1">
        <f>(Table1[[#This Row],[alcohol]]*2)+(Table1[[#This Row],[sulphates]]*1.5)-(Table1[[#This Row],[volatile acidity]]*2)</f>
        <v>20.18</v>
      </c>
      <c r="Q450" s="1">
        <f>RANK(Table1[[#This Row],[Quality_score_index]],Table1[Quality_score_index],0)</f>
        <v>819</v>
      </c>
      <c r="R450" s="1">
        <f>Table1[[#This Row],[total sulfur dioxide]]-Table1[[#This Row],[free sulfur dioxide]]</f>
        <v>20</v>
      </c>
      <c r="S450" s="1" t="str">
        <f>IF(AND(Table1[[#This Row],[pH]]&gt;=3.2,Table1[[#This Row],[alcohol]]&gt;=10),"White wine","Red wine")</f>
        <v>White wine</v>
      </c>
    </row>
    <row r="451" spans="1:19" x14ac:dyDescent="0.3">
      <c r="A451" s="13">
        <v>450</v>
      </c>
      <c r="B451" s="1">
        <v>11.9</v>
      </c>
      <c r="C451" s="1">
        <v>0.39</v>
      </c>
      <c r="D451" s="1">
        <v>0.69</v>
      </c>
      <c r="E451" s="1">
        <v>2.8</v>
      </c>
      <c r="F451" s="1">
        <v>9.5000000000000001E-2</v>
      </c>
      <c r="G451" s="1">
        <v>17</v>
      </c>
      <c r="H451" s="1">
        <v>35</v>
      </c>
      <c r="I451" s="1">
        <v>0.99939999999999996</v>
      </c>
      <c r="J451" s="1">
        <v>3.1</v>
      </c>
      <c r="K451" s="1">
        <v>0.61</v>
      </c>
      <c r="L451" s="1">
        <v>10.8</v>
      </c>
      <c r="M451" s="2">
        <v>6</v>
      </c>
      <c r="N451" s="2" t="str" cm="1">
        <f t="array" ref="N451">_xlfn.IFS(Table1[[#This Row],[quality]]&lt;=4,"Low",Table1[[#This Row],[quality]]&lt;=6,"Medium",Table1[[#This Row],[quality]]&gt;=7,"High")</f>
        <v>Medium</v>
      </c>
      <c r="O451" s="2" t="str">
        <f>IF(AND(Table1[[#This Row],[fixed acidity]]&gt;Sheet1!$C$4,Table1[[#This Row],[pH]]&lt;Sheet1!$K$4),"High","Normal")</f>
        <v>High</v>
      </c>
      <c r="P451" s="1">
        <f>(Table1[[#This Row],[alcohol]]*2)+(Table1[[#This Row],[sulphates]]*1.5)-(Table1[[#This Row],[volatile acidity]]*2)</f>
        <v>21.734999999999999</v>
      </c>
      <c r="Q451" s="1">
        <f>RANK(Table1[[#This Row],[Quality_score_index]],Table1[Quality_score_index],0)</f>
        <v>498</v>
      </c>
      <c r="R451" s="1">
        <f>Table1[[#This Row],[total sulfur dioxide]]-Table1[[#This Row],[free sulfur dioxide]]</f>
        <v>18</v>
      </c>
      <c r="S451" s="1" t="str">
        <f>IF(AND(Table1[[#This Row],[pH]]&gt;=3.2,Table1[[#This Row],[alcohol]]&gt;=10),"White wine","Red wine")</f>
        <v>Red wine</v>
      </c>
    </row>
    <row r="452" spans="1:19" x14ac:dyDescent="0.3">
      <c r="A452" s="13">
        <v>451</v>
      </c>
      <c r="B452" s="1">
        <v>11.9</v>
      </c>
      <c r="C452" s="1">
        <v>0.39</v>
      </c>
      <c r="D452" s="1">
        <v>0.69</v>
      </c>
      <c r="E452" s="1">
        <v>2.8</v>
      </c>
      <c r="F452" s="1">
        <v>9.5000000000000001E-2</v>
      </c>
      <c r="G452" s="1">
        <v>17</v>
      </c>
      <c r="H452" s="1">
        <v>35</v>
      </c>
      <c r="I452" s="1">
        <v>0.99939999999999996</v>
      </c>
      <c r="J452" s="1">
        <v>3.1</v>
      </c>
      <c r="K452" s="1">
        <v>0.61</v>
      </c>
      <c r="L452" s="1">
        <v>10.8</v>
      </c>
      <c r="M452" s="2">
        <v>6</v>
      </c>
      <c r="N452" s="2" t="str" cm="1">
        <f t="array" ref="N452">_xlfn.IFS(Table1[[#This Row],[quality]]&lt;=4,"Low",Table1[[#This Row],[quality]]&lt;=6,"Medium",Table1[[#This Row],[quality]]&gt;=7,"High")</f>
        <v>Medium</v>
      </c>
      <c r="O452" s="2" t="str">
        <f>IF(AND(Table1[[#This Row],[fixed acidity]]&gt;Sheet1!$C$4,Table1[[#This Row],[pH]]&lt;Sheet1!$K$4),"High","Normal")</f>
        <v>High</v>
      </c>
      <c r="P452" s="1">
        <f>(Table1[[#This Row],[alcohol]]*2)+(Table1[[#This Row],[sulphates]]*1.5)-(Table1[[#This Row],[volatile acidity]]*2)</f>
        <v>21.734999999999999</v>
      </c>
      <c r="Q452" s="1">
        <f>RANK(Table1[[#This Row],[Quality_score_index]],Table1[Quality_score_index],0)</f>
        <v>498</v>
      </c>
      <c r="R452" s="1">
        <f>Table1[[#This Row],[total sulfur dioxide]]-Table1[[#This Row],[free sulfur dioxide]]</f>
        <v>18</v>
      </c>
      <c r="S452" s="1" t="str">
        <f>IF(AND(Table1[[#This Row],[pH]]&gt;=3.2,Table1[[#This Row],[alcohol]]&gt;=10),"White wine","Red wine")</f>
        <v>Red wine</v>
      </c>
    </row>
    <row r="453" spans="1:19" x14ac:dyDescent="0.3">
      <c r="A453" s="13">
        <v>452</v>
      </c>
      <c r="B453" s="1">
        <v>8.4</v>
      </c>
      <c r="C453" s="1">
        <v>0.37</v>
      </c>
      <c r="D453" s="1">
        <v>0.53</v>
      </c>
      <c r="E453" s="1">
        <v>1.8</v>
      </c>
      <c r="F453" s="1">
        <v>0.41299999999999998</v>
      </c>
      <c r="G453" s="1">
        <v>9</v>
      </c>
      <c r="H453" s="1">
        <v>26</v>
      </c>
      <c r="I453" s="1">
        <v>0.99790000000000001</v>
      </c>
      <c r="J453" s="1">
        <v>3.06</v>
      </c>
      <c r="K453" s="1">
        <v>1.06</v>
      </c>
      <c r="L453" s="1">
        <v>9.1</v>
      </c>
      <c r="M453" s="2">
        <v>6</v>
      </c>
      <c r="N453" s="2" t="str" cm="1">
        <f t="array" ref="N453">_xlfn.IFS(Table1[[#This Row],[quality]]&lt;=4,"Low",Table1[[#This Row],[quality]]&lt;=6,"Medium",Table1[[#This Row],[quality]]&gt;=7,"High")</f>
        <v>Medium</v>
      </c>
      <c r="O453" s="2" t="str">
        <f>IF(AND(Table1[[#This Row],[fixed acidity]]&gt;Sheet1!$C$4,Table1[[#This Row],[pH]]&lt;Sheet1!$K$4),"High","Normal")</f>
        <v>High</v>
      </c>
      <c r="P453" s="1">
        <f>(Table1[[#This Row],[alcohol]]*2)+(Table1[[#This Row],[sulphates]]*1.5)-(Table1[[#This Row],[volatile acidity]]*2)</f>
        <v>19.05</v>
      </c>
      <c r="Q453" s="1">
        <f>RANK(Table1[[#This Row],[Quality_score_index]],Table1[Quality_score_index],0)</f>
        <v>1147</v>
      </c>
      <c r="R453" s="1">
        <f>Table1[[#This Row],[total sulfur dioxide]]-Table1[[#This Row],[free sulfur dioxide]]</f>
        <v>17</v>
      </c>
      <c r="S453" s="1" t="str">
        <f>IF(AND(Table1[[#This Row],[pH]]&gt;=3.2,Table1[[#This Row],[alcohol]]&gt;=10),"White wine","Red wine")</f>
        <v>Red wine</v>
      </c>
    </row>
    <row r="454" spans="1:19" x14ac:dyDescent="0.3">
      <c r="A454" s="13">
        <v>453</v>
      </c>
      <c r="B454" s="1">
        <v>6.8</v>
      </c>
      <c r="C454" s="1">
        <v>0.56000000000000005</v>
      </c>
      <c r="D454" s="1">
        <v>0.03</v>
      </c>
      <c r="E454" s="1">
        <v>1.7</v>
      </c>
      <c r="F454" s="1">
        <v>8.4000000000000005E-2</v>
      </c>
      <c r="G454" s="1">
        <v>18</v>
      </c>
      <c r="H454" s="1">
        <v>35</v>
      </c>
      <c r="I454" s="1">
        <v>0.99680000000000002</v>
      </c>
      <c r="J454" s="1">
        <v>3.44</v>
      </c>
      <c r="K454" s="1">
        <v>0.63</v>
      </c>
      <c r="L454" s="1">
        <v>10</v>
      </c>
      <c r="M454" s="2">
        <v>6</v>
      </c>
      <c r="N454" s="2" t="str" cm="1">
        <f t="array" ref="N454">_xlfn.IFS(Table1[[#This Row],[quality]]&lt;=4,"Low",Table1[[#This Row],[quality]]&lt;=6,"Medium",Table1[[#This Row],[quality]]&gt;=7,"High")</f>
        <v>Medium</v>
      </c>
      <c r="O454" s="2" t="str">
        <f>IF(AND(Table1[[#This Row],[fixed acidity]]&gt;Sheet1!$C$4,Table1[[#This Row],[pH]]&lt;Sheet1!$K$4),"High","Normal")</f>
        <v>Normal</v>
      </c>
      <c r="P454" s="1">
        <f>(Table1[[#This Row],[alcohol]]*2)+(Table1[[#This Row],[sulphates]]*1.5)-(Table1[[#This Row],[volatile acidity]]*2)</f>
        <v>19.824999999999999</v>
      </c>
      <c r="Q454" s="1">
        <f>RANK(Table1[[#This Row],[Quality_score_index]],Table1[Quality_score_index],0)</f>
        <v>899</v>
      </c>
      <c r="R454" s="1">
        <f>Table1[[#This Row],[total sulfur dioxide]]-Table1[[#This Row],[free sulfur dioxide]]</f>
        <v>17</v>
      </c>
      <c r="S454" s="1" t="str">
        <f>IF(AND(Table1[[#This Row],[pH]]&gt;=3.2,Table1[[#This Row],[alcohol]]&gt;=10),"White wine","Red wine")</f>
        <v>White wine</v>
      </c>
    </row>
    <row r="455" spans="1:19" x14ac:dyDescent="0.3">
      <c r="A455" s="13">
        <v>454</v>
      </c>
      <c r="B455" s="1">
        <v>10.4</v>
      </c>
      <c r="C455" s="1">
        <v>0.33</v>
      </c>
      <c r="D455" s="1">
        <v>0.63</v>
      </c>
      <c r="E455" s="1">
        <v>2.8</v>
      </c>
      <c r="F455" s="1">
        <v>8.4000000000000005E-2</v>
      </c>
      <c r="G455" s="1">
        <v>5</v>
      </c>
      <c r="H455" s="1">
        <v>22</v>
      </c>
      <c r="I455" s="1">
        <v>0.99980000000000002</v>
      </c>
      <c r="J455" s="1">
        <v>3.26</v>
      </c>
      <c r="K455" s="1">
        <v>0.74</v>
      </c>
      <c r="L455" s="1">
        <v>11.2</v>
      </c>
      <c r="M455" s="2">
        <v>7</v>
      </c>
      <c r="N455" s="2" t="str" cm="1">
        <f t="array" ref="N455">_xlfn.IFS(Table1[[#This Row],[quality]]&lt;=4,"Low",Table1[[#This Row],[quality]]&lt;=6,"Medium",Table1[[#This Row],[quality]]&gt;=7,"High")</f>
        <v>High</v>
      </c>
      <c r="O455" s="2" t="str">
        <f>IF(AND(Table1[[#This Row],[fixed acidity]]&gt;Sheet1!$C$4,Table1[[#This Row],[pH]]&lt;Sheet1!$K$4),"High","Normal")</f>
        <v>High</v>
      </c>
      <c r="P455" s="1">
        <f>(Table1[[#This Row],[alcohol]]*2)+(Table1[[#This Row],[sulphates]]*1.5)-(Table1[[#This Row],[volatile acidity]]*2)</f>
        <v>22.849999999999998</v>
      </c>
      <c r="Q455" s="1">
        <f>RANK(Table1[[#This Row],[Quality_score_index]],Table1[Quality_score_index],0)</f>
        <v>304</v>
      </c>
      <c r="R455" s="1">
        <f>Table1[[#This Row],[total sulfur dioxide]]-Table1[[#This Row],[free sulfur dioxide]]</f>
        <v>17</v>
      </c>
      <c r="S455" s="1" t="str">
        <f>IF(AND(Table1[[#This Row],[pH]]&gt;=3.2,Table1[[#This Row],[alcohol]]&gt;=10),"White wine","Red wine")</f>
        <v>White wine</v>
      </c>
    </row>
    <row r="456" spans="1:19" x14ac:dyDescent="0.3">
      <c r="A456" s="13">
        <v>455</v>
      </c>
      <c r="B456" s="1">
        <v>7</v>
      </c>
      <c r="C456" s="1">
        <v>0.23</v>
      </c>
      <c r="D456" s="1">
        <v>0.4</v>
      </c>
      <c r="E456" s="1">
        <v>1.6</v>
      </c>
      <c r="F456" s="1">
        <v>6.3E-2</v>
      </c>
      <c r="G456" s="1">
        <v>21</v>
      </c>
      <c r="H456" s="1">
        <v>67</v>
      </c>
      <c r="I456" s="1">
        <v>0.99519999999999997</v>
      </c>
      <c r="J456" s="1">
        <v>3.5</v>
      </c>
      <c r="K456" s="1">
        <v>0.63</v>
      </c>
      <c r="L456" s="1">
        <v>11.1</v>
      </c>
      <c r="M456" s="2">
        <v>5</v>
      </c>
      <c r="N456" s="2" t="str" cm="1">
        <f t="array" ref="N456">_xlfn.IFS(Table1[[#This Row],[quality]]&lt;=4,"Low",Table1[[#This Row],[quality]]&lt;=6,"Medium",Table1[[#This Row],[quality]]&gt;=7,"High")</f>
        <v>Medium</v>
      </c>
      <c r="O456" s="2" t="str">
        <f>IF(AND(Table1[[#This Row],[fixed acidity]]&gt;Sheet1!$C$4,Table1[[#This Row],[pH]]&lt;Sheet1!$K$4),"High","Normal")</f>
        <v>Normal</v>
      </c>
      <c r="P456" s="1">
        <f>(Table1[[#This Row],[alcohol]]*2)+(Table1[[#This Row],[sulphates]]*1.5)-(Table1[[#This Row],[volatile acidity]]*2)</f>
        <v>22.684999999999999</v>
      </c>
      <c r="Q456" s="1">
        <f>RANK(Table1[[#This Row],[Quality_score_index]],Table1[Quality_score_index],0)</f>
        <v>329</v>
      </c>
      <c r="R456" s="1">
        <f>Table1[[#This Row],[total sulfur dioxide]]-Table1[[#This Row],[free sulfur dioxide]]</f>
        <v>46</v>
      </c>
      <c r="S456" s="1" t="str">
        <f>IF(AND(Table1[[#This Row],[pH]]&gt;=3.2,Table1[[#This Row],[alcohol]]&gt;=10),"White wine","Red wine")</f>
        <v>White wine</v>
      </c>
    </row>
    <row r="457" spans="1:19" x14ac:dyDescent="0.3">
      <c r="A457" s="13">
        <v>456</v>
      </c>
      <c r="B457" s="1">
        <v>11.3</v>
      </c>
      <c r="C457" s="1">
        <v>0.62</v>
      </c>
      <c r="D457" s="1">
        <v>0.67</v>
      </c>
      <c r="E457" s="1">
        <v>5.2</v>
      </c>
      <c r="F457" s="1">
        <v>8.5999999999999993E-2</v>
      </c>
      <c r="G457" s="1">
        <v>6</v>
      </c>
      <c r="H457" s="1">
        <v>19</v>
      </c>
      <c r="I457" s="1">
        <v>0.99880000000000002</v>
      </c>
      <c r="J457" s="1">
        <v>3.22</v>
      </c>
      <c r="K457" s="1">
        <v>0.69</v>
      </c>
      <c r="L457" s="1">
        <v>13.4</v>
      </c>
      <c r="M457" s="2">
        <v>8</v>
      </c>
      <c r="N457" s="2" t="str" cm="1">
        <f t="array" ref="N457">_xlfn.IFS(Table1[[#This Row],[quality]]&lt;=4,"Low",Table1[[#This Row],[quality]]&lt;=6,"Medium",Table1[[#This Row],[quality]]&gt;=7,"High")</f>
        <v>High</v>
      </c>
      <c r="O457" s="2" t="str">
        <f>IF(AND(Table1[[#This Row],[fixed acidity]]&gt;Sheet1!$C$4,Table1[[#This Row],[pH]]&lt;Sheet1!$K$4),"High","Normal")</f>
        <v>High</v>
      </c>
      <c r="P457" s="1">
        <f>(Table1[[#This Row],[alcohol]]*2)+(Table1[[#This Row],[sulphates]]*1.5)-(Table1[[#This Row],[volatile acidity]]*2)</f>
        <v>26.595000000000002</v>
      </c>
      <c r="Q457" s="1">
        <f>RANK(Table1[[#This Row],[Quality_score_index]],Table1[Quality_score_index],0)</f>
        <v>20</v>
      </c>
      <c r="R457" s="1">
        <f>Table1[[#This Row],[total sulfur dioxide]]-Table1[[#This Row],[free sulfur dioxide]]</f>
        <v>13</v>
      </c>
      <c r="S457" s="1" t="str">
        <f>IF(AND(Table1[[#This Row],[pH]]&gt;=3.2,Table1[[#This Row],[alcohol]]&gt;=10),"White wine","Red wine")</f>
        <v>White wine</v>
      </c>
    </row>
    <row r="458" spans="1:19" x14ac:dyDescent="0.3">
      <c r="A458" s="13">
        <v>457</v>
      </c>
      <c r="B458" s="1">
        <v>8.9</v>
      </c>
      <c r="C458" s="1">
        <v>0.59</v>
      </c>
      <c r="D458" s="1">
        <v>0.39</v>
      </c>
      <c r="E458" s="1">
        <v>2.2999999999999998</v>
      </c>
      <c r="F458" s="1">
        <v>9.5000000000000001E-2</v>
      </c>
      <c r="G458" s="1">
        <v>5</v>
      </c>
      <c r="H458" s="1">
        <v>22</v>
      </c>
      <c r="I458" s="1">
        <v>0.99860000000000004</v>
      </c>
      <c r="J458" s="1">
        <v>3.37</v>
      </c>
      <c r="K458" s="1">
        <v>0.57999999999999996</v>
      </c>
      <c r="L458" s="1">
        <v>10.3</v>
      </c>
      <c r="M458" s="2">
        <v>5</v>
      </c>
      <c r="N458" s="2" t="str" cm="1">
        <f t="array" ref="N458">_xlfn.IFS(Table1[[#This Row],[quality]]&lt;=4,"Low",Table1[[#This Row],[quality]]&lt;=6,"Medium",Table1[[#This Row],[quality]]&gt;=7,"High")</f>
        <v>Medium</v>
      </c>
      <c r="O458" s="2" t="str">
        <f>IF(AND(Table1[[#This Row],[fixed acidity]]&gt;Sheet1!$C$4,Table1[[#This Row],[pH]]&lt;Sheet1!$K$4),"High","Normal")</f>
        <v>Normal</v>
      </c>
      <c r="P458" s="1">
        <f>(Table1[[#This Row],[alcohol]]*2)+(Table1[[#This Row],[sulphates]]*1.5)-(Table1[[#This Row],[volatile acidity]]*2)</f>
        <v>20.290000000000003</v>
      </c>
      <c r="Q458" s="1">
        <f>RANK(Table1[[#This Row],[Quality_score_index]],Table1[Quality_score_index],0)</f>
        <v>794</v>
      </c>
      <c r="R458" s="1">
        <f>Table1[[#This Row],[total sulfur dioxide]]-Table1[[#This Row],[free sulfur dioxide]]</f>
        <v>17</v>
      </c>
      <c r="S458" s="1" t="str">
        <f>IF(AND(Table1[[#This Row],[pH]]&gt;=3.2,Table1[[#This Row],[alcohol]]&gt;=10),"White wine","Red wine")</f>
        <v>White wine</v>
      </c>
    </row>
    <row r="459" spans="1:19" x14ac:dyDescent="0.3">
      <c r="A459" s="13">
        <v>458</v>
      </c>
      <c r="B459" s="1">
        <v>9.1999999999999993</v>
      </c>
      <c r="C459" s="1">
        <v>0.63</v>
      </c>
      <c r="D459" s="1">
        <v>0.21</v>
      </c>
      <c r="E459" s="1">
        <v>2.7</v>
      </c>
      <c r="F459" s="1">
        <v>9.7000000000000003E-2</v>
      </c>
      <c r="G459" s="1">
        <v>29</v>
      </c>
      <c r="H459" s="1">
        <v>65</v>
      </c>
      <c r="I459" s="1">
        <v>0.99880000000000002</v>
      </c>
      <c r="J459" s="1">
        <v>3.28</v>
      </c>
      <c r="K459" s="1">
        <v>0.57999999999999996</v>
      </c>
      <c r="L459" s="1">
        <v>9.6</v>
      </c>
      <c r="M459" s="2">
        <v>5</v>
      </c>
      <c r="N459" s="2" t="str" cm="1">
        <f t="array" ref="N459">_xlfn.IFS(Table1[[#This Row],[quality]]&lt;=4,"Low",Table1[[#This Row],[quality]]&lt;=6,"Medium",Table1[[#This Row],[quality]]&gt;=7,"High")</f>
        <v>Medium</v>
      </c>
      <c r="O459" s="2" t="str">
        <f>IF(AND(Table1[[#This Row],[fixed acidity]]&gt;Sheet1!$C$4,Table1[[#This Row],[pH]]&lt;Sheet1!$K$4),"High","Normal")</f>
        <v>High</v>
      </c>
      <c r="P459" s="1">
        <f>(Table1[[#This Row],[alcohol]]*2)+(Table1[[#This Row],[sulphates]]*1.5)-(Table1[[#This Row],[volatile acidity]]*2)</f>
        <v>18.809999999999999</v>
      </c>
      <c r="Q459" s="1">
        <f>RANK(Table1[[#This Row],[Quality_score_index]],Table1[Quality_score_index],0)</f>
        <v>1244</v>
      </c>
      <c r="R459" s="1">
        <f>Table1[[#This Row],[total sulfur dioxide]]-Table1[[#This Row],[free sulfur dioxide]]</f>
        <v>36</v>
      </c>
      <c r="S459" s="1" t="str">
        <f>IF(AND(Table1[[#This Row],[pH]]&gt;=3.2,Table1[[#This Row],[alcohol]]&gt;=10),"White wine","Red wine")</f>
        <v>Red wine</v>
      </c>
    </row>
    <row r="460" spans="1:19" x14ac:dyDescent="0.3">
      <c r="A460" s="13">
        <v>459</v>
      </c>
      <c r="B460" s="1">
        <v>10.4</v>
      </c>
      <c r="C460" s="1">
        <v>0.33</v>
      </c>
      <c r="D460" s="1">
        <v>0.63</v>
      </c>
      <c r="E460" s="1">
        <v>2.8</v>
      </c>
      <c r="F460" s="1">
        <v>8.4000000000000005E-2</v>
      </c>
      <c r="G460" s="1">
        <v>5</v>
      </c>
      <c r="H460" s="1">
        <v>22</v>
      </c>
      <c r="I460" s="1">
        <v>0.99980000000000002</v>
      </c>
      <c r="J460" s="1">
        <v>3.26</v>
      </c>
      <c r="K460" s="1">
        <v>0.74</v>
      </c>
      <c r="L460" s="1">
        <v>11.2</v>
      </c>
      <c r="M460" s="2">
        <v>7</v>
      </c>
      <c r="N460" s="2" t="str" cm="1">
        <f t="array" ref="N460">_xlfn.IFS(Table1[[#This Row],[quality]]&lt;=4,"Low",Table1[[#This Row],[quality]]&lt;=6,"Medium",Table1[[#This Row],[quality]]&gt;=7,"High")</f>
        <v>High</v>
      </c>
      <c r="O460" s="2" t="str">
        <f>IF(AND(Table1[[#This Row],[fixed acidity]]&gt;Sheet1!$C$4,Table1[[#This Row],[pH]]&lt;Sheet1!$K$4),"High","Normal")</f>
        <v>High</v>
      </c>
      <c r="P460" s="1">
        <f>(Table1[[#This Row],[alcohol]]*2)+(Table1[[#This Row],[sulphates]]*1.5)-(Table1[[#This Row],[volatile acidity]]*2)</f>
        <v>22.849999999999998</v>
      </c>
      <c r="Q460" s="1">
        <f>RANK(Table1[[#This Row],[Quality_score_index]],Table1[Quality_score_index],0)</f>
        <v>304</v>
      </c>
      <c r="R460" s="1">
        <f>Table1[[#This Row],[total sulfur dioxide]]-Table1[[#This Row],[free sulfur dioxide]]</f>
        <v>17</v>
      </c>
      <c r="S460" s="1" t="str">
        <f>IF(AND(Table1[[#This Row],[pH]]&gt;=3.2,Table1[[#This Row],[alcohol]]&gt;=10),"White wine","Red wine")</f>
        <v>White wine</v>
      </c>
    </row>
    <row r="461" spans="1:19" x14ac:dyDescent="0.3">
      <c r="A461" s="13">
        <v>460</v>
      </c>
      <c r="B461" s="1">
        <v>11.6</v>
      </c>
      <c r="C461" s="1">
        <v>0.57999999999999996</v>
      </c>
      <c r="D461" s="1">
        <v>0.66</v>
      </c>
      <c r="E461" s="1">
        <v>2.2000000000000002</v>
      </c>
      <c r="F461" s="1">
        <v>7.3999999999999996E-2</v>
      </c>
      <c r="G461" s="1">
        <v>10</v>
      </c>
      <c r="H461" s="1">
        <v>47</v>
      </c>
      <c r="I461" s="1">
        <v>1.0007999999999999</v>
      </c>
      <c r="J461" s="1">
        <v>3.25</v>
      </c>
      <c r="K461" s="1">
        <v>0.56999999999999995</v>
      </c>
      <c r="L461" s="1">
        <v>9</v>
      </c>
      <c r="M461" s="2">
        <v>3</v>
      </c>
      <c r="N461" s="2" t="str" cm="1">
        <f t="array" ref="N461">_xlfn.IFS(Table1[[#This Row],[quality]]&lt;=4,"Low",Table1[[#This Row],[quality]]&lt;=6,"Medium",Table1[[#This Row],[quality]]&gt;=7,"High")</f>
        <v>Low</v>
      </c>
      <c r="O461" s="2" t="str">
        <f>IF(AND(Table1[[#This Row],[fixed acidity]]&gt;Sheet1!$C$4,Table1[[#This Row],[pH]]&lt;Sheet1!$K$4),"High","Normal")</f>
        <v>High</v>
      </c>
      <c r="P461" s="1">
        <f>(Table1[[#This Row],[alcohol]]*2)+(Table1[[#This Row],[sulphates]]*1.5)-(Table1[[#This Row],[volatile acidity]]*2)</f>
        <v>17.695</v>
      </c>
      <c r="Q461" s="1">
        <f>RANK(Table1[[#This Row],[Quality_score_index]],Table1[Quality_score_index],0)</f>
        <v>1572</v>
      </c>
      <c r="R461" s="1">
        <f>Table1[[#This Row],[total sulfur dioxide]]-Table1[[#This Row],[free sulfur dioxide]]</f>
        <v>37</v>
      </c>
      <c r="S461" s="1" t="str">
        <f>IF(AND(Table1[[#This Row],[pH]]&gt;=3.2,Table1[[#This Row],[alcohol]]&gt;=10),"White wine","Red wine")</f>
        <v>Red wine</v>
      </c>
    </row>
    <row r="462" spans="1:19" x14ac:dyDescent="0.3">
      <c r="A462" s="13">
        <v>461</v>
      </c>
      <c r="B462" s="1">
        <v>9.1999999999999993</v>
      </c>
      <c r="C462" s="1">
        <v>0.43</v>
      </c>
      <c r="D462" s="1">
        <v>0.52</v>
      </c>
      <c r="E462" s="1">
        <v>2.2999999999999998</v>
      </c>
      <c r="F462" s="1">
        <v>8.3000000000000004E-2</v>
      </c>
      <c r="G462" s="1">
        <v>14</v>
      </c>
      <c r="H462" s="1">
        <v>23</v>
      </c>
      <c r="I462" s="1">
        <v>0.99760000000000004</v>
      </c>
      <c r="J462" s="1">
        <v>3.35</v>
      </c>
      <c r="K462" s="1">
        <v>0.61</v>
      </c>
      <c r="L462" s="1">
        <v>11.3</v>
      </c>
      <c r="M462" s="2">
        <v>6</v>
      </c>
      <c r="N462" s="2" t="str" cm="1">
        <f t="array" ref="N462">_xlfn.IFS(Table1[[#This Row],[quality]]&lt;=4,"Low",Table1[[#This Row],[quality]]&lt;=6,"Medium",Table1[[#This Row],[quality]]&gt;=7,"High")</f>
        <v>Medium</v>
      </c>
      <c r="O462" s="2" t="str">
        <f>IF(AND(Table1[[#This Row],[fixed acidity]]&gt;Sheet1!$C$4,Table1[[#This Row],[pH]]&lt;Sheet1!$K$4),"High","Normal")</f>
        <v>Normal</v>
      </c>
      <c r="P462" s="1">
        <f>(Table1[[#This Row],[alcohol]]*2)+(Table1[[#This Row],[sulphates]]*1.5)-(Table1[[#This Row],[volatile acidity]]*2)</f>
        <v>22.655000000000001</v>
      </c>
      <c r="Q462" s="1">
        <f>RANK(Table1[[#This Row],[Quality_score_index]],Table1[Quality_score_index],0)</f>
        <v>335</v>
      </c>
      <c r="R462" s="1">
        <f>Table1[[#This Row],[total sulfur dioxide]]-Table1[[#This Row],[free sulfur dioxide]]</f>
        <v>9</v>
      </c>
      <c r="S462" s="1" t="str">
        <f>IF(AND(Table1[[#This Row],[pH]]&gt;=3.2,Table1[[#This Row],[alcohol]]&gt;=10),"White wine","Red wine")</f>
        <v>White wine</v>
      </c>
    </row>
    <row r="463" spans="1:19" x14ac:dyDescent="0.3">
      <c r="A463" s="13">
        <v>462</v>
      </c>
      <c r="B463" s="1">
        <v>8.3000000000000007</v>
      </c>
      <c r="C463" s="1">
        <v>0.61499999999999999</v>
      </c>
      <c r="D463" s="1">
        <v>0.22</v>
      </c>
      <c r="E463" s="1">
        <v>2.6</v>
      </c>
      <c r="F463" s="1">
        <v>8.6999999999999994E-2</v>
      </c>
      <c r="G463" s="1">
        <v>6</v>
      </c>
      <c r="H463" s="1">
        <v>19</v>
      </c>
      <c r="I463" s="1">
        <v>0.99819999999999998</v>
      </c>
      <c r="J463" s="1">
        <v>3.26</v>
      </c>
      <c r="K463" s="1">
        <v>0.61</v>
      </c>
      <c r="L463" s="1">
        <v>9.3000000000000007</v>
      </c>
      <c r="M463" s="2">
        <v>5</v>
      </c>
      <c r="N463" s="2" t="str" cm="1">
        <f t="array" ref="N463">_xlfn.IFS(Table1[[#This Row],[quality]]&lt;=4,"Low",Table1[[#This Row],[quality]]&lt;=6,"Medium",Table1[[#This Row],[quality]]&gt;=7,"High")</f>
        <v>Medium</v>
      </c>
      <c r="O463" s="2" t="str">
        <f>IF(AND(Table1[[#This Row],[fixed acidity]]&gt;Sheet1!$C$4,Table1[[#This Row],[pH]]&lt;Sheet1!$K$4),"High","Normal")</f>
        <v>Normal</v>
      </c>
      <c r="P463" s="1">
        <f>(Table1[[#This Row],[alcohol]]*2)+(Table1[[#This Row],[sulphates]]*1.5)-(Table1[[#This Row],[volatile acidity]]*2)</f>
        <v>18.285</v>
      </c>
      <c r="Q463" s="1">
        <f>RANK(Table1[[#This Row],[Quality_score_index]],Table1[Quality_score_index],0)</f>
        <v>1457</v>
      </c>
      <c r="R463" s="1">
        <f>Table1[[#This Row],[total sulfur dioxide]]-Table1[[#This Row],[free sulfur dioxide]]</f>
        <v>13</v>
      </c>
      <c r="S463" s="1" t="str">
        <f>IF(AND(Table1[[#This Row],[pH]]&gt;=3.2,Table1[[#This Row],[alcohol]]&gt;=10),"White wine","Red wine")</f>
        <v>Red wine</v>
      </c>
    </row>
    <row r="464" spans="1:19" x14ac:dyDescent="0.3">
      <c r="A464" s="13">
        <v>463</v>
      </c>
      <c r="B464" s="1">
        <v>11</v>
      </c>
      <c r="C464" s="1">
        <v>0.26</v>
      </c>
      <c r="D464" s="1">
        <v>0.68</v>
      </c>
      <c r="E464" s="1">
        <v>2.5499999999999998</v>
      </c>
      <c r="F464" s="1">
        <v>8.5000000000000006E-2</v>
      </c>
      <c r="G464" s="1">
        <v>10</v>
      </c>
      <c r="H464" s="1">
        <v>25</v>
      </c>
      <c r="I464" s="1">
        <v>0.997</v>
      </c>
      <c r="J464" s="1">
        <v>3.18</v>
      </c>
      <c r="K464" s="1">
        <v>0.61</v>
      </c>
      <c r="L464" s="1">
        <v>11.8</v>
      </c>
      <c r="M464" s="2">
        <v>5</v>
      </c>
      <c r="N464" s="2" t="str" cm="1">
        <f t="array" ref="N464">_xlfn.IFS(Table1[[#This Row],[quality]]&lt;=4,"Low",Table1[[#This Row],[quality]]&lt;=6,"Medium",Table1[[#This Row],[quality]]&gt;=7,"High")</f>
        <v>Medium</v>
      </c>
      <c r="O464" s="2" t="str">
        <f>IF(AND(Table1[[#This Row],[fixed acidity]]&gt;Sheet1!$C$4,Table1[[#This Row],[pH]]&lt;Sheet1!$K$4),"High","Normal")</f>
        <v>High</v>
      </c>
      <c r="P464" s="1">
        <f>(Table1[[#This Row],[alcohol]]*2)+(Table1[[#This Row],[sulphates]]*1.5)-(Table1[[#This Row],[volatile acidity]]*2)</f>
        <v>23.995000000000001</v>
      </c>
      <c r="Q464" s="1">
        <f>RANK(Table1[[#This Row],[Quality_score_index]],Table1[Quality_score_index],0)</f>
        <v>182</v>
      </c>
      <c r="R464" s="1">
        <f>Table1[[#This Row],[total sulfur dioxide]]-Table1[[#This Row],[free sulfur dioxide]]</f>
        <v>15</v>
      </c>
      <c r="S464" s="1" t="str">
        <f>IF(AND(Table1[[#This Row],[pH]]&gt;=3.2,Table1[[#This Row],[alcohol]]&gt;=10),"White wine","Red wine")</f>
        <v>Red wine</v>
      </c>
    </row>
    <row r="465" spans="1:19" x14ac:dyDescent="0.3">
      <c r="A465" s="13">
        <v>464</v>
      </c>
      <c r="B465" s="1">
        <v>8.1</v>
      </c>
      <c r="C465" s="1">
        <v>0.66</v>
      </c>
      <c r="D465" s="1">
        <v>0.7</v>
      </c>
      <c r="E465" s="1">
        <v>2.2000000000000002</v>
      </c>
      <c r="F465" s="1">
        <v>9.8000000000000004E-2</v>
      </c>
      <c r="G465" s="1">
        <v>25</v>
      </c>
      <c r="H465" s="1">
        <v>129</v>
      </c>
      <c r="I465" s="1">
        <v>0.99719999999999998</v>
      </c>
      <c r="J465" s="1">
        <v>3.08</v>
      </c>
      <c r="K465" s="1">
        <v>0.53</v>
      </c>
      <c r="L465" s="1">
        <v>9</v>
      </c>
      <c r="M465" s="2">
        <v>5</v>
      </c>
      <c r="N465" s="2" t="str" cm="1">
        <f t="array" ref="N465">_xlfn.IFS(Table1[[#This Row],[quality]]&lt;=4,"Low",Table1[[#This Row],[quality]]&lt;=6,"Medium",Table1[[#This Row],[quality]]&gt;=7,"High")</f>
        <v>Medium</v>
      </c>
      <c r="O465" s="2" t="str">
        <f>IF(AND(Table1[[#This Row],[fixed acidity]]&gt;Sheet1!$C$4,Table1[[#This Row],[pH]]&lt;Sheet1!$K$4),"High","Normal")</f>
        <v>Normal</v>
      </c>
      <c r="P465" s="1">
        <f>(Table1[[#This Row],[alcohol]]*2)+(Table1[[#This Row],[sulphates]]*1.5)-(Table1[[#This Row],[volatile acidity]]*2)</f>
        <v>17.475000000000001</v>
      </c>
      <c r="Q465" s="1">
        <f>RANK(Table1[[#This Row],[Quality_score_index]],Table1[Quality_score_index],0)</f>
        <v>1587</v>
      </c>
      <c r="R465" s="1">
        <f>Table1[[#This Row],[total sulfur dioxide]]-Table1[[#This Row],[free sulfur dioxide]]</f>
        <v>104</v>
      </c>
      <c r="S465" s="1" t="str">
        <f>IF(AND(Table1[[#This Row],[pH]]&gt;=3.2,Table1[[#This Row],[alcohol]]&gt;=10),"White wine","Red wine")</f>
        <v>Red wine</v>
      </c>
    </row>
    <row r="466" spans="1:19" x14ac:dyDescent="0.3">
      <c r="A466" s="13">
        <v>465</v>
      </c>
      <c r="B466" s="1">
        <v>11.5</v>
      </c>
      <c r="C466" s="1">
        <v>0.315</v>
      </c>
      <c r="D466" s="1">
        <v>0.54</v>
      </c>
      <c r="E466" s="1">
        <v>2.1</v>
      </c>
      <c r="F466" s="1">
        <v>8.4000000000000005E-2</v>
      </c>
      <c r="G466" s="1">
        <v>5</v>
      </c>
      <c r="H466" s="1">
        <v>15</v>
      </c>
      <c r="I466" s="1">
        <v>0.99870000000000003</v>
      </c>
      <c r="J466" s="1">
        <v>2.98</v>
      </c>
      <c r="K466" s="1">
        <v>0.7</v>
      </c>
      <c r="L466" s="1">
        <v>9.1999999999999993</v>
      </c>
      <c r="M466" s="2">
        <v>6</v>
      </c>
      <c r="N466" s="2" t="str" cm="1">
        <f t="array" ref="N466">_xlfn.IFS(Table1[[#This Row],[quality]]&lt;=4,"Low",Table1[[#This Row],[quality]]&lt;=6,"Medium",Table1[[#This Row],[quality]]&gt;=7,"High")</f>
        <v>Medium</v>
      </c>
      <c r="O466" s="2" t="str">
        <f>IF(AND(Table1[[#This Row],[fixed acidity]]&gt;Sheet1!$C$4,Table1[[#This Row],[pH]]&lt;Sheet1!$K$4),"High","Normal")</f>
        <v>High</v>
      </c>
      <c r="P466" s="1">
        <f>(Table1[[#This Row],[alcohol]]*2)+(Table1[[#This Row],[sulphates]]*1.5)-(Table1[[#This Row],[volatile acidity]]*2)</f>
        <v>18.82</v>
      </c>
      <c r="Q466" s="1">
        <f>RANK(Table1[[#This Row],[Quality_score_index]],Table1[Quality_score_index],0)</f>
        <v>1240</v>
      </c>
      <c r="R466" s="1">
        <f>Table1[[#This Row],[total sulfur dioxide]]-Table1[[#This Row],[free sulfur dioxide]]</f>
        <v>10</v>
      </c>
      <c r="S466" s="1" t="str">
        <f>IF(AND(Table1[[#This Row],[pH]]&gt;=3.2,Table1[[#This Row],[alcohol]]&gt;=10),"White wine","Red wine")</f>
        <v>Red wine</v>
      </c>
    </row>
    <row r="467" spans="1:19" x14ac:dyDescent="0.3">
      <c r="A467" s="13">
        <v>466</v>
      </c>
      <c r="B467" s="1">
        <v>10</v>
      </c>
      <c r="C467" s="1">
        <v>0.28999999999999998</v>
      </c>
      <c r="D467" s="1">
        <v>0.4</v>
      </c>
      <c r="E467" s="1">
        <v>2.9</v>
      </c>
      <c r="F467" s="1">
        <v>9.8000000000000004E-2</v>
      </c>
      <c r="G467" s="1">
        <v>10</v>
      </c>
      <c r="H467" s="1">
        <v>26</v>
      </c>
      <c r="I467" s="1">
        <v>1.0005999999999999</v>
      </c>
      <c r="J467" s="1">
        <v>3.48</v>
      </c>
      <c r="K467" s="1">
        <v>0.91</v>
      </c>
      <c r="L467" s="1">
        <v>9.6999999999999993</v>
      </c>
      <c r="M467" s="2">
        <v>5</v>
      </c>
      <c r="N467" s="2" t="str" cm="1">
        <f t="array" ref="N467">_xlfn.IFS(Table1[[#This Row],[quality]]&lt;=4,"Low",Table1[[#This Row],[quality]]&lt;=6,"Medium",Table1[[#This Row],[quality]]&gt;=7,"High")</f>
        <v>Medium</v>
      </c>
      <c r="O467" s="2" t="str">
        <f>IF(AND(Table1[[#This Row],[fixed acidity]]&gt;Sheet1!$C$4,Table1[[#This Row],[pH]]&lt;Sheet1!$K$4),"High","Normal")</f>
        <v>Normal</v>
      </c>
      <c r="P467" s="1">
        <f>(Table1[[#This Row],[alcohol]]*2)+(Table1[[#This Row],[sulphates]]*1.5)-(Table1[[#This Row],[volatile acidity]]*2)</f>
        <v>20.184999999999999</v>
      </c>
      <c r="Q467" s="1">
        <f>RANK(Table1[[#This Row],[Quality_score_index]],Table1[Quality_score_index],0)</f>
        <v>818</v>
      </c>
      <c r="R467" s="1">
        <f>Table1[[#This Row],[total sulfur dioxide]]-Table1[[#This Row],[free sulfur dioxide]]</f>
        <v>16</v>
      </c>
      <c r="S467" s="1" t="str">
        <f>IF(AND(Table1[[#This Row],[pH]]&gt;=3.2,Table1[[#This Row],[alcohol]]&gt;=10),"White wine","Red wine")</f>
        <v>Red wine</v>
      </c>
    </row>
    <row r="468" spans="1:19" x14ac:dyDescent="0.3">
      <c r="A468" s="13">
        <v>467</v>
      </c>
      <c r="B468" s="1">
        <v>10.3</v>
      </c>
      <c r="C468" s="1">
        <v>0.5</v>
      </c>
      <c r="D468" s="1">
        <v>0.42</v>
      </c>
      <c r="E468" s="1">
        <v>2</v>
      </c>
      <c r="F468" s="1">
        <v>6.9000000000000006E-2</v>
      </c>
      <c r="G468" s="1">
        <v>21</v>
      </c>
      <c r="H468" s="1">
        <v>51</v>
      </c>
      <c r="I468" s="1">
        <v>0.99819999999999998</v>
      </c>
      <c r="J468" s="1">
        <v>3.16</v>
      </c>
      <c r="K468" s="1">
        <v>0.72</v>
      </c>
      <c r="L468" s="1">
        <v>11.5</v>
      </c>
      <c r="M468" s="2">
        <v>6</v>
      </c>
      <c r="N468" s="2" t="str" cm="1">
        <f t="array" ref="N468">_xlfn.IFS(Table1[[#This Row],[quality]]&lt;=4,"Low",Table1[[#This Row],[quality]]&lt;=6,"Medium",Table1[[#This Row],[quality]]&gt;=7,"High")</f>
        <v>Medium</v>
      </c>
      <c r="O468" s="2" t="str">
        <f>IF(AND(Table1[[#This Row],[fixed acidity]]&gt;Sheet1!$C$4,Table1[[#This Row],[pH]]&lt;Sheet1!$K$4),"High","Normal")</f>
        <v>High</v>
      </c>
      <c r="P468" s="1">
        <f>(Table1[[#This Row],[alcohol]]*2)+(Table1[[#This Row],[sulphates]]*1.5)-(Table1[[#This Row],[volatile acidity]]*2)</f>
        <v>23.08</v>
      </c>
      <c r="Q468" s="1">
        <f>RANK(Table1[[#This Row],[Quality_score_index]],Table1[Quality_score_index],0)</f>
        <v>261</v>
      </c>
      <c r="R468" s="1">
        <f>Table1[[#This Row],[total sulfur dioxide]]-Table1[[#This Row],[free sulfur dioxide]]</f>
        <v>30</v>
      </c>
      <c r="S468" s="1" t="str">
        <f>IF(AND(Table1[[#This Row],[pH]]&gt;=3.2,Table1[[#This Row],[alcohol]]&gt;=10),"White wine","Red wine")</f>
        <v>Red wine</v>
      </c>
    </row>
    <row r="469" spans="1:19" x14ac:dyDescent="0.3">
      <c r="A469" s="13">
        <v>468</v>
      </c>
      <c r="B469" s="1">
        <v>8.8000000000000007</v>
      </c>
      <c r="C469" s="1">
        <v>0.46</v>
      </c>
      <c r="D469" s="1">
        <v>0.45</v>
      </c>
      <c r="E469" s="1">
        <v>2.6</v>
      </c>
      <c r="F469" s="1">
        <v>6.5000000000000002E-2</v>
      </c>
      <c r="G469" s="1">
        <v>7</v>
      </c>
      <c r="H469" s="1">
        <v>18</v>
      </c>
      <c r="I469" s="1">
        <v>0.99470000000000003</v>
      </c>
      <c r="J469" s="1">
        <v>3.32</v>
      </c>
      <c r="K469" s="1">
        <v>0.79</v>
      </c>
      <c r="L469" s="1">
        <v>14</v>
      </c>
      <c r="M469" s="2">
        <v>6</v>
      </c>
      <c r="N469" s="2" t="str" cm="1">
        <f t="array" ref="N469">_xlfn.IFS(Table1[[#This Row],[quality]]&lt;=4,"Low",Table1[[#This Row],[quality]]&lt;=6,"Medium",Table1[[#This Row],[quality]]&gt;=7,"High")</f>
        <v>Medium</v>
      </c>
      <c r="O469" s="2" t="str">
        <f>IF(AND(Table1[[#This Row],[fixed acidity]]&gt;Sheet1!$C$4,Table1[[#This Row],[pH]]&lt;Sheet1!$K$4),"High","Normal")</f>
        <v>Normal</v>
      </c>
      <c r="P469" s="1">
        <f>(Table1[[#This Row],[alcohol]]*2)+(Table1[[#This Row],[sulphates]]*1.5)-(Table1[[#This Row],[volatile acidity]]*2)</f>
        <v>28.264999999999997</v>
      </c>
      <c r="Q469" s="1">
        <f>RANK(Table1[[#This Row],[Quality_score_index]],Table1[Quality_score_index],0)</f>
        <v>7</v>
      </c>
      <c r="R469" s="1">
        <f>Table1[[#This Row],[total sulfur dioxide]]-Table1[[#This Row],[free sulfur dioxide]]</f>
        <v>11</v>
      </c>
      <c r="S469" s="1" t="str">
        <f>IF(AND(Table1[[#This Row],[pH]]&gt;=3.2,Table1[[#This Row],[alcohol]]&gt;=10),"White wine","Red wine")</f>
        <v>White wine</v>
      </c>
    </row>
    <row r="470" spans="1:19" x14ac:dyDescent="0.3">
      <c r="A470" s="13">
        <v>469</v>
      </c>
      <c r="B470" s="1">
        <v>11.4</v>
      </c>
      <c r="C470" s="1">
        <v>0.36</v>
      </c>
      <c r="D470" s="1">
        <v>0.69</v>
      </c>
      <c r="E470" s="1">
        <v>2.1</v>
      </c>
      <c r="F470" s="1">
        <v>0.09</v>
      </c>
      <c r="G470" s="1">
        <v>6</v>
      </c>
      <c r="H470" s="1">
        <v>21</v>
      </c>
      <c r="I470" s="1">
        <v>1</v>
      </c>
      <c r="J470" s="1">
        <v>3.17</v>
      </c>
      <c r="K470" s="1">
        <v>0.62</v>
      </c>
      <c r="L470" s="1">
        <v>9.1999999999999993</v>
      </c>
      <c r="M470" s="2">
        <v>6</v>
      </c>
      <c r="N470" s="2" t="str" cm="1">
        <f t="array" ref="N470">_xlfn.IFS(Table1[[#This Row],[quality]]&lt;=4,"Low",Table1[[#This Row],[quality]]&lt;=6,"Medium",Table1[[#This Row],[quality]]&gt;=7,"High")</f>
        <v>Medium</v>
      </c>
      <c r="O470" s="2" t="str">
        <f>IF(AND(Table1[[#This Row],[fixed acidity]]&gt;Sheet1!$C$4,Table1[[#This Row],[pH]]&lt;Sheet1!$K$4),"High","Normal")</f>
        <v>High</v>
      </c>
      <c r="P470" s="1">
        <f>(Table1[[#This Row],[alcohol]]*2)+(Table1[[#This Row],[sulphates]]*1.5)-(Table1[[#This Row],[volatile acidity]]*2)</f>
        <v>18.61</v>
      </c>
      <c r="Q470" s="1">
        <f>RANK(Table1[[#This Row],[Quality_score_index]],Table1[Quality_score_index],0)</f>
        <v>1343</v>
      </c>
      <c r="R470" s="1">
        <f>Table1[[#This Row],[total sulfur dioxide]]-Table1[[#This Row],[free sulfur dioxide]]</f>
        <v>15</v>
      </c>
      <c r="S470" s="1" t="str">
        <f>IF(AND(Table1[[#This Row],[pH]]&gt;=3.2,Table1[[#This Row],[alcohol]]&gt;=10),"White wine","Red wine")</f>
        <v>Red wine</v>
      </c>
    </row>
    <row r="471" spans="1:19" x14ac:dyDescent="0.3">
      <c r="A471" s="13">
        <v>470</v>
      </c>
      <c r="B471" s="1">
        <v>8.6999999999999993</v>
      </c>
      <c r="C471" s="1">
        <v>0.82</v>
      </c>
      <c r="D471" s="1">
        <v>0.02</v>
      </c>
      <c r="E471" s="1">
        <v>1.2</v>
      </c>
      <c r="F471" s="1">
        <v>7.0000000000000007E-2</v>
      </c>
      <c r="G471" s="1">
        <v>36</v>
      </c>
      <c r="H471" s="1">
        <v>48</v>
      </c>
      <c r="I471" s="1">
        <v>0.99519999999999997</v>
      </c>
      <c r="J471" s="1">
        <v>3.2</v>
      </c>
      <c r="K471" s="1">
        <v>0.57999999999999996</v>
      </c>
      <c r="L471" s="1">
        <v>9.8000000000000007</v>
      </c>
      <c r="M471" s="2">
        <v>5</v>
      </c>
      <c r="N471" s="2" t="str" cm="1">
        <f t="array" ref="N471">_xlfn.IFS(Table1[[#This Row],[quality]]&lt;=4,"Low",Table1[[#This Row],[quality]]&lt;=6,"Medium",Table1[[#This Row],[quality]]&gt;=7,"High")</f>
        <v>Medium</v>
      </c>
      <c r="O471" s="2" t="str">
        <f>IF(AND(Table1[[#This Row],[fixed acidity]]&gt;Sheet1!$C$4,Table1[[#This Row],[pH]]&lt;Sheet1!$K$4),"High","Normal")</f>
        <v>High</v>
      </c>
      <c r="P471" s="1">
        <f>(Table1[[#This Row],[alcohol]]*2)+(Table1[[#This Row],[sulphates]]*1.5)-(Table1[[#This Row],[volatile acidity]]*2)</f>
        <v>18.830000000000002</v>
      </c>
      <c r="Q471" s="1">
        <f>RANK(Table1[[#This Row],[Quality_score_index]],Table1[Quality_score_index],0)</f>
        <v>1232</v>
      </c>
      <c r="R471" s="1">
        <f>Table1[[#This Row],[total sulfur dioxide]]-Table1[[#This Row],[free sulfur dioxide]]</f>
        <v>12</v>
      </c>
      <c r="S471" s="1" t="str">
        <f>IF(AND(Table1[[#This Row],[pH]]&gt;=3.2,Table1[[#This Row],[alcohol]]&gt;=10),"White wine","Red wine")</f>
        <v>Red wine</v>
      </c>
    </row>
    <row r="472" spans="1:19" x14ac:dyDescent="0.3">
      <c r="A472" s="13">
        <v>471</v>
      </c>
      <c r="B472" s="1">
        <v>13</v>
      </c>
      <c r="C472" s="1">
        <v>0.32</v>
      </c>
      <c r="D472" s="1">
        <v>0.65</v>
      </c>
      <c r="E472" s="1">
        <v>2.6</v>
      </c>
      <c r="F472" s="1">
        <v>9.2999999999999999E-2</v>
      </c>
      <c r="G472" s="1">
        <v>15</v>
      </c>
      <c r="H472" s="1">
        <v>47</v>
      </c>
      <c r="I472" s="1">
        <v>0.99960000000000004</v>
      </c>
      <c r="J472" s="1">
        <v>3.05</v>
      </c>
      <c r="K472" s="1">
        <v>0.61</v>
      </c>
      <c r="L472" s="1">
        <v>10.6</v>
      </c>
      <c r="M472" s="2">
        <v>5</v>
      </c>
      <c r="N472" s="2" t="str" cm="1">
        <f t="array" ref="N472">_xlfn.IFS(Table1[[#This Row],[quality]]&lt;=4,"Low",Table1[[#This Row],[quality]]&lt;=6,"Medium",Table1[[#This Row],[quality]]&gt;=7,"High")</f>
        <v>Medium</v>
      </c>
      <c r="O472" s="2" t="str">
        <f>IF(AND(Table1[[#This Row],[fixed acidity]]&gt;Sheet1!$C$4,Table1[[#This Row],[pH]]&lt;Sheet1!$K$4),"High","Normal")</f>
        <v>High</v>
      </c>
      <c r="P472" s="1">
        <f>(Table1[[#This Row],[alcohol]]*2)+(Table1[[#This Row],[sulphates]]*1.5)-(Table1[[#This Row],[volatile acidity]]*2)</f>
        <v>21.474999999999998</v>
      </c>
      <c r="Q472" s="1">
        <f>RANK(Table1[[#This Row],[Quality_score_index]],Table1[Quality_score_index],0)</f>
        <v>545</v>
      </c>
      <c r="R472" s="1">
        <f>Table1[[#This Row],[total sulfur dioxide]]-Table1[[#This Row],[free sulfur dioxide]]</f>
        <v>32</v>
      </c>
      <c r="S472" s="1" t="str">
        <f>IF(AND(Table1[[#This Row],[pH]]&gt;=3.2,Table1[[#This Row],[alcohol]]&gt;=10),"White wine","Red wine")</f>
        <v>Red wine</v>
      </c>
    </row>
    <row r="473" spans="1:19" x14ac:dyDescent="0.3">
      <c r="A473" s="13">
        <v>472</v>
      </c>
      <c r="B473" s="1">
        <v>9.6</v>
      </c>
      <c r="C473" s="1">
        <v>0.54</v>
      </c>
      <c r="D473" s="1">
        <v>0.42</v>
      </c>
      <c r="E473" s="1">
        <v>2.4</v>
      </c>
      <c r="F473" s="1">
        <v>8.1000000000000003E-2</v>
      </c>
      <c r="G473" s="1">
        <v>25</v>
      </c>
      <c r="H473" s="1">
        <v>52</v>
      </c>
      <c r="I473" s="1">
        <v>0.997</v>
      </c>
      <c r="J473" s="1">
        <v>3.2</v>
      </c>
      <c r="K473" s="1">
        <v>0.71</v>
      </c>
      <c r="L473" s="1">
        <v>11.4</v>
      </c>
      <c r="M473" s="2">
        <v>6</v>
      </c>
      <c r="N473" s="2" t="str" cm="1">
        <f t="array" ref="N473">_xlfn.IFS(Table1[[#This Row],[quality]]&lt;=4,"Low",Table1[[#This Row],[quality]]&lt;=6,"Medium",Table1[[#This Row],[quality]]&gt;=7,"High")</f>
        <v>Medium</v>
      </c>
      <c r="O473" s="2" t="str">
        <f>IF(AND(Table1[[#This Row],[fixed acidity]]&gt;Sheet1!$C$4,Table1[[#This Row],[pH]]&lt;Sheet1!$K$4),"High","Normal")</f>
        <v>High</v>
      </c>
      <c r="P473" s="1">
        <f>(Table1[[#This Row],[alcohol]]*2)+(Table1[[#This Row],[sulphates]]*1.5)-(Table1[[#This Row],[volatile acidity]]*2)</f>
        <v>22.785000000000004</v>
      </c>
      <c r="Q473" s="1">
        <f>RANK(Table1[[#This Row],[Quality_score_index]],Table1[Quality_score_index],0)</f>
        <v>316</v>
      </c>
      <c r="R473" s="1">
        <f>Table1[[#This Row],[total sulfur dioxide]]-Table1[[#This Row],[free sulfur dioxide]]</f>
        <v>27</v>
      </c>
      <c r="S473" s="1" t="str">
        <f>IF(AND(Table1[[#This Row],[pH]]&gt;=3.2,Table1[[#This Row],[alcohol]]&gt;=10),"White wine","Red wine")</f>
        <v>White wine</v>
      </c>
    </row>
    <row r="474" spans="1:19" x14ac:dyDescent="0.3">
      <c r="A474" s="13">
        <v>473</v>
      </c>
      <c r="B474" s="1">
        <v>12.5</v>
      </c>
      <c r="C474" s="1">
        <v>0.37</v>
      </c>
      <c r="D474" s="1">
        <v>0.55000000000000004</v>
      </c>
      <c r="E474" s="1">
        <v>2.6</v>
      </c>
      <c r="F474" s="1">
        <v>8.3000000000000004E-2</v>
      </c>
      <c r="G474" s="1">
        <v>25</v>
      </c>
      <c r="H474" s="1">
        <v>68</v>
      </c>
      <c r="I474" s="1">
        <v>0.99950000000000006</v>
      </c>
      <c r="J474" s="1">
        <v>3.15</v>
      </c>
      <c r="K474" s="1">
        <v>0.82</v>
      </c>
      <c r="L474" s="1">
        <v>10.4</v>
      </c>
      <c r="M474" s="2">
        <v>6</v>
      </c>
      <c r="N474" s="2" t="str" cm="1">
        <f t="array" ref="N474">_xlfn.IFS(Table1[[#This Row],[quality]]&lt;=4,"Low",Table1[[#This Row],[quality]]&lt;=6,"Medium",Table1[[#This Row],[quality]]&gt;=7,"High")</f>
        <v>Medium</v>
      </c>
      <c r="O474" s="2" t="str">
        <f>IF(AND(Table1[[#This Row],[fixed acidity]]&gt;Sheet1!$C$4,Table1[[#This Row],[pH]]&lt;Sheet1!$K$4),"High","Normal")</f>
        <v>High</v>
      </c>
      <c r="P474" s="1">
        <f>(Table1[[#This Row],[alcohol]]*2)+(Table1[[#This Row],[sulphates]]*1.5)-(Table1[[#This Row],[volatile acidity]]*2)</f>
        <v>21.290000000000003</v>
      </c>
      <c r="Q474" s="1">
        <f>RANK(Table1[[#This Row],[Quality_score_index]],Table1[Quality_score_index],0)</f>
        <v>583</v>
      </c>
      <c r="R474" s="1">
        <f>Table1[[#This Row],[total sulfur dioxide]]-Table1[[#This Row],[free sulfur dioxide]]</f>
        <v>43</v>
      </c>
      <c r="S474" s="1" t="str">
        <f>IF(AND(Table1[[#This Row],[pH]]&gt;=3.2,Table1[[#This Row],[alcohol]]&gt;=10),"White wine","Red wine")</f>
        <v>Red wine</v>
      </c>
    </row>
    <row r="475" spans="1:19" x14ac:dyDescent="0.3">
      <c r="A475" s="13">
        <v>474</v>
      </c>
      <c r="B475" s="1">
        <v>9.9</v>
      </c>
      <c r="C475" s="1">
        <v>0.35</v>
      </c>
      <c r="D475" s="1">
        <v>0.55000000000000004</v>
      </c>
      <c r="E475" s="1">
        <v>2.1</v>
      </c>
      <c r="F475" s="1">
        <v>6.2E-2</v>
      </c>
      <c r="G475" s="1">
        <v>5</v>
      </c>
      <c r="H475" s="1">
        <v>14</v>
      </c>
      <c r="I475" s="1">
        <v>0.99709999999999999</v>
      </c>
      <c r="J475" s="1">
        <v>3.26</v>
      </c>
      <c r="K475" s="1">
        <v>0.79</v>
      </c>
      <c r="L475" s="1">
        <v>10.6</v>
      </c>
      <c r="M475" s="2">
        <v>5</v>
      </c>
      <c r="N475" s="2" t="str" cm="1">
        <f t="array" ref="N475">_xlfn.IFS(Table1[[#This Row],[quality]]&lt;=4,"Low",Table1[[#This Row],[quality]]&lt;=6,"Medium",Table1[[#This Row],[quality]]&gt;=7,"High")</f>
        <v>Medium</v>
      </c>
      <c r="O475" s="2" t="str">
        <f>IF(AND(Table1[[#This Row],[fixed acidity]]&gt;Sheet1!$C$4,Table1[[#This Row],[pH]]&lt;Sheet1!$K$4),"High","Normal")</f>
        <v>High</v>
      </c>
      <c r="P475" s="1">
        <f>(Table1[[#This Row],[alcohol]]*2)+(Table1[[#This Row],[sulphates]]*1.5)-(Table1[[#This Row],[volatile acidity]]*2)</f>
        <v>21.684999999999999</v>
      </c>
      <c r="Q475" s="1">
        <f>RANK(Table1[[#This Row],[Quality_score_index]],Table1[Quality_score_index],0)</f>
        <v>509</v>
      </c>
      <c r="R475" s="1">
        <f>Table1[[#This Row],[total sulfur dioxide]]-Table1[[#This Row],[free sulfur dioxide]]</f>
        <v>9</v>
      </c>
      <c r="S475" s="1" t="str">
        <f>IF(AND(Table1[[#This Row],[pH]]&gt;=3.2,Table1[[#This Row],[alcohol]]&gt;=10),"White wine","Red wine")</f>
        <v>White wine</v>
      </c>
    </row>
    <row r="476" spans="1:19" x14ac:dyDescent="0.3">
      <c r="A476" s="13">
        <v>475</v>
      </c>
      <c r="B476" s="1">
        <v>10.5</v>
      </c>
      <c r="C476" s="1">
        <v>0.28000000000000003</v>
      </c>
      <c r="D476" s="1">
        <v>0.51</v>
      </c>
      <c r="E476" s="1">
        <v>1.7</v>
      </c>
      <c r="F476" s="1">
        <v>0.08</v>
      </c>
      <c r="G476" s="1">
        <v>10</v>
      </c>
      <c r="H476" s="1">
        <v>24</v>
      </c>
      <c r="I476" s="1">
        <v>0.99819999999999998</v>
      </c>
      <c r="J476" s="1">
        <v>3.2</v>
      </c>
      <c r="K476" s="1">
        <v>0.89</v>
      </c>
      <c r="L476" s="1">
        <v>9.4</v>
      </c>
      <c r="M476" s="2">
        <v>6</v>
      </c>
      <c r="N476" s="2" t="str" cm="1">
        <f t="array" ref="N476">_xlfn.IFS(Table1[[#This Row],[quality]]&lt;=4,"Low",Table1[[#This Row],[quality]]&lt;=6,"Medium",Table1[[#This Row],[quality]]&gt;=7,"High")</f>
        <v>Medium</v>
      </c>
      <c r="O476" s="2" t="str">
        <f>IF(AND(Table1[[#This Row],[fixed acidity]]&gt;Sheet1!$C$4,Table1[[#This Row],[pH]]&lt;Sheet1!$K$4),"High","Normal")</f>
        <v>High</v>
      </c>
      <c r="P476" s="1">
        <f>(Table1[[#This Row],[alcohol]]*2)+(Table1[[#This Row],[sulphates]]*1.5)-(Table1[[#This Row],[volatile acidity]]*2)</f>
        <v>19.575000000000003</v>
      </c>
      <c r="Q476" s="1">
        <f>RANK(Table1[[#This Row],[Quality_score_index]],Table1[Quality_score_index],0)</f>
        <v>956</v>
      </c>
      <c r="R476" s="1">
        <f>Table1[[#This Row],[total sulfur dioxide]]-Table1[[#This Row],[free sulfur dioxide]]</f>
        <v>14</v>
      </c>
      <c r="S476" s="1" t="str">
        <f>IF(AND(Table1[[#This Row],[pH]]&gt;=3.2,Table1[[#This Row],[alcohol]]&gt;=10),"White wine","Red wine")</f>
        <v>Red wine</v>
      </c>
    </row>
    <row r="477" spans="1:19" x14ac:dyDescent="0.3">
      <c r="A477" s="13">
        <v>476</v>
      </c>
      <c r="B477" s="1">
        <v>9.6</v>
      </c>
      <c r="C477" s="1">
        <v>0.68</v>
      </c>
      <c r="D477" s="1">
        <v>0.24</v>
      </c>
      <c r="E477" s="1">
        <v>2.2000000000000002</v>
      </c>
      <c r="F477" s="1">
        <v>8.6999999999999994E-2</v>
      </c>
      <c r="G477" s="1">
        <v>5</v>
      </c>
      <c r="H477" s="1">
        <v>28</v>
      </c>
      <c r="I477" s="1">
        <v>0.99880000000000002</v>
      </c>
      <c r="J477" s="1">
        <v>3.14</v>
      </c>
      <c r="K477" s="1">
        <v>0.6</v>
      </c>
      <c r="L477" s="1">
        <v>10.199999999999999</v>
      </c>
      <c r="M477" s="2">
        <v>5</v>
      </c>
      <c r="N477" s="2" t="str" cm="1">
        <f t="array" ref="N477">_xlfn.IFS(Table1[[#This Row],[quality]]&lt;=4,"Low",Table1[[#This Row],[quality]]&lt;=6,"Medium",Table1[[#This Row],[quality]]&gt;=7,"High")</f>
        <v>Medium</v>
      </c>
      <c r="O477" s="2" t="str">
        <f>IF(AND(Table1[[#This Row],[fixed acidity]]&gt;Sheet1!$C$4,Table1[[#This Row],[pH]]&lt;Sheet1!$K$4),"High","Normal")</f>
        <v>High</v>
      </c>
      <c r="P477" s="1">
        <f>(Table1[[#This Row],[alcohol]]*2)+(Table1[[#This Row],[sulphates]]*1.5)-(Table1[[#This Row],[volatile acidity]]*2)</f>
        <v>19.939999999999998</v>
      </c>
      <c r="Q477" s="1">
        <f>RANK(Table1[[#This Row],[Quality_score_index]],Table1[Quality_score_index],0)</f>
        <v>865</v>
      </c>
      <c r="R477" s="1">
        <f>Table1[[#This Row],[total sulfur dioxide]]-Table1[[#This Row],[free sulfur dioxide]]</f>
        <v>23</v>
      </c>
      <c r="S477" s="1" t="str">
        <f>IF(AND(Table1[[#This Row],[pH]]&gt;=3.2,Table1[[#This Row],[alcohol]]&gt;=10),"White wine","Red wine")</f>
        <v>Red wine</v>
      </c>
    </row>
    <row r="478" spans="1:19" x14ac:dyDescent="0.3">
      <c r="A478" s="13">
        <v>477</v>
      </c>
      <c r="B478" s="1">
        <v>9.3000000000000007</v>
      </c>
      <c r="C478" s="1">
        <v>0.27</v>
      </c>
      <c r="D478" s="1">
        <v>0.41</v>
      </c>
      <c r="E478" s="1">
        <v>2</v>
      </c>
      <c r="F478" s="1">
        <v>9.0999999999999998E-2</v>
      </c>
      <c r="G478" s="1">
        <v>6</v>
      </c>
      <c r="H478" s="1">
        <v>16</v>
      </c>
      <c r="I478" s="1">
        <v>0.998</v>
      </c>
      <c r="J478" s="1">
        <v>3.28</v>
      </c>
      <c r="K478" s="1">
        <v>0.7</v>
      </c>
      <c r="L478" s="1">
        <v>9.6999999999999993</v>
      </c>
      <c r="M478" s="2">
        <v>5</v>
      </c>
      <c r="N478" s="2" t="str" cm="1">
        <f t="array" ref="N478">_xlfn.IFS(Table1[[#This Row],[quality]]&lt;=4,"Low",Table1[[#This Row],[quality]]&lt;=6,"Medium",Table1[[#This Row],[quality]]&gt;=7,"High")</f>
        <v>Medium</v>
      </c>
      <c r="O478" s="2" t="str">
        <f>IF(AND(Table1[[#This Row],[fixed acidity]]&gt;Sheet1!$C$4,Table1[[#This Row],[pH]]&lt;Sheet1!$K$4),"High","Normal")</f>
        <v>High</v>
      </c>
      <c r="P478" s="1">
        <f>(Table1[[#This Row],[alcohol]]*2)+(Table1[[#This Row],[sulphates]]*1.5)-(Table1[[#This Row],[volatile acidity]]*2)</f>
        <v>19.91</v>
      </c>
      <c r="Q478" s="1">
        <f>RANK(Table1[[#This Row],[Quality_score_index]],Table1[Quality_score_index],0)</f>
        <v>877</v>
      </c>
      <c r="R478" s="1">
        <f>Table1[[#This Row],[total sulfur dioxide]]-Table1[[#This Row],[free sulfur dioxide]]</f>
        <v>10</v>
      </c>
      <c r="S478" s="1" t="str">
        <f>IF(AND(Table1[[#This Row],[pH]]&gt;=3.2,Table1[[#This Row],[alcohol]]&gt;=10),"White wine","Red wine")</f>
        <v>Red wine</v>
      </c>
    </row>
    <row r="479" spans="1:19" x14ac:dyDescent="0.3">
      <c r="A479" s="13">
        <v>478</v>
      </c>
      <c r="B479" s="1">
        <v>10.4</v>
      </c>
      <c r="C479" s="1">
        <v>0.24</v>
      </c>
      <c r="D479" s="1">
        <v>0.49</v>
      </c>
      <c r="E479" s="1">
        <v>1.8</v>
      </c>
      <c r="F479" s="1">
        <v>7.4999999999999997E-2</v>
      </c>
      <c r="G479" s="1">
        <v>6</v>
      </c>
      <c r="H479" s="1">
        <v>20</v>
      </c>
      <c r="I479" s="1">
        <v>0.99770000000000003</v>
      </c>
      <c r="J479" s="1">
        <v>3.18</v>
      </c>
      <c r="K479" s="1">
        <v>1.06</v>
      </c>
      <c r="L479" s="1">
        <v>11</v>
      </c>
      <c r="M479" s="2">
        <v>6</v>
      </c>
      <c r="N479" s="2" t="str" cm="1">
        <f t="array" ref="N479">_xlfn.IFS(Table1[[#This Row],[quality]]&lt;=4,"Low",Table1[[#This Row],[quality]]&lt;=6,"Medium",Table1[[#This Row],[quality]]&gt;=7,"High")</f>
        <v>Medium</v>
      </c>
      <c r="O479" s="2" t="str">
        <f>IF(AND(Table1[[#This Row],[fixed acidity]]&gt;Sheet1!$C$4,Table1[[#This Row],[pH]]&lt;Sheet1!$K$4),"High","Normal")</f>
        <v>High</v>
      </c>
      <c r="P479" s="1">
        <f>(Table1[[#This Row],[alcohol]]*2)+(Table1[[#This Row],[sulphates]]*1.5)-(Table1[[#This Row],[volatile acidity]]*2)</f>
        <v>23.11</v>
      </c>
      <c r="Q479" s="1">
        <f>RANK(Table1[[#This Row],[Quality_score_index]],Table1[Quality_score_index],0)</f>
        <v>258</v>
      </c>
      <c r="R479" s="1">
        <f>Table1[[#This Row],[total sulfur dioxide]]-Table1[[#This Row],[free sulfur dioxide]]</f>
        <v>14</v>
      </c>
      <c r="S479" s="1" t="str">
        <f>IF(AND(Table1[[#This Row],[pH]]&gt;=3.2,Table1[[#This Row],[alcohol]]&gt;=10),"White wine","Red wine")</f>
        <v>Red wine</v>
      </c>
    </row>
    <row r="480" spans="1:19" x14ac:dyDescent="0.3">
      <c r="A480" s="13">
        <v>479</v>
      </c>
      <c r="B480" s="1">
        <v>9.6</v>
      </c>
      <c r="C480" s="1">
        <v>0.68</v>
      </c>
      <c r="D480" s="1">
        <v>0.24</v>
      </c>
      <c r="E480" s="1">
        <v>2.2000000000000002</v>
      </c>
      <c r="F480" s="1">
        <v>8.6999999999999994E-2</v>
      </c>
      <c r="G480" s="1">
        <v>5</v>
      </c>
      <c r="H480" s="1">
        <v>28</v>
      </c>
      <c r="I480" s="1">
        <v>0.99880000000000002</v>
      </c>
      <c r="J480" s="1">
        <v>3.14</v>
      </c>
      <c r="K480" s="1">
        <v>0.6</v>
      </c>
      <c r="L480" s="1">
        <v>10.199999999999999</v>
      </c>
      <c r="M480" s="2">
        <v>5</v>
      </c>
      <c r="N480" s="2" t="str" cm="1">
        <f t="array" ref="N480">_xlfn.IFS(Table1[[#This Row],[quality]]&lt;=4,"Low",Table1[[#This Row],[quality]]&lt;=6,"Medium",Table1[[#This Row],[quality]]&gt;=7,"High")</f>
        <v>Medium</v>
      </c>
      <c r="O480" s="2" t="str">
        <f>IF(AND(Table1[[#This Row],[fixed acidity]]&gt;Sheet1!$C$4,Table1[[#This Row],[pH]]&lt;Sheet1!$K$4),"High","Normal")</f>
        <v>High</v>
      </c>
      <c r="P480" s="1">
        <f>(Table1[[#This Row],[alcohol]]*2)+(Table1[[#This Row],[sulphates]]*1.5)-(Table1[[#This Row],[volatile acidity]]*2)</f>
        <v>19.939999999999998</v>
      </c>
      <c r="Q480" s="1">
        <f>RANK(Table1[[#This Row],[Quality_score_index]],Table1[Quality_score_index],0)</f>
        <v>865</v>
      </c>
      <c r="R480" s="1">
        <f>Table1[[#This Row],[total sulfur dioxide]]-Table1[[#This Row],[free sulfur dioxide]]</f>
        <v>23</v>
      </c>
      <c r="S480" s="1" t="str">
        <f>IF(AND(Table1[[#This Row],[pH]]&gt;=3.2,Table1[[#This Row],[alcohol]]&gt;=10),"White wine","Red wine")</f>
        <v>Red wine</v>
      </c>
    </row>
    <row r="481" spans="1:19" x14ac:dyDescent="0.3">
      <c r="A481" s="13">
        <v>480</v>
      </c>
      <c r="B481" s="1">
        <v>9.4</v>
      </c>
      <c r="C481" s="1">
        <v>0.68500000000000005</v>
      </c>
      <c r="D481" s="1">
        <v>0.11</v>
      </c>
      <c r="E481" s="1">
        <v>2.7</v>
      </c>
      <c r="F481" s="1">
        <v>7.6999999999999999E-2</v>
      </c>
      <c r="G481" s="1">
        <v>6</v>
      </c>
      <c r="H481" s="1">
        <v>31</v>
      </c>
      <c r="I481" s="1">
        <v>0.99839999999999995</v>
      </c>
      <c r="J481" s="1">
        <v>3.19</v>
      </c>
      <c r="K481" s="1">
        <v>0.7</v>
      </c>
      <c r="L481" s="1">
        <v>10.1</v>
      </c>
      <c r="M481" s="2">
        <v>6</v>
      </c>
      <c r="N481" s="2" t="str" cm="1">
        <f t="array" ref="N481">_xlfn.IFS(Table1[[#This Row],[quality]]&lt;=4,"Low",Table1[[#This Row],[quality]]&lt;=6,"Medium",Table1[[#This Row],[quality]]&gt;=7,"High")</f>
        <v>Medium</v>
      </c>
      <c r="O481" s="2" t="str">
        <f>IF(AND(Table1[[#This Row],[fixed acidity]]&gt;Sheet1!$C$4,Table1[[#This Row],[pH]]&lt;Sheet1!$K$4),"High","Normal")</f>
        <v>High</v>
      </c>
      <c r="P481" s="1">
        <f>(Table1[[#This Row],[alcohol]]*2)+(Table1[[#This Row],[sulphates]]*1.5)-(Table1[[#This Row],[volatile acidity]]*2)</f>
        <v>19.88</v>
      </c>
      <c r="Q481" s="1">
        <f>RANK(Table1[[#This Row],[Quality_score_index]],Table1[Quality_score_index],0)</f>
        <v>884</v>
      </c>
      <c r="R481" s="1">
        <f>Table1[[#This Row],[total sulfur dioxide]]-Table1[[#This Row],[free sulfur dioxide]]</f>
        <v>25</v>
      </c>
      <c r="S481" s="1" t="str">
        <f>IF(AND(Table1[[#This Row],[pH]]&gt;=3.2,Table1[[#This Row],[alcohol]]&gt;=10),"White wine","Red wine")</f>
        <v>Red wine</v>
      </c>
    </row>
    <row r="482" spans="1:19" x14ac:dyDescent="0.3">
      <c r="A482" s="13">
        <v>481</v>
      </c>
      <c r="B482" s="1">
        <v>10.6</v>
      </c>
      <c r="C482" s="1">
        <v>0.28000000000000003</v>
      </c>
      <c r="D482" s="1">
        <v>0.39</v>
      </c>
      <c r="E482" s="1">
        <v>15.5</v>
      </c>
      <c r="F482" s="1">
        <v>6.9000000000000006E-2</v>
      </c>
      <c r="G482" s="1">
        <v>6</v>
      </c>
      <c r="H482" s="1">
        <v>23</v>
      </c>
      <c r="I482" s="1">
        <v>1.0025999999999999</v>
      </c>
      <c r="J482" s="1">
        <v>3.12</v>
      </c>
      <c r="K482" s="1">
        <v>0.66</v>
      </c>
      <c r="L482" s="1">
        <v>9.1999999999999993</v>
      </c>
      <c r="M482" s="2">
        <v>5</v>
      </c>
      <c r="N482" s="2" t="str" cm="1">
        <f t="array" ref="N482">_xlfn.IFS(Table1[[#This Row],[quality]]&lt;=4,"Low",Table1[[#This Row],[quality]]&lt;=6,"Medium",Table1[[#This Row],[quality]]&gt;=7,"High")</f>
        <v>Medium</v>
      </c>
      <c r="O482" s="2" t="str">
        <f>IF(AND(Table1[[#This Row],[fixed acidity]]&gt;Sheet1!$C$4,Table1[[#This Row],[pH]]&lt;Sheet1!$K$4),"High","Normal")</f>
        <v>High</v>
      </c>
      <c r="P482" s="1">
        <f>(Table1[[#This Row],[alcohol]]*2)+(Table1[[#This Row],[sulphates]]*1.5)-(Table1[[#This Row],[volatile acidity]]*2)</f>
        <v>18.829999999999998</v>
      </c>
      <c r="Q482" s="1">
        <f>RANK(Table1[[#This Row],[Quality_score_index]],Table1[Quality_score_index],0)</f>
        <v>1235</v>
      </c>
      <c r="R482" s="1">
        <f>Table1[[#This Row],[total sulfur dioxide]]-Table1[[#This Row],[free sulfur dioxide]]</f>
        <v>17</v>
      </c>
      <c r="S482" s="1" t="str">
        <f>IF(AND(Table1[[#This Row],[pH]]&gt;=3.2,Table1[[#This Row],[alcohol]]&gt;=10),"White wine","Red wine")</f>
        <v>Red wine</v>
      </c>
    </row>
    <row r="483" spans="1:19" x14ac:dyDescent="0.3">
      <c r="A483" s="13">
        <v>482</v>
      </c>
      <c r="B483" s="1">
        <v>9.4</v>
      </c>
      <c r="C483" s="1">
        <v>0.3</v>
      </c>
      <c r="D483" s="1">
        <v>0.56000000000000005</v>
      </c>
      <c r="E483" s="1">
        <v>2.8</v>
      </c>
      <c r="F483" s="1">
        <v>0.08</v>
      </c>
      <c r="G483" s="1">
        <v>6</v>
      </c>
      <c r="H483" s="1">
        <v>17</v>
      </c>
      <c r="I483" s="1">
        <v>0.99639999999999995</v>
      </c>
      <c r="J483" s="1">
        <v>3.15</v>
      </c>
      <c r="K483" s="1">
        <v>0.92</v>
      </c>
      <c r="L483" s="1">
        <v>11.7</v>
      </c>
      <c r="M483" s="2">
        <v>8</v>
      </c>
      <c r="N483" s="2" t="str" cm="1">
        <f t="array" ref="N483">_xlfn.IFS(Table1[[#This Row],[quality]]&lt;=4,"Low",Table1[[#This Row],[quality]]&lt;=6,"Medium",Table1[[#This Row],[quality]]&gt;=7,"High")</f>
        <v>High</v>
      </c>
      <c r="O483" s="2" t="str">
        <f>IF(AND(Table1[[#This Row],[fixed acidity]]&gt;Sheet1!$C$4,Table1[[#This Row],[pH]]&lt;Sheet1!$K$4),"High","Normal")</f>
        <v>High</v>
      </c>
      <c r="P483" s="1">
        <f>(Table1[[#This Row],[alcohol]]*2)+(Table1[[#This Row],[sulphates]]*1.5)-(Table1[[#This Row],[volatile acidity]]*2)</f>
        <v>24.179999999999996</v>
      </c>
      <c r="Q483" s="1">
        <f>RANK(Table1[[#This Row],[Quality_score_index]],Table1[Quality_score_index],0)</f>
        <v>158</v>
      </c>
      <c r="R483" s="1">
        <f>Table1[[#This Row],[total sulfur dioxide]]-Table1[[#This Row],[free sulfur dioxide]]</f>
        <v>11</v>
      </c>
      <c r="S483" s="1" t="str">
        <f>IF(AND(Table1[[#This Row],[pH]]&gt;=3.2,Table1[[#This Row],[alcohol]]&gt;=10),"White wine","Red wine")</f>
        <v>Red wine</v>
      </c>
    </row>
    <row r="484" spans="1:19" x14ac:dyDescent="0.3">
      <c r="A484" s="13">
        <v>483</v>
      </c>
      <c r="B484" s="1">
        <v>10.6</v>
      </c>
      <c r="C484" s="1">
        <v>0.36</v>
      </c>
      <c r="D484" s="1">
        <v>0.59</v>
      </c>
      <c r="E484" s="1">
        <v>2.2000000000000002</v>
      </c>
      <c r="F484" s="1">
        <v>0.152</v>
      </c>
      <c r="G484" s="1">
        <v>6</v>
      </c>
      <c r="H484" s="1">
        <v>18</v>
      </c>
      <c r="I484" s="1">
        <v>0.99860000000000004</v>
      </c>
      <c r="J484" s="1">
        <v>3.04</v>
      </c>
      <c r="K484" s="1">
        <v>1.05</v>
      </c>
      <c r="L484" s="1">
        <v>9.4</v>
      </c>
      <c r="M484" s="2">
        <v>5</v>
      </c>
      <c r="N484" s="2" t="str" cm="1">
        <f t="array" ref="N484">_xlfn.IFS(Table1[[#This Row],[quality]]&lt;=4,"Low",Table1[[#This Row],[quality]]&lt;=6,"Medium",Table1[[#This Row],[quality]]&gt;=7,"High")</f>
        <v>Medium</v>
      </c>
      <c r="O484" s="2" t="str">
        <f>IF(AND(Table1[[#This Row],[fixed acidity]]&gt;Sheet1!$C$4,Table1[[#This Row],[pH]]&lt;Sheet1!$K$4),"High","Normal")</f>
        <v>High</v>
      </c>
      <c r="P484" s="1">
        <f>(Table1[[#This Row],[alcohol]]*2)+(Table1[[#This Row],[sulphates]]*1.5)-(Table1[[#This Row],[volatile acidity]]*2)</f>
        <v>19.655000000000001</v>
      </c>
      <c r="Q484" s="1">
        <f>RANK(Table1[[#This Row],[Quality_score_index]],Table1[Quality_score_index],0)</f>
        <v>936</v>
      </c>
      <c r="R484" s="1">
        <f>Table1[[#This Row],[total sulfur dioxide]]-Table1[[#This Row],[free sulfur dioxide]]</f>
        <v>12</v>
      </c>
      <c r="S484" s="1" t="str">
        <f>IF(AND(Table1[[#This Row],[pH]]&gt;=3.2,Table1[[#This Row],[alcohol]]&gt;=10),"White wine","Red wine")</f>
        <v>Red wine</v>
      </c>
    </row>
    <row r="485" spans="1:19" x14ac:dyDescent="0.3">
      <c r="A485" s="13">
        <v>484</v>
      </c>
      <c r="B485" s="1">
        <v>10.6</v>
      </c>
      <c r="C485" s="1">
        <v>0.36</v>
      </c>
      <c r="D485" s="1">
        <v>0.6</v>
      </c>
      <c r="E485" s="1">
        <v>2.2000000000000002</v>
      </c>
      <c r="F485" s="1">
        <v>0.152</v>
      </c>
      <c r="G485" s="1">
        <v>7</v>
      </c>
      <c r="H485" s="1">
        <v>18</v>
      </c>
      <c r="I485" s="1">
        <v>0.99860000000000004</v>
      </c>
      <c r="J485" s="1">
        <v>3.04</v>
      </c>
      <c r="K485" s="1">
        <v>1.06</v>
      </c>
      <c r="L485" s="1">
        <v>9.4</v>
      </c>
      <c r="M485" s="2">
        <v>5</v>
      </c>
      <c r="N485" s="2" t="str" cm="1">
        <f t="array" ref="N485">_xlfn.IFS(Table1[[#This Row],[quality]]&lt;=4,"Low",Table1[[#This Row],[quality]]&lt;=6,"Medium",Table1[[#This Row],[quality]]&gt;=7,"High")</f>
        <v>Medium</v>
      </c>
      <c r="O485" s="2" t="str">
        <f>IF(AND(Table1[[#This Row],[fixed acidity]]&gt;Sheet1!$C$4,Table1[[#This Row],[pH]]&lt;Sheet1!$K$4),"High","Normal")</f>
        <v>High</v>
      </c>
      <c r="P485" s="1">
        <f>(Table1[[#This Row],[alcohol]]*2)+(Table1[[#This Row],[sulphates]]*1.5)-(Table1[[#This Row],[volatile acidity]]*2)</f>
        <v>19.670000000000002</v>
      </c>
      <c r="Q485" s="1">
        <f>RANK(Table1[[#This Row],[Quality_score_index]],Table1[Quality_score_index],0)</f>
        <v>932</v>
      </c>
      <c r="R485" s="1">
        <f>Table1[[#This Row],[total sulfur dioxide]]-Table1[[#This Row],[free sulfur dioxide]]</f>
        <v>11</v>
      </c>
      <c r="S485" s="1" t="str">
        <f>IF(AND(Table1[[#This Row],[pH]]&gt;=3.2,Table1[[#This Row],[alcohol]]&gt;=10),"White wine","Red wine")</f>
        <v>Red wine</v>
      </c>
    </row>
    <row r="486" spans="1:19" x14ac:dyDescent="0.3">
      <c r="A486" s="13">
        <v>485</v>
      </c>
      <c r="B486" s="1">
        <v>10.6</v>
      </c>
      <c r="C486" s="1">
        <v>0.44</v>
      </c>
      <c r="D486" s="1">
        <v>0.68</v>
      </c>
      <c r="E486" s="1">
        <v>4.0999999999999996</v>
      </c>
      <c r="F486" s="1">
        <v>0.114</v>
      </c>
      <c r="G486" s="1">
        <v>6</v>
      </c>
      <c r="H486" s="1">
        <v>24</v>
      </c>
      <c r="I486" s="1">
        <v>0.997</v>
      </c>
      <c r="J486" s="1">
        <v>3.06</v>
      </c>
      <c r="K486" s="1">
        <v>0.66</v>
      </c>
      <c r="L486" s="1">
        <v>13.4</v>
      </c>
      <c r="M486" s="2">
        <v>6</v>
      </c>
      <c r="N486" s="2" t="str" cm="1">
        <f t="array" ref="N486">_xlfn.IFS(Table1[[#This Row],[quality]]&lt;=4,"Low",Table1[[#This Row],[quality]]&lt;=6,"Medium",Table1[[#This Row],[quality]]&gt;=7,"High")</f>
        <v>Medium</v>
      </c>
      <c r="O486" s="2" t="str">
        <f>IF(AND(Table1[[#This Row],[fixed acidity]]&gt;Sheet1!$C$4,Table1[[#This Row],[pH]]&lt;Sheet1!$K$4),"High","Normal")</f>
        <v>High</v>
      </c>
      <c r="P486" s="1">
        <f>(Table1[[#This Row],[alcohol]]*2)+(Table1[[#This Row],[sulphates]]*1.5)-(Table1[[#This Row],[volatile acidity]]*2)</f>
        <v>26.91</v>
      </c>
      <c r="Q486" s="1">
        <f>RANK(Table1[[#This Row],[Quality_score_index]],Table1[Quality_score_index],0)</f>
        <v>17</v>
      </c>
      <c r="R486" s="1">
        <f>Table1[[#This Row],[total sulfur dioxide]]-Table1[[#This Row],[free sulfur dioxide]]</f>
        <v>18</v>
      </c>
      <c r="S486" s="1" t="str">
        <f>IF(AND(Table1[[#This Row],[pH]]&gt;=3.2,Table1[[#This Row],[alcohol]]&gt;=10),"White wine","Red wine")</f>
        <v>Red wine</v>
      </c>
    </row>
    <row r="487" spans="1:19" x14ac:dyDescent="0.3">
      <c r="A487" s="13">
        <v>486</v>
      </c>
      <c r="B487" s="1">
        <v>10.199999999999999</v>
      </c>
      <c r="C487" s="1">
        <v>0.67</v>
      </c>
      <c r="D487" s="1">
        <v>0.39</v>
      </c>
      <c r="E487" s="1">
        <v>1.9</v>
      </c>
      <c r="F487" s="1">
        <v>5.3999999999999999E-2</v>
      </c>
      <c r="G487" s="1">
        <v>6</v>
      </c>
      <c r="H487" s="1">
        <v>17</v>
      </c>
      <c r="I487" s="1">
        <v>0.99760000000000004</v>
      </c>
      <c r="J487" s="1">
        <v>3.17</v>
      </c>
      <c r="K487" s="1">
        <v>0.47</v>
      </c>
      <c r="L487" s="1">
        <v>10</v>
      </c>
      <c r="M487" s="2">
        <v>5</v>
      </c>
      <c r="N487" s="2" t="str" cm="1">
        <f t="array" ref="N487">_xlfn.IFS(Table1[[#This Row],[quality]]&lt;=4,"Low",Table1[[#This Row],[quality]]&lt;=6,"Medium",Table1[[#This Row],[quality]]&gt;=7,"High")</f>
        <v>Medium</v>
      </c>
      <c r="O487" s="2" t="str">
        <f>IF(AND(Table1[[#This Row],[fixed acidity]]&gt;Sheet1!$C$4,Table1[[#This Row],[pH]]&lt;Sheet1!$K$4),"High","Normal")</f>
        <v>High</v>
      </c>
      <c r="P487" s="1">
        <f>(Table1[[#This Row],[alcohol]]*2)+(Table1[[#This Row],[sulphates]]*1.5)-(Table1[[#This Row],[volatile acidity]]*2)</f>
        <v>19.364999999999998</v>
      </c>
      <c r="Q487" s="1">
        <f>RANK(Table1[[#This Row],[Quality_score_index]],Table1[Quality_score_index],0)</f>
        <v>1018</v>
      </c>
      <c r="R487" s="1">
        <f>Table1[[#This Row],[total sulfur dioxide]]-Table1[[#This Row],[free sulfur dioxide]]</f>
        <v>11</v>
      </c>
      <c r="S487" s="1" t="str">
        <f>IF(AND(Table1[[#This Row],[pH]]&gt;=3.2,Table1[[#This Row],[alcohol]]&gt;=10),"White wine","Red wine")</f>
        <v>Red wine</v>
      </c>
    </row>
    <row r="488" spans="1:19" x14ac:dyDescent="0.3">
      <c r="A488" s="13">
        <v>487</v>
      </c>
      <c r="B488" s="1">
        <v>10.199999999999999</v>
      </c>
      <c r="C488" s="1">
        <v>0.67</v>
      </c>
      <c r="D488" s="1">
        <v>0.39</v>
      </c>
      <c r="E488" s="1">
        <v>1.9</v>
      </c>
      <c r="F488" s="1">
        <v>5.3999999999999999E-2</v>
      </c>
      <c r="G488" s="1">
        <v>6</v>
      </c>
      <c r="H488" s="1">
        <v>17</v>
      </c>
      <c r="I488" s="1">
        <v>0.99760000000000004</v>
      </c>
      <c r="J488" s="1">
        <v>3.17</v>
      </c>
      <c r="K488" s="1">
        <v>0.47</v>
      </c>
      <c r="L488" s="1">
        <v>10</v>
      </c>
      <c r="M488" s="2">
        <v>5</v>
      </c>
      <c r="N488" s="2" t="str" cm="1">
        <f t="array" ref="N488">_xlfn.IFS(Table1[[#This Row],[quality]]&lt;=4,"Low",Table1[[#This Row],[quality]]&lt;=6,"Medium",Table1[[#This Row],[quality]]&gt;=7,"High")</f>
        <v>Medium</v>
      </c>
      <c r="O488" s="2" t="str">
        <f>IF(AND(Table1[[#This Row],[fixed acidity]]&gt;Sheet1!$C$4,Table1[[#This Row],[pH]]&lt;Sheet1!$K$4),"High","Normal")</f>
        <v>High</v>
      </c>
      <c r="P488" s="1">
        <f>(Table1[[#This Row],[alcohol]]*2)+(Table1[[#This Row],[sulphates]]*1.5)-(Table1[[#This Row],[volatile acidity]]*2)</f>
        <v>19.364999999999998</v>
      </c>
      <c r="Q488" s="1">
        <f>RANK(Table1[[#This Row],[Quality_score_index]],Table1[Quality_score_index],0)</f>
        <v>1018</v>
      </c>
      <c r="R488" s="1">
        <f>Table1[[#This Row],[total sulfur dioxide]]-Table1[[#This Row],[free sulfur dioxide]]</f>
        <v>11</v>
      </c>
      <c r="S488" s="1" t="str">
        <f>IF(AND(Table1[[#This Row],[pH]]&gt;=3.2,Table1[[#This Row],[alcohol]]&gt;=10),"White wine","Red wine")</f>
        <v>Red wine</v>
      </c>
    </row>
    <row r="489" spans="1:19" x14ac:dyDescent="0.3">
      <c r="A489" s="13">
        <v>488</v>
      </c>
      <c r="B489" s="1">
        <v>10.199999999999999</v>
      </c>
      <c r="C489" s="1">
        <v>0.64500000000000002</v>
      </c>
      <c r="D489" s="1">
        <v>0.36</v>
      </c>
      <c r="E489" s="1">
        <v>1.8</v>
      </c>
      <c r="F489" s="1">
        <v>5.2999999999999999E-2</v>
      </c>
      <c r="G489" s="1">
        <v>5</v>
      </c>
      <c r="H489" s="1">
        <v>14</v>
      </c>
      <c r="I489" s="1">
        <v>0.99819999999999998</v>
      </c>
      <c r="J489" s="1">
        <v>3.17</v>
      </c>
      <c r="K489" s="1">
        <v>0.42</v>
      </c>
      <c r="L489" s="1">
        <v>10</v>
      </c>
      <c r="M489" s="2">
        <v>6</v>
      </c>
      <c r="N489" s="2" t="str" cm="1">
        <f t="array" ref="N489">_xlfn.IFS(Table1[[#This Row],[quality]]&lt;=4,"Low",Table1[[#This Row],[quality]]&lt;=6,"Medium",Table1[[#This Row],[quality]]&gt;=7,"High")</f>
        <v>Medium</v>
      </c>
      <c r="O489" s="2" t="str">
        <f>IF(AND(Table1[[#This Row],[fixed acidity]]&gt;Sheet1!$C$4,Table1[[#This Row],[pH]]&lt;Sheet1!$K$4),"High","Normal")</f>
        <v>High</v>
      </c>
      <c r="P489" s="1">
        <f>(Table1[[#This Row],[alcohol]]*2)+(Table1[[#This Row],[sulphates]]*1.5)-(Table1[[#This Row],[volatile acidity]]*2)</f>
        <v>19.34</v>
      </c>
      <c r="Q489" s="1">
        <f>RANK(Table1[[#This Row],[Quality_score_index]],Table1[Quality_score_index],0)</f>
        <v>1028</v>
      </c>
      <c r="R489" s="1">
        <f>Table1[[#This Row],[total sulfur dioxide]]-Table1[[#This Row],[free sulfur dioxide]]</f>
        <v>9</v>
      </c>
      <c r="S489" s="1" t="str">
        <f>IF(AND(Table1[[#This Row],[pH]]&gt;=3.2,Table1[[#This Row],[alcohol]]&gt;=10),"White wine","Red wine")</f>
        <v>Red wine</v>
      </c>
    </row>
    <row r="490" spans="1:19" x14ac:dyDescent="0.3">
      <c r="A490" s="13">
        <v>489</v>
      </c>
      <c r="B490" s="1">
        <v>11.6</v>
      </c>
      <c r="C490" s="1">
        <v>0.32</v>
      </c>
      <c r="D490" s="1">
        <v>0.55000000000000004</v>
      </c>
      <c r="E490" s="1">
        <v>2.8</v>
      </c>
      <c r="F490" s="1">
        <v>8.1000000000000003E-2</v>
      </c>
      <c r="G490" s="1">
        <v>35</v>
      </c>
      <c r="H490" s="1">
        <v>67</v>
      </c>
      <c r="I490" s="1">
        <v>1.0002</v>
      </c>
      <c r="J490" s="1">
        <v>3.32</v>
      </c>
      <c r="K490" s="1">
        <v>0.92</v>
      </c>
      <c r="L490" s="1">
        <v>10.8</v>
      </c>
      <c r="M490" s="2">
        <v>7</v>
      </c>
      <c r="N490" s="2" t="str" cm="1">
        <f t="array" ref="N490">_xlfn.IFS(Table1[[#This Row],[quality]]&lt;=4,"Low",Table1[[#This Row],[quality]]&lt;=6,"Medium",Table1[[#This Row],[quality]]&gt;=7,"High")</f>
        <v>High</v>
      </c>
      <c r="O490" s="2" t="str">
        <f>IF(AND(Table1[[#This Row],[fixed acidity]]&gt;Sheet1!$C$4,Table1[[#This Row],[pH]]&lt;Sheet1!$K$4),"High","Normal")</f>
        <v>Normal</v>
      </c>
      <c r="P490" s="1">
        <f>(Table1[[#This Row],[alcohol]]*2)+(Table1[[#This Row],[sulphates]]*1.5)-(Table1[[#This Row],[volatile acidity]]*2)</f>
        <v>22.34</v>
      </c>
      <c r="Q490" s="1">
        <f>RANK(Table1[[#This Row],[Quality_score_index]],Table1[Quality_score_index],0)</f>
        <v>402</v>
      </c>
      <c r="R490" s="1">
        <f>Table1[[#This Row],[total sulfur dioxide]]-Table1[[#This Row],[free sulfur dioxide]]</f>
        <v>32</v>
      </c>
      <c r="S490" s="1" t="str">
        <f>IF(AND(Table1[[#This Row],[pH]]&gt;=3.2,Table1[[#This Row],[alcohol]]&gt;=10),"White wine","Red wine")</f>
        <v>White wine</v>
      </c>
    </row>
    <row r="491" spans="1:19" x14ac:dyDescent="0.3">
      <c r="A491" s="13">
        <v>490</v>
      </c>
      <c r="B491" s="1">
        <v>9.3000000000000007</v>
      </c>
      <c r="C491" s="1">
        <v>0.39</v>
      </c>
      <c r="D491" s="1">
        <v>0.4</v>
      </c>
      <c r="E491" s="1">
        <v>2.6</v>
      </c>
      <c r="F491" s="1">
        <v>7.2999999999999995E-2</v>
      </c>
      <c r="G491" s="1">
        <v>10</v>
      </c>
      <c r="H491" s="1">
        <v>26</v>
      </c>
      <c r="I491" s="1">
        <v>0.99839999999999995</v>
      </c>
      <c r="J491" s="1">
        <v>3.34</v>
      </c>
      <c r="K491" s="1">
        <v>0.75</v>
      </c>
      <c r="L491" s="1">
        <v>10.199999999999999</v>
      </c>
      <c r="M491" s="2">
        <v>6</v>
      </c>
      <c r="N491" s="2" t="str" cm="1">
        <f t="array" ref="N491">_xlfn.IFS(Table1[[#This Row],[quality]]&lt;=4,"Low",Table1[[#This Row],[quality]]&lt;=6,"Medium",Table1[[#This Row],[quality]]&gt;=7,"High")</f>
        <v>Medium</v>
      </c>
      <c r="O491" s="2" t="str">
        <f>IF(AND(Table1[[#This Row],[fixed acidity]]&gt;Sheet1!$C$4,Table1[[#This Row],[pH]]&lt;Sheet1!$K$4),"High","Normal")</f>
        <v>Normal</v>
      </c>
      <c r="P491" s="1">
        <f>(Table1[[#This Row],[alcohol]]*2)+(Table1[[#This Row],[sulphates]]*1.5)-(Table1[[#This Row],[volatile acidity]]*2)</f>
        <v>20.744999999999997</v>
      </c>
      <c r="Q491" s="1">
        <f>RANK(Table1[[#This Row],[Quality_score_index]],Table1[Quality_score_index],0)</f>
        <v>717</v>
      </c>
      <c r="R491" s="1">
        <f>Table1[[#This Row],[total sulfur dioxide]]-Table1[[#This Row],[free sulfur dioxide]]</f>
        <v>16</v>
      </c>
      <c r="S491" s="1" t="str">
        <f>IF(AND(Table1[[#This Row],[pH]]&gt;=3.2,Table1[[#This Row],[alcohol]]&gt;=10),"White wine","Red wine")</f>
        <v>White wine</v>
      </c>
    </row>
    <row r="492" spans="1:19" x14ac:dyDescent="0.3">
      <c r="A492" s="13">
        <v>491</v>
      </c>
      <c r="B492" s="1">
        <v>9.3000000000000007</v>
      </c>
      <c r="C492" s="1">
        <v>0.77500000000000002</v>
      </c>
      <c r="D492" s="1">
        <v>0.27</v>
      </c>
      <c r="E492" s="1">
        <v>2.8</v>
      </c>
      <c r="F492" s="1">
        <v>7.8E-2</v>
      </c>
      <c r="G492" s="1">
        <v>24</v>
      </c>
      <c r="H492" s="1">
        <v>56</v>
      </c>
      <c r="I492" s="1">
        <v>0.99839999999999995</v>
      </c>
      <c r="J492" s="1">
        <v>3.31</v>
      </c>
      <c r="K492" s="1">
        <v>0.67</v>
      </c>
      <c r="L492" s="1">
        <v>10.6</v>
      </c>
      <c r="M492" s="2">
        <v>6</v>
      </c>
      <c r="N492" s="2" t="str" cm="1">
        <f t="array" ref="N492">_xlfn.IFS(Table1[[#This Row],[quality]]&lt;=4,"Low",Table1[[#This Row],[quality]]&lt;=6,"Medium",Table1[[#This Row],[quality]]&gt;=7,"High")</f>
        <v>Medium</v>
      </c>
      <c r="O492" s="2" t="str">
        <f>IF(AND(Table1[[#This Row],[fixed acidity]]&gt;Sheet1!$C$4,Table1[[#This Row],[pH]]&lt;Sheet1!$K$4),"High","Normal")</f>
        <v>High</v>
      </c>
      <c r="P492" s="1">
        <f>(Table1[[#This Row],[alcohol]]*2)+(Table1[[#This Row],[sulphates]]*1.5)-(Table1[[#This Row],[volatile acidity]]*2)</f>
        <v>20.654999999999998</v>
      </c>
      <c r="Q492" s="1">
        <f>RANK(Table1[[#This Row],[Quality_score_index]],Table1[Quality_score_index],0)</f>
        <v>731</v>
      </c>
      <c r="R492" s="1">
        <f>Table1[[#This Row],[total sulfur dioxide]]-Table1[[#This Row],[free sulfur dioxide]]</f>
        <v>32</v>
      </c>
      <c r="S492" s="1" t="str">
        <f>IF(AND(Table1[[#This Row],[pH]]&gt;=3.2,Table1[[#This Row],[alcohol]]&gt;=10),"White wine","Red wine")</f>
        <v>White wine</v>
      </c>
    </row>
    <row r="493" spans="1:19" x14ac:dyDescent="0.3">
      <c r="A493" s="13">
        <v>492</v>
      </c>
      <c r="B493" s="1">
        <v>9.1999999999999993</v>
      </c>
      <c r="C493" s="1">
        <v>0.41</v>
      </c>
      <c r="D493" s="1">
        <v>0.5</v>
      </c>
      <c r="E493" s="1">
        <v>2.5</v>
      </c>
      <c r="F493" s="1">
        <v>5.5E-2</v>
      </c>
      <c r="G493" s="1">
        <v>12</v>
      </c>
      <c r="H493" s="1">
        <v>25</v>
      </c>
      <c r="I493" s="1">
        <v>0.99519999999999997</v>
      </c>
      <c r="J493" s="1">
        <v>3.34</v>
      </c>
      <c r="K493" s="1">
        <v>0.79</v>
      </c>
      <c r="L493" s="1">
        <v>13.3</v>
      </c>
      <c r="M493" s="2">
        <v>7</v>
      </c>
      <c r="N493" s="2" t="str" cm="1">
        <f t="array" ref="N493">_xlfn.IFS(Table1[[#This Row],[quality]]&lt;=4,"Low",Table1[[#This Row],[quality]]&lt;=6,"Medium",Table1[[#This Row],[quality]]&gt;=7,"High")</f>
        <v>High</v>
      </c>
      <c r="O493" s="2" t="str">
        <f>IF(AND(Table1[[#This Row],[fixed acidity]]&gt;Sheet1!$C$4,Table1[[#This Row],[pH]]&lt;Sheet1!$K$4),"High","Normal")</f>
        <v>Normal</v>
      </c>
      <c r="P493" s="1">
        <f>(Table1[[#This Row],[alcohol]]*2)+(Table1[[#This Row],[sulphates]]*1.5)-(Table1[[#This Row],[volatile acidity]]*2)</f>
        <v>26.965</v>
      </c>
      <c r="Q493" s="1">
        <f>RANK(Table1[[#This Row],[Quality_score_index]],Table1[Quality_score_index],0)</f>
        <v>16</v>
      </c>
      <c r="R493" s="1">
        <f>Table1[[#This Row],[total sulfur dioxide]]-Table1[[#This Row],[free sulfur dioxide]]</f>
        <v>13</v>
      </c>
      <c r="S493" s="1" t="str">
        <f>IF(AND(Table1[[#This Row],[pH]]&gt;=3.2,Table1[[#This Row],[alcohol]]&gt;=10),"White wine","Red wine")</f>
        <v>White wine</v>
      </c>
    </row>
    <row r="494" spans="1:19" x14ac:dyDescent="0.3">
      <c r="A494" s="13">
        <v>493</v>
      </c>
      <c r="B494" s="1">
        <v>8.9</v>
      </c>
      <c r="C494" s="1">
        <v>0.4</v>
      </c>
      <c r="D494" s="1">
        <v>0.51</v>
      </c>
      <c r="E494" s="1">
        <v>2.6</v>
      </c>
      <c r="F494" s="1">
        <v>5.1999999999999998E-2</v>
      </c>
      <c r="G494" s="1">
        <v>13</v>
      </c>
      <c r="H494" s="1">
        <v>27</v>
      </c>
      <c r="I494" s="1">
        <v>0.995</v>
      </c>
      <c r="J494" s="1">
        <v>3.32</v>
      </c>
      <c r="K494" s="1">
        <v>0.9</v>
      </c>
      <c r="L494" s="1">
        <v>13.4</v>
      </c>
      <c r="M494" s="2">
        <v>7</v>
      </c>
      <c r="N494" s="2" t="str" cm="1">
        <f t="array" ref="N494">_xlfn.IFS(Table1[[#This Row],[quality]]&lt;=4,"Low",Table1[[#This Row],[quality]]&lt;=6,"Medium",Table1[[#This Row],[quality]]&gt;=7,"High")</f>
        <v>High</v>
      </c>
      <c r="O494" s="2" t="str">
        <f>IF(AND(Table1[[#This Row],[fixed acidity]]&gt;Sheet1!$C$4,Table1[[#This Row],[pH]]&lt;Sheet1!$K$4),"High","Normal")</f>
        <v>Normal</v>
      </c>
      <c r="P494" s="1">
        <f>(Table1[[#This Row],[alcohol]]*2)+(Table1[[#This Row],[sulphates]]*1.5)-(Table1[[#This Row],[volatile acidity]]*2)</f>
        <v>27.35</v>
      </c>
      <c r="Q494" s="1">
        <f>RANK(Table1[[#This Row],[Quality_score_index]],Table1[Quality_score_index],0)</f>
        <v>14</v>
      </c>
      <c r="R494" s="1">
        <f>Table1[[#This Row],[total sulfur dioxide]]-Table1[[#This Row],[free sulfur dioxide]]</f>
        <v>14</v>
      </c>
      <c r="S494" s="1" t="str">
        <f>IF(AND(Table1[[#This Row],[pH]]&gt;=3.2,Table1[[#This Row],[alcohol]]&gt;=10),"White wine","Red wine")</f>
        <v>White wine</v>
      </c>
    </row>
    <row r="495" spans="1:19" x14ac:dyDescent="0.3">
      <c r="A495" s="13">
        <v>494</v>
      </c>
      <c r="B495" s="1">
        <v>8.6999999999999993</v>
      </c>
      <c r="C495" s="1">
        <v>0.69</v>
      </c>
      <c r="D495" s="1">
        <v>0.31</v>
      </c>
      <c r="E495" s="1">
        <v>3</v>
      </c>
      <c r="F495" s="1">
        <v>8.5999999999999993E-2</v>
      </c>
      <c r="G495" s="1">
        <v>23</v>
      </c>
      <c r="H495" s="1">
        <v>81</v>
      </c>
      <c r="I495" s="1">
        <v>1.0002</v>
      </c>
      <c r="J495" s="1">
        <v>3.48</v>
      </c>
      <c r="K495" s="1">
        <v>0.74</v>
      </c>
      <c r="L495" s="1">
        <v>11.6</v>
      </c>
      <c r="M495" s="2">
        <v>6</v>
      </c>
      <c r="N495" s="2" t="str" cm="1">
        <f t="array" ref="N495">_xlfn.IFS(Table1[[#This Row],[quality]]&lt;=4,"Low",Table1[[#This Row],[quality]]&lt;=6,"Medium",Table1[[#This Row],[quality]]&gt;=7,"High")</f>
        <v>Medium</v>
      </c>
      <c r="O495" s="2" t="str">
        <f>IF(AND(Table1[[#This Row],[fixed acidity]]&gt;Sheet1!$C$4,Table1[[#This Row],[pH]]&lt;Sheet1!$K$4),"High","Normal")</f>
        <v>Normal</v>
      </c>
      <c r="P495" s="1">
        <f>(Table1[[#This Row],[alcohol]]*2)+(Table1[[#This Row],[sulphates]]*1.5)-(Table1[[#This Row],[volatile acidity]]*2)</f>
        <v>22.93</v>
      </c>
      <c r="Q495" s="1">
        <f>RANK(Table1[[#This Row],[Quality_score_index]],Table1[Quality_score_index],0)</f>
        <v>283</v>
      </c>
      <c r="R495" s="1">
        <f>Table1[[#This Row],[total sulfur dioxide]]-Table1[[#This Row],[free sulfur dioxide]]</f>
        <v>58</v>
      </c>
      <c r="S495" s="1" t="str">
        <f>IF(AND(Table1[[#This Row],[pH]]&gt;=3.2,Table1[[#This Row],[alcohol]]&gt;=10),"White wine","Red wine")</f>
        <v>White wine</v>
      </c>
    </row>
    <row r="496" spans="1:19" x14ac:dyDescent="0.3">
      <c r="A496" s="13">
        <v>495</v>
      </c>
      <c r="B496" s="1">
        <v>6.5</v>
      </c>
      <c r="C496" s="1">
        <v>0.39</v>
      </c>
      <c r="D496" s="1">
        <v>0.23</v>
      </c>
      <c r="E496" s="1">
        <v>8.3000000000000007</v>
      </c>
      <c r="F496" s="1">
        <v>5.0999999999999997E-2</v>
      </c>
      <c r="G496" s="1">
        <v>28</v>
      </c>
      <c r="H496" s="1">
        <v>91</v>
      </c>
      <c r="I496" s="1">
        <v>0.99519999999999997</v>
      </c>
      <c r="J496" s="1">
        <v>3.44</v>
      </c>
      <c r="K496" s="1">
        <v>0.55000000000000004</v>
      </c>
      <c r="L496" s="1">
        <v>12.1</v>
      </c>
      <c r="M496" s="2">
        <v>6</v>
      </c>
      <c r="N496" s="2" t="str" cm="1">
        <f t="array" ref="N496">_xlfn.IFS(Table1[[#This Row],[quality]]&lt;=4,"Low",Table1[[#This Row],[quality]]&lt;=6,"Medium",Table1[[#This Row],[quality]]&gt;=7,"High")</f>
        <v>Medium</v>
      </c>
      <c r="O496" s="2" t="str">
        <f>IF(AND(Table1[[#This Row],[fixed acidity]]&gt;Sheet1!$C$4,Table1[[#This Row],[pH]]&lt;Sheet1!$K$4),"High","Normal")</f>
        <v>Normal</v>
      </c>
      <c r="P496" s="1">
        <f>(Table1[[#This Row],[alcohol]]*2)+(Table1[[#This Row],[sulphates]]*1.5)-(Table1[[#This Row],[volatile acidity]]*2)</f>
        <v>24.244999999999997</v>
      </c>
      <c r="Q496" s="1">
        <f>RANK(Table1[[#This Row],[Quality_score_index]],Table1[Quality_score_index],0)</f>
        <v>156</v>
      </c>
      <c r="R496" s="1">
        <f>Table1[[#This Row],[total sulfur dioxide]]-Table1[[#This Row],[free sulfur dioxide]]</f>
        <v>63</v>
      </c>
      <c r="S496" s="1" t="str">
        <f>IF(AND(Table1[[#This Row],[pH]]&gt;=3.2,Table1[[#This Row],[alcohol]]&gt;=10),"White wine","Red wine")</f>
        <v>White wine</v>
      </c>
    </row>
    <row r="497" spans="1:19" x14ac:dyDescent="0.3">
      <c r="A497" s="13">
        <v>496</v>
      </c>
      <c r="B497" s="1">
        <v>10.7</v>
      </c>
      <c r="C497" s="1">
        <v>0.35</v>
      </c>
      <c r="D497" s="1">
        <v>0.53</v>
      </c>
      <c r="E497" s="1">
        <v>2.6</v>
      </c>
      <c r="F497" s="1">
        <v>7.0000000000000007E-2</v>
      </c>
      <c r="G497" s="1">
        <v>5</v>
      </c>
      <c r="H497" s="1">
        <v>16</v>
      </c>
      <c r="I497" s="1">
        <v>0.99719999999999998</v>
      </c>
      <c r="J497" s="1">
        <v>3.15</v>
      </c>
      <c r="K497" s="1">
        <v>0.65</v>
      </c>
      <c r="L497" s="1">
        <v>11</v>
      </c>
      <c r="M497" s="2">
        <v>8</v>
      </c>
      <c r="N497" s="2" t="str" cm="1">
        <f t="array" ref="N497">_xlfn.IFS(Table1[[#This Row],[quality]]&lt;=4,"Low",Table1[[#This Row],[quality]]&lt;=6,"Medium",Table1[[#This Row],[quality]]&gt;=7,"High")</f>
        <v>High</v>
      </c>
      <c r="O497" s="2" t="str">
        <f>IF(AND(Table1[[#This Row],[fixed acidity]]&gt;Sheet1!$C$4,Table1[[#This Row],[pH]]&lt;Sheet1!$K$4),"High","Normal")</f>
        <v>High</v>
      </c>
      <c r="P497" s="1">
        <f>(Table1[[#This Row],[alcohol]]*2)+(Table1[[#This Row],[sulphates]]*1.5)-(Table1[[#This Row],[volatile acidity]]*2)</f>
        <v>22.275000000000002</v>
      </c>
      <c r="Q497" s="1">
        <f>RANK(Table1[[#This Row],[Quality_score_index]],Table1[Quality_score_index],0)</f>
        <v>407</v>
      </c>
      <c r="R497" s="1">
        <f>Table1[[#This Row],[total sulfur dioxide]]-Table1[[#This Row],[free sulfur dioxide]]</f>
        <v>11</v>
      </c>
      <c r="S497" s="1" t="str">
        <f>IF(AND(Table1[[#This Row],[pH]]&gt;=3.2,Table1[[#This Row],[alcohol]]&gt;=10),"White wine","Red wine")</f>
        <v>Red wine</v>
      </c>
    </row>
    <row r="498" spans="1:19" x14ac:dyDescent="0.3">
      <c r="A498" s="13">
        <v>497</v>
      </c>
      <c r="B498" s="1">
        <v>7.8</v>
      </c>
      <c r="C498" s="1">
        <v>0.52</v>
      </c>
      <c r="D498" s="1">
        <v>0.25</v>
      </c>
      <c r="E498" s="1">
        <v>1.9</v>
      </c>
      <c r="F498" s="1">
        <v>8.1000000000000003E-2</v>
      </c>
      <c r="G498" s="1">
        <v>14</v>
      </c>
      <c r="H498" s="1">
        <v>38</v>
      </c>
      <c r="I498" s="1">
        <v>0.99839999999999995</v>
      </c>
      <c r="J498" s="1">
        <v>3.43</v>
      </c>
      <c r="K498" s="1">
        <v>0.65</v>
      </c>
      <c r="L498" s="1">
        <v>9</v>
      </c>
      <c r="M498" s="2">
        <v>6</v>
      </c>
      <c r="N498" s="2" t="str" cm="1">
        <f t="array" ref="N498">_xlfn.IFS(Table1[[#This Row],[quality]]&lt;=4,"Low",Table1[[#This Row],[quality]]&lt;=6,"Medium",Table1[[#This Row],[quality]]&gt;=7,"High")</f>
        <v>Medium</v>
      </c>
      <c r="O498" s="2" t="str">
        <f>IF(AND(Table1[[#This Row],[fixed acidity]]&gt;Sheet1!$C$4,Table1[[#This Row],[pH]]&lt;Sheet1!$K$4),"High","Normal")</f>
        <v>Normal</v>
      </c>
      <c r="P498" s="1">
        <f>(Table1[[#This Row],[alcohol]]*2)+(Table1[[#This Row],[sulphates]]*1.5)-(Table1[[#This Row],[volatile acidity]]*2)</f>
        <v>17.935000000000002</v>
      </c>
      <c r="Q498" s="1">
        <f>RANK(Table1[[#This Row],[Quality_score_index]],Table1[Quality_score_index],0)</f>
        <v>1531</v>
      </c>
      <c r="R498" s="1">
        <f>Table1[[#This Row],[total sulfur dioxide]]-Table1[[#This Row],[free sulfur dioxide]]</f>
        <v>24</v>
      </c>
      <c r="S498" s="1" t="str">
        <f>IF(AND(Table1[[#This Row],[pH]]&gt;=3.2,Table1[[#This Row],[alcohol]]&gt;=10),"White wine","Red wine")</f>
        <v>Red wine</v>
      </c>
    </row>
    <row r="499" spans="1:19" x14ac:dyDescent="0.3">
      <c r="A499" s="13">
        <v>498</v>
      </c>
      <c r="B499" s="1">
        <v>7.2</v>
      </c>
      <c r="C499" s="1">
        <v>0.34</v>
      </c>
      <c r="D499" s="1">
        <v>0.32</v>
      </c>
      <c r="E499" s="1">
        <v>2.5</v>
      </c>
      <c r="F499" s="1">
        <v>0.09</v>
      </c>
      <c r="G499" s="1">
        <v>43</v>
      </c>
      <c r="H499" s="1">
        <v>113</v>
      </c>
      <c r="I499" s="1">
        <v>0.99660000000000004</v>
      </c>
      <c r="J499" s="1">
        <v>3.32</v>
      </c>
      <c r="K499" s="1">
        <v>0.79</v>
      </c>
      <c r="L499" s="1">
        <v>11.1</v>
      </c>
      <c r="M499" s="2">
        <v>5</v>
      </c>
      <c r="N499" s="2" t="str" cm="1">
        <f t="array" ref="N499">_xlfn.IFS(Table1[[#This Row],[quality]]&lt;=4,"Low",Table1[[#This Row],[quality]]&lt;=6,"Medium",Table1[[#This Row],[quality]]&gt;=7,"High")</f>
        <v>Medium</v>
      </c>
      <c r="O499" s="2" t="str">
        <f>IF(AND(Table1[[#This Row],[fixed acidity]]&gt;Sheet1!$C$4,Table1[[#This Row],[pH]]&lt;Sheet1!$K$4),"High","Normal")</f>
        <v>Normal</v>
      </c>
      <c r="P499" s="1">
        <f>(Table1[[#This Row],[alcohol]]*2)+(Table1[[#This Row],[sulphates]]*1.5)-(Table1[[#This Row],[volatile acidity]]*2)</f>
        <v>22.704999999999998</v>
      </c>
      <c r="Q499" s="1">
        <f>RANK(Table1[[#This Row],[Quality_score_index]],Table1[Quality_score_index],0)</f>
        <v>325</v>
      </c>
      <c r="R499" s="1">
        <f>Table1[[#This Row],[total sulfur dioxide]]-Table1[[#This Row],[free sulfur dioxide]]</f>
        <v>70</v>
      </c>
      <c r="S499" s="1" t="str">
        <f>IF(AND(Table1[[#This Row],[pH]]&gt;=3.2,Table1[[#This Row],[alcohol]]&gt;=10),"White wine","Red wine")</f>
        <v>White wine</v>
      </c>
    </row>
    <row r="500" spans="1:19" x14ac:dyDescent="0.3">
      <c r="A500" s="13">
        <v>499</v>
      </c>
      <c r="B500" s="1">
        <v>10.7</v>
      </c>
      <c r="C500" s="1">
        <v>0.35</v>
      </c>
      <c r="D500" s="1">
        <v>0.53</v>
      </c>
      <c r="E500" s="1">
        <v>2.6</v>
      </c>
      <c r="F500" s="1">
        <v>7.0000000000000007E-2</v>
      </c>
      <c r="G500" s="1">
        <v>5</v>
      </c>
      <c r="H500" s="1">
        <v>16</v>
      </c>
      <c r="I500" s="1">
        <v>0.99719999999999998</v>
      </c>
      <c r="J500" s="1">
        <v>3.15</v>
      </c>
      <c r="K500" s="1">
        <v>0.65</v>
      </c>
      <c r="L500" s="1">
        <v>11</v>
      </c>
      <c r="M500" s="2">
        <v>8</v>
      </c>
      <c r="N500" s="2" t="str" cm="1">
        <f t="array" ref="N500">_xlfn.IFS(Table1[[#This Row],[quality]]&lt;=4,"Low",Table1[[#This Row],[quality]]&lt;=6,"Medium",Table1[[#This Row],[quality]]&gt;=7,"High")</f>
        <v>High</v>
      </c>
      <c r="O500" s="2" t="str">
        <f>IF(AND(Table1[[#This Row],[fixed acidity]]&gt;Sheet1!$C$4,Table1[[#This Row],[pH]]&lt;Sheet1!$K$4),"High","Normal")</f>
        <v>High</v>
      </c>
      <c r="P500" s="1">
        <f>(Table1[[#This Row],[alcohol]]*2)+(Table1[[#This Row],[sulphates]]*1.5)-(Table1[[#This Row],[volatile acidity]]*2)</f>
        <v>22.275000000000002</v>
      </c>
      <c r="Q500" s="1">
        <f>RANK(Table1[[#This Row],[Quality_score_index]],Table1[Quality_score_index],0)</f>
        <v>407</v>
      </c>
      <c r="R500" s="1">
        <f>Table1[[#This Row],[total sulfur dioxide]]-Table1[[#This Row],[free sulfur dioxide]]</f>
        <v>11</v>
      </c>
      <c r="S500" s="1" t="str">
        <f>IF(AND(Table1[[#This Row],[pH]]&gt;=3.2,Table1[[#This Row],[alcohol]]&gt;=10),"White wine","Red wine")</f>
        <v>Red wine</v>
      </c>
    </row>
    <row r="501" spans="1:19" x14ac:dyDescent="0.3">
      <c r="A501" s="13">
        <v>500</v>
      </c>
      <c r="B501" s="1">
        <v>8.6999999999999993</v>
      </c>
      <c r="C501" s="1">
        <v>0.69</v>
      </c>
      <c r="D501" s="1">
        <v>0.31</v>
      </c>
      <c r="E501" s="1">
        <v>3</v>
      </c>
      <c r="F501" s="1">
        <v>8.5999999999999993E-2</v>
      </c>
      <c r="G501" s="1">
        <v>23</v>
      </c>
      <c r="H501" s="1">
        <v>81</v>
      </c>
      <c r="I501" s="1">
        <v>1.0002</v>
      </c>
      <c r="J501" s="1">
        <v>3.48</v>
      </c>
      <c r="K501" s="1">
        <v>0.74</v>
      </c>
      <c r="L501" s="1">
        <v>11.6</v>
      </c>
      <c r="M501" s="2">
        <v>6</v>
      </c>
      <c r="N501" s="2" t="str" cm="1">
        <f t="array" ref="N501">_xlfn.IFS(Table1[[#This Row],[quality]]&lt;=4,"Low",Table1[[#This Row],[quality]]&lt;=6,"Medium",Table1[[#This Row],[quality]]&gt;=7,"High")</f>
        <v>Medium</v>
      </c>
      <c r="O501" s="2" t="str">
        <f>IF(AND(Table1[[#This Row],[fixed acidity]]&gt;Sheet1!$C$4,Table1[[#This Row],[pH]]&lt;Sheet1!$K$4),"High","Normal")</f>
        <v>Normal</v>
      </c>
      <c r="P501" s="1">
        <f>(Table1[[#This Row],[alcohol]]*2)+(Table1[[#This Row],[sulphates]]*1.5)-(Table1[[#This Row],[volatile acidity]]*2)</f>
        <v>22.93</v>
      </c>
      <c r="Q501" s="1">
        <f>RANK(Table1[[#This Row],[Quality_score_index]],Table1[Quality_score_index],0)</f>
        <v>283</v>
      </c>
      <c r="R501" s="1">
        <f>Table1[[#This Row],[total sulfur dioxide]]-Table1[[#This Row],[free sulfur dioxide]]</f>
        <v>58</v>
      </c>
      <c r="S501" s="1" t="str">
        <f>IF(AND(Table1[[#This Row],[pH]]&gt;=3.2,Table1[[#This Row],[alcohol]]&gt;=10),"White wine","Red wine")</f>
        <v>White wine</v>
      </c>
    </row>
    <row r="502" spans="1:19" x14ac:dyDescent="0.3">
      <c r="A502" s="13">
        <v>501</v>
      </c>
      <c r="B502" s="1">
        <v>7.8</v>
      </c>
      <c r="C502" s="1">
        <v>0.52</v>
      </c>
      <c r="D502" s="1">
        <v>0.25</v>
      </c>
      <c r="E502" s="1">
        <v>1.9</v>
      </c>
      <c r="F502" s="1">
        <v>8.1000000000000003E-2</v>
      </c>
      <c r="G502" s="1">
        <v>14</v>
      </c>
      <c r="H502" s="1">
        <v>38</v>
      </c>
      <c r="I502" s="1">
        <v>0.99839999999999995</v>
      </c>
      <c r="J502" s="1">
        <v>3.43</v>
      </c>
      <c r="K502" s="1">
        <v>0.65</v>
      </c>
      <c r="L502" s="1">
        <v>9</v>
      </c>
      <c r="M502" s="2">
        <v>6</v>
      </c>
      <c r="N502" s="2" t="str" cm="1">
        <f t="array" ref="N502">_xlfn.IFS(Table1[[#This Row],[quality]]&lt;=4,"Low",Table1[[#This Row],[quality]]&lt;=6,"Medium",Table1[[#This Row],[quality]]&gt;=7,"High")</f>
        <v>Medium</v>
      </c>
      <c r="O502" s="2" t="str">
        <f>IF(AND(Table1[[#This Row],[fixed acidity]]&gt;Sheet1!$C$4,Table1[[#This Row],[pH]]&lt;Sheet1!$K$4),"High","Normal")</f>
        <v>Normal</v>
      </c>
      <c r="P502" s="1">
        <f>(Table1[[#This Row],[alcohol]]*2)+(Table1[[#This Row],[sulphates]]*1.5)-(Table1[[#This Row],[volatile acidity]]*2)</f>
        <v>17.935000000000002</v>
      </c>
      <c r="Q502" s="1">
        <f>RANK(Table1[[#This Row],[Quality_score_index]],Table1[Quality_score_index],0)</f>
        <v>1531</v>
      </c>
      <c r="R502" s="1">
        <f>Table1[[#This Row],[total sulfur dioxide]]-Table1[[#This Row],[free sulfur dioxide]]</f>
        <v>24</v>
      </c>
      <c r="S502" s="1" t="str">
        <f>IF(AND(Table1[[#This Row],[pH]]&gt;=3.2,Table1[[#This Row],[alcohol]]&gt;=10),"White wine","Red wine")</f>
        <v>Red wine</v>
      </c>
    </row>
    <row r="503" spans="1:19" x14ac:dyDescent="0.3">
      <c r="A503" s="13">
        <v>502</v>
      </c>
      <c r="B503" s="1">
        <v>10.4</v>
      </c>
      <c r="C503" s="1">
        <v>0.44</v>
      </c>
      <c r="D503" s="1">
        <v>0.73</v>
      </c>
      <c r="E503" s="1">
        <v>6.55</v>
      </c>
      <c r="F503" s="1">
        <v>7.3999999999999996E-2</v>
      </c>
      <c r="G503" s="1">
        <v>38</v>
      </c>
      <c r="H503" s="1">
        <v>76</v>
      </c>
      <c r="I503" s="1">
        <v>0.999</v>
      </c>
      <c r="J503" s="1">
        <v>3.17</v>
      </c>
      <c r="K503" s="1">
        <v>0.85</v>
      </c>
      <c r="L503" s="1">
        <v>12</v>
      </c>
      <c r="M503" s="2">
        <v>7</v>
      </c>
      <c r="N503" s="2" t="str" cm="1">
        <f t="array" ref="N503">_xlfn.IFS(Table1[[#This Row],[quality]]&lt;=4,"Low",Table1[[#This Row],[quality]]&lt;=6,"Medium",Table1[[#This Row],[quality]]&gt;=7,"High")</f>
        <v>High</v>
      </c>
      <c r="O503" s="2" t="str">
        <f>IF(AND(Table1[[#This Row],[fixed acidity]]&gt;Sheet1!$C$4,Table1[[#This Row],[pH]]&lt;Sheet1!$K$4),"High","Normal")</f>
        <v>High</v>
      </c>
      <c r="P503" s="1">
        <f>(Table1[[#This Row],[alcohol]]*2)+(Table1[[#This Row],[sulphates]]*1.5)-(Table1[[#This Row],[volatile acidity]]*2)</f>
        <v>24.395</v>
      </c>
      <c r="Q503" s="1">
        <f>RANK(Table1[[#This Row],[Quality_score_index]],Table1[Quality_score_index],0)</f>
        <v>141</v>
      </c>
      <c r="R503" s="1">
        <f>Table1[[#This Row],[total sulfur dioxide]]-Table1[[#This Row],[free sulfur dioxide]]</f>
        <v>38</v>
      </c>
      <c r="S503" s="1" t="str">
        <f>IF(AND(Table1[[#This Row],[pH]]&gt;=3.2,Table1[[#This Row],[alcohol]]&gt;=10),"White wine","Red wine")</f>
        <v>Red wine</v>
      </c>
    </row>
    <row r="504" spans="1:19" x14ac:dyDescent="0.3">
      <c r="A504" s="13">
        <v>503</v>
      </c>
      <c r="B504" s="1">
        <v>10.4</v>
      </c>
      <c r="C504" s="1">
        <v>0.44</v>
      </c>
      <c r="D504" s="1">
        <v>0.73</v>
      </c>
      <c r="E504" s="1">
        <v>6.55</v>
      </c>
      <c r="F504" s="1">
        <v>7.3999999999999996E-2</v>
      </c>
      <c r="G504" s="1">
        <v>38</v>
      </c>
      <c r="H504" s="1">
        <v>76</v>
      </c>
      <c r="I504" s="1">
        <v>0.999</v>
      </c>
      <c r="J504" s="1">
        <v>3.17</v>
      </c>
      <c r="K504" s="1">
        <v>0.85</v>
      </c>
      <c r="L504" s="1">
        <v>12</v>
      </c>
      <c r="M504" s="2">
        <v>7</v>
      </c>
      <c r="N504" s="2" t="str" cm="1">
        <f t="array" ref="N504">_xlfn.IFS(Table1[[#This Row],[quality]]&lt;=4,"Low",Table1[[#This Row],[quality]]&lt;=6,"Medium",Table1[[#This Row],[quality]]&gt;=7,"High")</f>
        <v>High</v>
      </c>
      <c r="O504" s="2" t="str">
        <f>IF(AND(Table1[[#This Row],[fixed acidity]]&gt;Sheet1!$C$4,Table1[[#This Row],[pH]]&lt;Sheet1!$K$4),"High","Normal")</f>
        <v>High</v>
      </c>
      <c r="P504" s="1">
        <f>(Table1[[#This Row],[alcohol]]*2)+(Table1[[#This Row],[sulphates]]*1.5)-(Table1[[#This Row],[volatile acidity]]*2)</f>
        <v>24.395</v>
      </c>
      <c r="Q504" s="1">
        <f>RANK(Table1[[#This Row],[Quality_score_index]],Table1[Quality_score_index],0)</f>
        <v>141</v>
      </c>
      <c r="R504" s="1">
        <f>Table1[[#This Row],[total sulfur dioxide]]-Table1[[#This Row],[free sulfur dioxide]]</f>
        <v>38</v>
      </c>
      <c r="S504" s="1" t="str">
        <f>IF(AND(Table1[[#This Row],[pH]]&gt;=3.2,Table1[[#This Row],[alcohol]]&gt;=10),"White wine","Red wine")</f>
        <v>Red wine</v>
      </c>
    </row>
    <row r="505" spans="1:19" x14ac:dyDescent="0.3">
      <c r="A505" s="13">
        <v>504</v>
      </c>
      <c r="B505" s="1">
        <v>10.5</v>
      </c>
      <c r="C505" s="1">
        <v>0.26</v>
      </c>
      <c r="D505" s="1">
        <v>0.47</v>
      </c>
      <c r="E505" s="1">
        <v>1.9</v>
      </c>
      <c r="F505" s="1">
        <v>7.8E-2</v>
      </c>
      <c r="G505" s="1">
        <v>6</v>
      </c>
      <c r="H505" s="1">
        <v>24</v>
      </c>
      <c r="I505" s="1">
        <v>0.99760000000000004</v>
      </c>
      <c r="J505" s="1">
        <v>3.18</v>
      </c>
      <c r="K505" s="1">
        <v>1.04</v>
      </c>
      <c r="L505" s="1">
        <v>10.9</v>
      </c>
      <c r="M505" s="2">
        <v>7</v>
      </c>
      <c r="N505" s="2" t="str" cm="1">
        <f t="array" ref="N505">_xlfn.IFS(Table1[[#This Row],[quality]]&lt;=4,"Low",Table1[[#This Row],[quality]]&lt;=6,"Medium",Table1[[#This Row],[quality]]&gt;=7,"High")</f>
        <v>High</v>
      </c>
      <c r="O505" s="2" t="str">
        <f>IF(AND(Table1[[#This Row],[fixed acidity]]&gt;Sheet1!$C$4,Table1[[#This Row],[pH]]&lt;Sheet1!$K$4),"High","Normal")</f>
        <v>High</v>
      </c>
      <c r="P505" s="1">
        <f>(Table1[[#This Row],[alcohol]]*2)+(Table1[[#This Row],[sulphates]]*1.5)-(Table1[[#This Row],[volatile acidity]]*2)</f>
        <v>22.84</v>
      </c>
      <c r="Q505" s="1">
        <f>RANK(Table1[[#This Row],[Quality_score_index]],Table1[Quality_score_index],0)</f>
        <v>306</v>
      </c>
      <c r="R505" s="1">
        <f>Table1[[#This Row],[total sulfur dioxide]]-Table1[[#This Row],[free sulfur dioxide]]</f>
        <v>18</v>
      </c>
      <c r="S505" s="1" t="str">
        <f>IF(AND(Table1[[#This Row],[pH]]&gt;=3.2,Table1[[#This Row],[alcohol]]&gt;=10),"White wine","Red wine")</f>
        <v>Red wine</v>
      </c>
    </row>
    <row r="506" spans="1:19" x14ac:dyDescent="0.3">
      <c r="A506" s="13">
        <v>505</v>
      </c>
      <c r="B506" s="1">
        <v>10.5</v>
      </c>
      <c r="C506" s="1">
        <v>0.24</v>
      </c>
      <c r="D506" s="1">
        <v>0.42</v>
      </c>
      <c r="E506" s="1">
        <v>1.8</v>
      </c>
      <c r="F506" s="1">
        <v>7.6999999999999999E-2</v>
      </c>
      <c r="G506" s="1">
        <v>6</v>
      </c>
      <c r="H506" s="1">
        <v>22</v>
      </c>
      <c r="I506" s="1">
        <v>0.99760000000000004</v>
      </c>
      <c r="J506" s="1">
        <v>3.21</v>
      </c>
      <c r="K506" s="1">
        <v>1.05</v>
      </c>
      <c r="L506" s="1">
        <v>10.8</v>
      </c>
      <c r="M506" s="2">
        <v>7</v>
      </c>
      <c r="N506" s="2" t="str" cm="1">
        <f t="array" ref="N506">_xlfn.IFS(Table1[[#This Row],[quality]]&lt;=4,"Low",Table1[[#This Row],[quality]]&lt;=6,"Medium",Table1[[#This Row],[quality]]&gt;=7,"High")</f>
        <v>High</v>
      </c>
      <c r="O506" s="2" t="str">
        <f>IF(AND(Table1[[#This Row],[fixed acidity]]&gt;Sheet1!$C$4,Table1[[#This Row],[pH]]&lt;Sheet1!$K$4),"High","Normal")</f>
        <v>High</v>
      </c>
      <c r="P506" s="1">
        <f>(Table1[[#This Row],[alcohol]]*2)+(Table1[[#This Row],[sulphates]]*1.5)-(Table1[[#This Row],[volatile acidity]]*2)</f>
        <v>22.695</v>
      </c>
      <c r="Q506" s="1">
        <f>RANK(Table1[[#This Row],[Quality_score_index]],Table1[Quality_score_index],0)</f>
        <v>326</v>
      </c>
      <c r="R506" s="1">
        <f>Table1[[#This Row],[total sulfur dioxide]]-Table1[[#This Row],[free sulfur dioxide]]</f>
        <v>16</v>
      </c>
      <c r="S506" s="1" t="str">
        <f>IF(AND(Table1[[#This Row],[pH]]&gt;=3.2,Table1[[#This Row],[alcohol]]&gt;=10),"White wine","Red wine")</f>
        <v>White wine</v>
      </c>
    </row>
    <row r="507" spans="1:19" x14ac:dyDescent="0.3">
      <c r="A507" s="13">
        <v>506</v>
      </c>
      <c r="B507" s="1">
        <v>10.199999999999999</v>
      </c>
      <c r="C507" s="1">
        <v>0.49</v>
      </c>
      <c r="D507" s="1">
        <v>0.63</v>
      </c>
      <c r="E507" s="1">
        <v>2.9</v>
      </c>
      <c r="F507" s="1">
        <v>7.1999999999999995E-2</v>
      </c>
      <c r="G507" s="1">
        <v>10</v>
      </c>
      <c r="H507" s="1">
        <v>26</v>
      </c>
      <c r="I507" s="1">
        <v>0.99680000000000002</v>
      </c>
      <c r="J507" s="1">
        <v>3.16</v>
      </c>
      <c r="K507" s="1">
        <v>0.78</v>
      </c>
      <c r="L507" s="1">
        <v>12.5</v>
      </c>
      <c r="M507" s="2">
        <v>7</v>
      </c>
      <c r="N507" s="2" t="str" cm="1">
        <f t="array" ref="N507">_xlfn.IFS(Table1[[#This Row],[quality]]&lt;=4,"Low",Table1[[#This Row],[quality]]&lt;=6,"Medium",Table1[[#This Row],[quality]]&gt;=7,"High")</f>
        <v>High</v>
      </c>
      <c r="O507" s="2" t="str">
        <f>IF(AND(Table1[[#This Row],[fixed acidity]]&gt;Sheet1!$C$4,Table1[[#This Row],[pH]]&lt;Sheet1!$K$4),"High","Normal")</f>
        <v>High</v>
      </c>
      <c r="P507" s="1">
        <f>(Table1[[#This Row],[alcohol]]*2)+(Table1[[#This Row],[sulphates]]*1.5)-(Table1[[#This Row],[volatile acidity]]*2)</f>
        <v>25.19</v>
      </c>
      <c r="Q507" s="1">
        <f>RANK(Table1[[#This Row],[Quality_score_index]],Table1[Quality_score_index],0)</f>
        <v>82</v>
      </c>
      <c r="R507" s="1">
        <f>Table1[[#This Row],[total sulfur dioxide]]-Table1[[#This Row],[free sulfur dioxide]]</f>
        <v>16</v>
      </c>
      <c r="S507" s="1" t="str">
        <f>IF(AND(Table1[[#This Row],[pH]]&gt;=3.2,Table1[[#This Row],[alcohol]]&gt;=10),"White wine","Red wine")</f>
        <v>Red wine</v>
      </c>
    </row>
    <row r="508" spans="1:19" x14ac:dyDescent="0.3">
      <c r="A508" s="13">
        <v>507</v>
      </c>
      <c r="B508" s="1">
        <v>10.4</v>
      </c>
      <c r="C508" s="1">
        <v>0.24</v>
      </c>
      <c r="D508" s="1">
        <v>0.46</v>
      </c>
      <c r="E508" s="1">
        <v>1.8</v>
      </c>
      <c r="F508" s="1">
        <v>7.4999999999999997E-2</v>
      </c>
      <c r="G508" s="1">
        <v>6</v>
      </c>
      <c r="H508" s="1">
        <v>21</v>
      </c>
      <c r="I508" s="1">
        <v>0.99760000000000004</v>
      </c>
      <c r="J508" s="1">
        <v>3.25</v>
      </c>
      <c r="K508" s="1">
        <v>1.02</v>
      </c>
      <c r="L508" s="1">
        <v>10.8</v>
      </c>
      <c r="M508" s="2">
        <v>7</v>
      </c>
      <c r="N508" s="2" t="str" cm="1">
        <f t="array" ref="N508">_xlfn.IFS(Table1[[#This Row],[quality]]&lt;=4,"Low",Table1[[#This Row],[quality]]&lt;=6,"Medium",Table1[[#This Row],[quality]]&gt;=7,"High")</f>
        <v>High</v>
      </c>
      <c r="O508" s="2" t="str">
        <f>IF(AND(Table1[[#This Row],[fixed acidity]]&gt;Sheet1!$C$4,Table1[[#This Row],[pH]]&lt;Sheet1!$K$4),"High","Normal")</f>
        <v>High</v>
      </c>
      <c r="P508" s="1">
        <f>(Table1[[#This Row],[alcohol]]*2)+(Table1[[#This Row],[sulphates]]*1.5)-(Table1[[#This Row],[volatile acidity]]*2)</f>
        <v>22.650000000000002</v>
      </c>
      <c r="Q508" s="1">
        <f>RANK(Table1[[#This Row],[Quality_score_index]],Table1[Quality_score_index],0)</f>
        <v>336</v>
      </c>
      <c r="R508" s="1">
        <f>Table1[[#This Row],[total sulfur dioxide]]-Table1[[#This Row],[free sulfur dioxide]]</f>
        <v>15</v>
      </c>
      <c r="S508" s="1" t="str">
        <f>IF(AND(Table1[[#This Row],[pH]]&gt;=3.2,Table1[[#This Row],[alcohol]]&gt;=10),"White wine","Red wine")</f>
        <v>White wine</v>
      </c>
    </row>
    <row r="509" spans="1:19" x14ac:dyDescent="0.3">
      <c r="A509" s="13">
        <v>508</v>
      </c>
      <c r="B509" s="1">
        <v>11.2</v>
      </c>
      <c r="C509" s="1">
        <v>0.67</v>
      </c>
      <c r="D509" s="1">
        <v>0.55000000000000004</v>
      </c>
      <c r="E509" s="1">
        <v>2.2999999999999998</v>
      </c>
      <c r="F509" s="1">
        <v>8.4000000000000005E-2</v>
      </c>
      <c r="G509" s="1">
        <v>6</v>
      </c>
      <c r="H509" s="1">
        <v>13</v>
      </c>
      <c r="I509" s="1">
        <v>1</v>
      </c>
      <c r="J509" s="1">
        <v>3.17</v>
      </c>
      <c r="K509" s="1">
        <v>0.71</v>
      </c>
      <c r="L509" s="1">
        <v>9.5</v>
      </c>
      <c r="M509" s="2">
        <v>6</v>
      </c>
      <c r="N509" s="2" t="str" cm="1">
        <f t="array" ref="N509">_xlfn.IFS(Table1[[#This Row],[quality]]&lt;=4,"Low",Table1[[#This Row],[quality]]&lt;=6,"Medium",Table1[[#This Row],[quality]]&gt;=7,"High")</f>
        <v>Medium</v>
      </c>
      <c r="O509" s="2" t="str">
        <f>IF(AND(Table1[[#This Row],[fixed acidity]]&gt;Sheet1!$C$4,Table1[[#This Row],[pH]]&lt;Sheet1!$K$4),"High","Normal")</f>
        <v>High</v>
      </c>
      <c r="P509" s="1">
        <f>(Table1[[#This Row],[alcohol]]*2)+(Table1[[#This Row],[sulphates]]*1.5)-(Table1[[#This Row],[volatile acidity]]*2)</f>
        <v>18.725000000000001</v>
      </c>
      <c r="Q509" s="1">
        <f>RANK(Table1[[#This Row],[Quality_score_index]],Table1[Quality_score_index],0)</f>
        <v>1274</v>
      </c>
      <c r="R509" s="1">
        <f>Table1[[#This Row],[total sulfur dioxide]]-Table1[[#This Row],[free sulfur dioxide]]</f>
        <v>7</v>
      </c>
      <c r="S509" s="1" t="str">
        <f>IF(AND(Table1[[#This Row],[pH]]&gt;=3.2,Table1[[#This Row],[alcohol]]&gt;=10),"White wine","Red wine")</f>
        <v>Red wine</v>
      </c>
    </row>
    <row r="510" spans="1:19" x14ac:dyDescent="0.3">
      <c r="A510" s="13">
        <v>509</v>
      </c>
      <c r="B510" s="1">
        <v>10</v>
      </c>
      <c r="C510" s="1">
        <v>0.59</v>
      </c>
      <c r="D510" s="1">
        <v>0.31</v>
      </c>
      <c r="E510" s="1">
        <v>2.2000000000000002</v>
      </c>
      <c r="F510" s="1">
        <v>0.09</v>
      </c>
      <c r="G510" s="1">
        <v>26</v>
      </c>
      <c r="H510" s="1">
        <v>62</v>
      </c>
      <c r="I510" s="1">
        <v>0.99939999999999996</v>
      </c>
      <c r="J510" s="1">
        <v>3.18</v>
      </c>
      <c r="K510" s="1">
        <v>0.63</v>
      </c>
      <c r="L510" s="1">
        <v>10.199999999999999</v>
      </c>
      <c r="M510" s="2">
        <v>6</v>
      </c>
      <c r="N510" s="2" t="str" cm="1">
        <f t="array" ref="N510">_xlfn.IFS(Table1[[#This Row],[quality]]&lt;=4,"Low",Table1[[#This Row],[quality]]&lt;=6,"Medium",Table1[[#This Row],[quality]]&gt;=7,"High")</f>
        <v>Medium</v>
      </c>
      <c r="O510" s="2" t="str">
        <f>IF(AND(Table1[[#This Row],[fixed acidity]]&gt;Sheet1!$C$4,Table1[[#This Row],[pH]]&lt;Sheet1!$K$4),"High","Normal")</f>
        <v>High</v>
      </c>
      <c r="P510" s="1">
        <f>(Table1[[#This Row],[alcohol]]*2)+(Table1[[#This Row],[sulphates]]*1.5)-(Table1[[#This Row],[volatile acidity]]*2)</f>
        <v>20.164999999999999</v>
      </c>
      <c r="Q510" s="1">
        <f>RANK(Table1[[#This Row],[Quality_score_index]],Table1[Quality_score_index],0)</f>
        <v>824</v>
      </c>
      <c r="R510" s="1">
        <f>Table1[[#This Row],[total sulfur dioxide]]-Table1[[#This Row],[free sulfur dioxide]]</f>
        <v>36</v>
      </c>
      <c r="S510" s="1" t="str">
        <f>IF(AND(Table1[[#This Row],[pH]]&gt;=3.2,Table1[[#This Row],[alcohol]]&gt;=10),"White wine","Red wine")</f>
        <v>Red wine</v>
      </c>
    </row>
    <row r="511" spans="1:19" x14ac:dyDescent="0.3">
      <c r="A511" s="13">
        <v>510</v>
      </c>
      <c r="B511" s="1">
        <v>13.3</v>
      </c>
      <c r="C511" s="1">
        <v>0.28999999999999998</v>
      </c>
      <c r="D511" s="1">
        <v>0.75</v>
      </c>
      <c r="E511" s="1">
        <v>2.8</v>
      </c>
      <c r="F511" s="1">
        <v>8.4000000000000005E-2</v>
      </c>
      <c r="G511" s="1">
        <v>23</v>
      </c>
      <c r="H511" s="1">
        <v>43</v>
      </c>
      <c r="I511" s="1">
        <v>0.99860000000000004</v>
      </c>
      <c r="J511" s="1">
        <v>3.04</v>
      </c>
      <c r="K511" s="1">
        <v>0.68</v>
      </c>
      <c r="L511" s="1">
        <v>11.4</v>
      </c>
      <c r="M511" s="2">
        <v>7</v>
      </c>
      <c r="N511" s="2" t="str" cm="1">
        <f t="array" ref="N511">_xlfn.IFS(Table1[[#This Row],[quality]]&lt;=4,"Low",Table1[[#This Row],[quality]]&lt;=6,"Medium",Table1[[#This Row],[quality]]&gt;=7,"High")</f>
        <v>High</v>
      </c>
      <c r="O511" s="2" t="str">
        <f>IF(AND(Table1[[#This Row],[fixed acidity]]&gt;Sheet1!$C$4,Table1[[#This Row],[pH]]&lt;Sheet1!$K$4),"High","Normal")</f>
        <v>High</v>
      </c>
      <c r="P511" s="1">
        <f>(Table1[[#This Row],[alcohol]]*2)+(Table1[[#This Row],[sulphates]]*1.5)-(Table1[[#This Row],[volatile acidity]]*2)</f>
        <v>23.240000000000002</v>
      </c>
      <c r="Q511" s="1">
        <f>RANK(Table1[[#This Row],[Quality_score_index]],Table1[Quality_score_index],0)</f>
        <v>242</v>
      </c>
      <c r="R511" s="1">
        <f>Table1[[#This Row],[total sulfur dioxide]]-Table1[[#This Row],[free sulfur dioxide]]</f>
        <v>20</v>
      </c>
      <c r="S511" s="1" t="str">
        <f>IF(AND(Table1[[#This Row],[pH]]&gt;=3.2,Table1[[#This Row],[alcohol]]&gt;=10),"White wine","Red wine")</f>
        <v>Red wine</v>
      </c>
    </row>
    <row r="512" spans="1:19" x14ac:dyDescent="0.3">
      <c r="A512" s="13">
        <v>511</v>
      </c>
      <c r="B512" s="1">
        <v>12.4</v>
      </c>
      <c r="C512" s="1">
        <v>0.42</v>
      </c>
      <c r="D512" s="1">
        <v>0.49</v>
      </c>
      <c r="E512" s="1">
        <v>4.5999999999999996</v>
      </c>
      <c r="F512" s="1">
        <v>7.2999999999999995E-2</v>
      </c>
      <c r="G512" s="1">
        <v>19</v>
      </c>
      <c r="H512" s="1">
        <v>43</v>
      </c>
      <c r="I512" s="1">
        <v>0.99780000000000002</v>
      </c>
      <c r="J512" s="1">
        <v>3.02</v>
      </c>
      <c r="K512" s="1">
        <v>0.61</v>
      </c>
      <c r="L512" s="1">
        <v>9.5</v>
      </c>
      <c r="M512" s="2">
        <v>5</v>
      </c>
      <c r="N512" s="2" t="str" cm="1">
        <f t="array" ref="N512">_xlfn.IFS(Table1[[#This Row],[quality]]&lt;=4,"Low",Table1[[#This Row],[quality]]&lt;=6,"Medium",Table1[[#This Row],[quality]]&gt;=7,"High")</f>
        <v>Medium</v>
      </c>
      <c r="O512" s="2" t="str">
        <f>IF(AND(Table1[[#This Row],[fixed acidity]]&gt;Sheet1!$C$4,Table1[[#This Row],[pH]]&lt;Sheet1!$K$4),"High","Normal")</f>
        <v>High</v>
      </c>
      <c r="P512" s="1">
        <f>(Table1[[#This Row],[alcohol]]*2)+(Table1[[#This Row],[sulphates]]*1.5)-(Table1[[#This Row],[volatile acidity]]*2)</f>
        <v>19.074999999999999</v>
      </c>
      <c r="Q512" s="1">
        <f>RANK(Table1[[#This Row],[Quality_score_index]],Table1[Quality_score_index],0)</f>
        <v>1134</v>
      </c>
      <c r="R512" s="1">
        <f>Table1[[#This Row],[total sulfur dioxide]]-Table1[[#This Row],[free sulfur dioxide]]</f>
        <v>24</v>
      </c>
      <c r="S512" s="1" t="str">
        <f>IF(AND(Table1[[#This Row],[pH]]&gt;=3.2,Table1[[#This Row],[alcohol]]&gt;=10),"White wine","Red wine")</f>
        <v>Red wine</v>
      </c>
    </row>
    <row r="513" spans="1:19" x14ac:dyDescent="0.3">
      <c r="A513" s="13">
        <v>512</v>
      </c>
      <c r="B513" s="1">
        <v>10</v>
      </c>
      <c r="C513" s="1">
        <v>0.59</v>
      </c>
      <c r="D513" s="1">
        <v>0.31</v>
      </c>
      <c r="E513" s="1">
        <v>2.2000000000000002</v>
      </c>
      <c r="F513" s="1">
        <v>0.09</v>
      </c>
      <c r="G513" s="1">
        <v>26</v>
      </c>
      <c r="H513" s="1">
        <v>62</v>
      </c>
      <c r="I513" s="1">
        <v>0.99939999999999996</v>
      </c>
      <c r="J513" s="1">
        <v>3.18</v>
      </c>
      <c r="K513" s="1">
        <v>0.63</v>
      </c>
      <c r="L513" s="1">
        <v>10.199999999999999</v>
      </c>
      <c r="M513" s="2">
        <v>6</v>
      </c>
      <c r="N513" s="2" t="str" cm="1">
        <f t="array" ref="N513">_xlfn.IFS(Table1[[#This Row],[quality]]&lt;=4,"Low",Table1[[#This Row],[quality]]&lt;=6,"Medium",Table1[[#This Row],[quality]]&gt;=7,"High")</f>
        <v>Medium</v>
      </c>
      <c r="O513" s="2" t="str">
        <f>IF(AND(Table1[[#This Row],[fixed acidity]]&gt;Sheet1!$C$4,Table1[[#This Row],[pH]]&lt;Sheet1!$K$4),"High","Normal")</f>
        <v>High</v>
      </c>
      <c r="P513" s="1">
        <f>(Table1[[#This Row],[alcohol]]*2)+(Table1[[#This Row],[sulphates]]*1.5)-(Table1[[#This Row],[volatile acidity]]*2)</f>
        <v>20.164999999999999</v>
      </c>
      <c r="Q513" s="1">
        <f>RANK(Table1[[#This Row],[Quality_score_index]],Table1[Quality_score_index],0)</f>
        <v>824</v>
      </c>
      <c r="R513" s="1">
        <f>Table1[[#This Row],[total sulfur dioxide]]-Table1[[#This Row],[free sulfur dioxide]]</f>
        <v>36</v>
      </c>
      <c r="S513" s="1" t="str">
        <f>IF(AND(Table1[[#This Row],[pH]]&gt;=3.2,Table1[[#This Row],[alcohol]]&gt;=10),"White wine","Red wine")</f>
        <v>Red wine</v>
      </c>
    </row>
    <row r="514" spans="1:19" x14ac:dyDescent="0.3">
      <c r="A514" s="13">
        <v>513</v>
      </c>
      <c r="B514" s="1">
        <v>10.7</v>
      </c>
      <c r="C514" s="1">
        <v>0.4</v>
      </c>
      <c r="D514" s="1">
        <v>0.48</v>
      </c>
      <c r="E514" s="1">
        <v>2.1</v>
      </c>
      <c r="F514" s="1">
        <v>0.125</v>
      </c>
      <c r="G514" s="1">
        <v>15</v>
      </c>
      <c r="H514" s="1">
        <v>49</v>
      </c>
      <c r="I514" s="1">
        <v>0.998</v>
      </c>
      <c r="J514" s="1">
        <v>3.03</v>
      </c>
      <c r="K514" s="1">
        <v>0.81</v>
      </c>
      <c r="L514" s="1">
        <v>9.6999999999999993</v>
      </c>
      <c r="M514" s="2">
        <v>6</v>
      </c>
      <c r="N514" s="2" t="str" cm="1">
        <f t="array" ref="N514">_xlfn.IFS(Table1[[#This Row],[quality]]&lt;=4,"Low",Table1[[#This Row],[quality]]&lt;=6,"Medium",Table1[[#This Row],[quality]]&gt;=7,"High")</f>
        <v>Medium</v>
      </c>
      <c r="O514" s="2" t="str">
        <f>IF(AND(Table1[[#This Row],[fixed acidity]]&gt;Sheet1!$C$4,Table1[[#This Row],[pH]]&lt;Sheet1!$K$4),"High","Normal")</f>
        <v>High</v>
      </c>
      <c r="P514" s="1">
        <f>(Table1[[#This Row],[alcohol]]*2)+(Table1[[#This Row],[sulphates]]*1.5)-(Table1[[#This Row],[volatile acidity]]*2)</f>
        <v>19.814999999999998</v>
      </c>
      <c r="Q514" s="1">
        <f>RANK(Table1[[#This Row],[Quality_score_index]],Table1[Quality_score_index],0)</f>
        <v>902</v>
      </c>
      <c r="R514" s="1">
        <f>Table1[[#This Row],[total sulfur dioxide]]-Table1[[#This Row],[free sulfur dioxide]]</f>
        <v>34</v>
      </c>
      <c r="S514" s="1" t="str">
        <f>IF(AND(Table1[[#This Row],[pH]]&gt;=3.2,Table1[[#This Row],[alcohol]]&gt;=10),"White wine","Red wine")</f>
        <v>Red wine</v>
      </c>
    </row>
    <row r="515" spans="1:19" x14ac:dyDescent="0.3">
      <c r="A515" s="13">
        <v>514</v>
      </c>
      <c r="B515" s="1">
        <v>10.5</v>
      </c>
      <c r="C515" s="1">
        <v>0.51</v>
      </c>
      <c r="D515" s="1">
        <v>0.64</v>
      </c>
      <c r="E515" s="1">
        <v>2.4</v>
      </c>
      <c r="F515" s="1">
        <v>0.107</v>
      </c>
      <c r="G515" s="1">
        <v>6</v>
      </c>
      <c r="H515" s="1">
        <v>15</v>
      </c>
      <c r="I515" s="1">
        <v>0.99729999999999996</v>
      </c>
      <c r="J515" s="1">
        <v>3.09</v>
      </c>
      <c r="K515" s="1">
        <v>0.66</v>
      </c>
      <c r="L515" s="1">
        <v>11.8</v>
      </c>
      <c r="M515" s="2">
        <v>7</v>
      </c>
      <c r="N515" s="2" t="str" cm="1">
        <f t="array" ref="N515">_xlfn.IFS(Table1[[#This Row],[quality]]&lt;=4,"Low",Table1[[#This Row],[quality]]&lt;=6,"Medium",Table1[[#This Row],[quality]]&gt;=7,"High")</f>
        <v>High</v>
      </c>
      <c r="O515" s="2" t="str">
        <f>IF(AND(Table1[[#This Row],[fixed acidity]]&gt;Sheet1!$C$4,Table1[[#This Row],[pH]]&lt;Sheet1!$K$4),"High","Normal")</f>
        <v>High</v>
      </c>
      <c r="P515" s="1">
        <f>(Table1[[#This Row],[alcohol]]*2)+(Table1[[#This Row],[sulphates]]*1.5)-(Table1[[#This Row],[volatile acidity]]*2)</f>
        <v>23.57</v>
      </c>
      <c r="Q515" s="1">
        <f>RANK(Table1[[#This Row],[Quality_score_index]],Table1[Quality_score_index],0)</f>
        <v>211</v>
      </c>
      <c r="R515" s="1">
        <f>Table1[[#This Row],[total sulfur dioxide]]-Table1[[#This Row],[free sulfur dioxide]]</f>
        <v>9</v>
      </c>
      <c r="S515" s="1" t="str">
        <f>IF(AND(Table1[[#This Row],[pH]]&gt;=3.2,Table1[[#This Row],[alcohol]]&gt;=10),"White wine","Red wine")</f>
        <v>Red wine</v>
      </c>
    </row>
    <row r="516" spans="1:19" x14ac:dyDescent="0.3">
      <c r="A516" s="13">
        <v>515</v>
      </c>
      <c r="B516" s="1">
        <v>10.5</v>
      </c>
      <c r="C516" s="1">
        <v>0.51</v>
      </c>
      <c r="D516" s="1">
        <v>0.64</v>
      </c>
      <c r="E516" s="1">
        <v>2.4</v>
      </c>
      <c r="F516" s="1">
        <v>0.107</v>
      </c>
      <c r="G516" s="1">
        <v>6</v>
      </c>
      <c r="H516" s="1">
        <v>15</v>
      </c>
      <c r="I516" s="1">
        <v>0.99729999999999996</v>
      </c>
      <c r="J516" s="1">
        <v>3.09</v>
      </c>
      <c r="K516" s="1">
        <v>0.66</v>
      </c>
      <c r="L516" s="1">
        <v>11.8</v>
      </c>
      <c r="M516" s="2">
        <v>7</v>
      </c>
      <c r="N516" s="2" t="str" cm="1">
        <f t="array" ref="N516">_xlfn.IFS(Table1[[#This Row],[quality]]&lt;=4,"Low",Table1[[#This Row],[quality]]&lt;=6,"Medium",Table1[[#This Row],[quality]]&gt;=7,"High")</f>
        <v>High</v>
      </c>
      <c r="O516" s="2" t="str">
        <f>IF(AND(Table1[[#This Row],[fixed acidity]]&gt;Sheet1!$C$4,Table1[[#This Row],[pH]]&lt;Sheet1!$K$4),"High","Normal")</f>
        <v>High</v>
      </c>
      <c r="P516" s="1">
        <f>(Table1[[#This Row],[alcohol]]*2)+(Table1[[#This Row],[sulphates]]*1.5)-(Table1[[#This Row],[volatile acidity]]*2)</f>
        <v>23.57</v>
      </c>
      <c r="Q516" s="1">
        <f>RANK(Table1[[#This Row],[Quality_score_index]],Table1[Quality_score_index],0)</f>
        <v>211</v>
      </c>
      <c r="R516" s="1">
        <f>Table1[[#This Row],[total sulfur dioxide]]-Table1[[#This Row],[free sulfur dioxide]]</f>
        <v>9</v>
      </c>
      <c r="S516" s="1" t="str">
        <f>IF(AND(Table1[[#This Row],[pH]]&gt;=3.2,Table1[[#This Row],[alcohol]]&gt;=10),"White wine","Red wine")</f>
        <v>Red wine</v>
      </c>
    </row>
    <row r="517" spans="1:19" x14ac:dyDescent="0.3">
      <c r="A517" s="13">
        <v>516</v>
      </c>
      <c r="B517" s="1">
        <v>8.5</v>
      </c>
      <c r="C517" s="1">
        <v>0.65500000000000003</v>
      </c>
      <c r="D517" s="1">
        <v>0.49</v>
      </c>
      <c r="E517" s="1">
        <v>6.1</v>
      </c>
      <c r="F517" s="1">
        <v>0.122</v>
      </c>
      <c r="G517" s="1">
        <v>34</v>
      </c>
      <c r="H517" s="1">
        <v>151</v>
      </c>
      <c r="I517" s="1">
        <v>1.0009999999999999</v>
      </c>
      <c r="J517" s="1">
        <v>3.31</v>
      </c>
      <c r="K517" s="1">
        <v>1.1399999999999999</v>
      </c>
      <c r="L517" s="1">
        <v>9.3000000000000007</v>
      </c>
      <c r="M517" s="2">
        <v>5</v>
      </c>
      <c r="N517" s="2" t="str" cm="1">
        <f t="array" ref="N517">_xlfn.IFS(Table1[[#This Row],[quality]]&lt;=4,"Low",Table1[[#This Row],[quality]]&lt;=6,"Medium",Table1[[#This Row],[quality]]&gt;=7,"High")</f>
        <v>Medium</v>
      </c>
      <c r="O517" s="2" t="str">
        <f>IF(AND(Table1[[#This Row],[fixed acidity]]&gt;Sheet1!$C$4,Table1[[#This Row],[pH]]&lt;Sheet1!$K$4),"High","Normal")</f>
        <v>High</v>
      </c>
      <c r="P517" s="1">
        <f>(Table1[[#This Row],[alcohol]]*2)+(Table1[[#This Row],[sulphates]]*1.5)-(Table1[[#This Row],[volatile acidity]]*2)</f>
        <v>19.000000000000004</v>
      </c>
      <c r="Q517" s="1">
        <f>RANK(Table1[[#This Row],[Quality_score_index]],Table1[Quality_score_index],0)</f>
        <v>1167</v>
      </c>
      <c r="R517" s="1">
        <f>Table1[[#This Row],[total sulfur dioxide]]-Table1[[#This Row],[free sulfur dioxide]]</f>
        <v>117</v>
      </c>
      <c r="S517" s="1" t="str">
        <f>IF(AND(Table1[[#This Row],[pH]]&gt;=3.2,Table1[[#This Row],[alcohol]]&gt;=10),"White wine","Red wine")</f>
        <v>Red wine</v>
      </c>
    </row>
    <row r="518" spans="1:19" x14ac:dyDescent="0.3">
      <c r="A518" s="13">
        <v>517</v>
      </c>
      <c r="B518" s="1">
        <v>12.5</v>
      </c>
      <c r="C518" s="1">
        <v>0.6</v>
      </c>
      <c r="D518" s="1">
        <v>0.49</v>
      </c>
      <c r="E518" s="1">
        <v>4.3</v>
      </c>
      <c r="F518" s="1">
        <v>0.1</v>
      </c>
      <c r="G518" s="1">
        <v>5</v>
      </c>
      <c r="H518" s="1">
        <v>14</v>
      </c>
      <c r="I518" s="1">
        <v>1.0009999999999999</v>
      </c>
      <c r="J518" s="1">
        <v>3.25</v>
      </c>
      <c r="K518" s="1">
        <v>0.74</v>
      </c>
      <c r="L518" s="1">
        <v>11.9</v>
      </c>
      <c r="M518" s="2">
        <v>6</v>
      </c>
      <c r="N518" s="2" t="str" cm="1">
        <f t="array" ref="N518">_xlfn.IFS(Table1[[#This Row],[quality]]&lt;=4,"Low",Table1[[#This Row],[quality]]&lt;=6,"Medium",Table1[[#This Row],[quality]]&gt;=7,"High")</f>
        <v>Medium</v>
      </c>
      <c r="O518" s="2" t="str">
        <f>IF(AND(Table1[[#This Row],[fixed acidity]]&gt;Sheet1!$C$4,Table1[[#This Row],[pH]]&lt;Sheet1!$K$4),"High","Normal")</f>
        <v>High</v>
      </c>
      <c r="P518" s="1">
        <f>(Table1[[#This Row],[alcohol]]*2)+(Table1[[#This Row],[sulphates]]*1.5)-(Table1[[#This Row],[volatile acidity]]*2)</f>
        <v>23.71</v>
      </c>
      <c r="Q518" s="1">
        <f>RANK(Table1[[#This Row],[Quality_score_index]],Table1[Quality_score_index],0)</f>
        <v>200</v>
      </c>
      <c r="R518" s="1">
        <f>Table1[[#This Row],[total sulfur dioxide]]-Table1[[#This Row],[free sulfur dioxide]]</f>
        <v>9</v>
      </c>
      <c r="S518" s="1" t="str">
        <f>IF(AND(Table1[[#This Row],[pH]]&gt;=3.2,Table1[[#This Row],[alcohol]]&gt;=10),"White wine","Red wine")</f>
        <v>White wine</v>
      </c>
    </row>
    <row r="519" spans="1:19" x14ac:dyDescent="0.3">
      <c r="A519" s="13">
        <v>518</v>
      </c>
      <c r="B519" s="1">
        <v>10.4</v>
      </c>
      <c r="C519" s="1">
        <v>0.61</v>
      </c>
      <c r="D519" s="1">
        <v>0.49</v>
      </c>
      <c r="E519" s="1">
        <v>2.1</v>
      </c>
      <c r="F519" s="1">
        <v>0.2</v>
      </c>
      <c r="G519" s="1">
        <v>5</v>
      </c>
      <c r="H519" s="1">
        <v>16</v>
      </c>
      <c r="I519" s="1">
        <v>0.99939999999999996</v>
      </c>
      <c r="J519" s="1">
        <v>3.16</v>
      </c>
      <c r="K519" s="1">
        <v>0.63</v>
      </c>
      <c r="L519" s="1">
        <v>8.4</v>
      </c>
      <c r="M519" s="2">
        <v>3</v>
      </c>
      <c r="N519" s="2" t="str" cm="1">
        <f t="array" ref="N519">_xlfn.IFS(Table1[[#This Row],[quality]]&lt;=4,"Low",Table1[[#This Row],[quality]]&lt;=6,"Medium",Table1[[#This Row],[quality]]&gt;=7,"High")</f>
        <v>Low</v>
      </c>
      <c r="O519" s="2" t="str">
        <f>IF(AND(Table1[[#This Row],[fixed acidity]]&gt;Sheet1!$C$4,Table1[[#This Row],[pH]]&lt;Sheet1!$K$4),"High","Normal")</f>
        <v>High</v>
      </c>
      <c r="P519" s="1">
        <f>(Table1[[#This Row],[alcohol]]*2)+(Table1[[#This Row],[sulphates]]*1.5)-(Table1[[#This Row],[volatile acidity]]*2)</f>
        <v>16.525000000000002</v>
      </c>
      <c r="Q519" s="1">
        <f>RANK(Table1[[#This Row],[Quality_score_index]],Table1[Quality_score_index],0)</f>
        <v>1599</v>
      </c>
      <c r="R519" s="1">
        <f>Table1[[#This Row],[total sulfur dioxide]]-Table1[[#This Row],[free sulfur dioxide]]</f>
        <v>11</v>
      </c>
      <c r="S519" s="1" t="str">
        <f>IF(AND(Table1[[#This Row],[pH]]&gt;=3.2,Table1[[#This Row],[alcohol]]&gt;=10),"White wine","Red wine")</f>
        <v>Red wine</v>
      </c>
    </row>
    <row r="520" spans="1:19" x14ac:dyDescent="0.3">
      <c r="A520" s="13">
        <v>519</v>
      </c>
      <c r="B520" s="1">
        <v>10.9</v>
      </c>
      <c r="C520" s="1">
        <v>0.21</v>
      </c>
      <c r="D520" s="1">
        <v>0.49</v>
      </c>
      <c r="E520" s="1">
        <v>2.8</v>
      </c>
      <c r="F520" s="1">
        <v>8.7999999999999995E-2</v>
      </c>
      <c r="G520" s="1">
        <v>11</v>
      </c>
      <c r="H520" s="1">
        <v>32</v>
      </c>
      <c r="I520" s="1">
        <v>0.99719999999999998</v>
      </c>
      <c r="J520" s="1">
        <v>3.22</v>
      </c>
      <c r="K520" s="1">
        <v>0.68</v>
      </c>
      <c r="L520" s="1">
        <v>11.7</v>
      </c>
      <c r="M520" s="2">
        <v>6</v>
      </c>
      <c r="N520" s="2" t="str" cm="1">
        <f t="array" ref="N520">_xlfn.IFS(Table1[[#This Row],[quality]]&lt;=4,"Low",Table1[[#This Row],[quality]]&lt;=6,"Medium",Table1[[#This Row],[quality]]&gt;=7,"High")</f>
        <v>Medium</v>
      </c>
      <c r="O520" s="2" t="str">
        <f>IF(AND(Table1[[#This Row],[fixed acidity]]&gt;Sheet1!$C$4,Table1[[#This Row],[pH]]&lt;Sheet1!$K$4),"High","Normal")</f>
        <v>High</v>
      </c>
      <c r="P520" s="1">
        <f>(Table1[[#This Row],[alcohol]]*2)+(Table1[[#This Row],[sulphates]]*1.5)-(Table1[[#This Row],[volatile acidity]]*2)</f>
        <v>23.999999999999996</v>
      </c>
      <c r="Q520" s="1">
        <f>RANK(Table1[[#This Row],[Quality_score_index]],Table1[Quality_score_index],0)</f>
        <v>181</v>
      </c>
      <c r="R520" s="1">
        <f>Table1[[#This Row],[total sulfur dioxide]]-Table1[[#This Row],[free sulfur dioxide]]</f>
        <v>21</v>
      </c>
      <c r="S520" s="1" t="str">
        <f>IF(AND(Table1[[#This Row],[pH]]&gt;=3.2,Table1[[#This Row],[alcohol]]&gt;=10),"White wine","Red wine")</f>
        <v>White wine</v>
      </c>
    </row>
    <row r="521" spans="1:19" x14ac:dyDescent="0.3">
      <c r="A521" s="13">
        <v>520</v>
      </c>
      <c r="B521" s="1">
        <v>7.3</v>
      </c>
      <c r="C521" s="1">
        <v>0.36499999999999999</v>
      </c>
      <c r="D521" s="1">
        <v>0.49</v>
      </c>
      <c r="E521" s="1">
        <v>2.5</v>
      </c>
      <c r="F521" s="1">
        <v>8.7999999999999995E-2</v>
      </c>
      <c r="G521" s="1">
        <v>39</v>
      </c>
      <c r="H521" s="1">
        <v>106</v>
      </c>
      <c r="I521" s="1">
        <v>0.99660000000000004</v>
      </c>
      <c r="J521" s="1">
        <v>3.36</v>
      </c>
      <c r="K521" s="1">
        <v>0.78</v>
      </c>
      <c r="L521" s="1">
        <v>11</v>
      </c>
      <c r="M521" s="2">
        <v>5</v>
      </c>
      <c r="N521" s="2" t="str" cm="1">
        <f t="array" ref="N521">_xlfn.IFS(Table1[[#This Row],[quality]]&lt;=4,"Low",Table1[[#This Row],[quality]]&lt;=6,"Medium",Table1[[#This Row],[quality]]&gt;=7,"High")</f>
        <v>Medium</v>
      </c>
      <c r="O521" s="2" t="str">
        <f>IF(AND(Table1[[#This Row],[fixed acidity]]&gt;Sheet1!$C$4,Table1[[#This Row],[pH]]&lt;Sheet1!$K$4),"High","Normal")</f>
        <v>Normal</v>
      </c>
      <c r="P521" s="1">
        <f>(Table1[[#This Row],[alcohol]]*2)+(Table1[[#This Row],[sulphates]]*1.5)-(Table1[[#This Row],[volatile acidity]]*2)</f>
        <v>22.44</v>
      </c>
      <c r="Q521" s="1">
        <f>RANK(Table1[[#This Row],[Quality_score_index]],Table1[Quality_score_index],0)</f>
        <v>384</v>
      </c>
      <c r="R521" s="1">
        <f>Table1[[#This Row],[total sulfur dioxide]]-Table1[[#This Row],[free sulfur dioxide]]</f>
        <v>67</v>
      </c>
      <c r="S521" s="1" t="str">
        <f>IF(AND(Table1[[#This Row],[pH]]&gt;=3.2,Table1[[#This Row],[alcohol]]&gt;=10),"White wine","Red wine")</f>
        <v>White wine</v>
      </c>
    </row>
    <row r="522" spans="1:19" x14ac:dyDescent="0.3">
      <c r="A522" s="13">
        <v>521</v>
      </c>
      <c r="B522" s="1">
        <v>9.8000000000000007</v>
      </c>
      <c r="C522" s="1">
        <v>0.25</v>
      </c>
      <c r="D522" s="1">
        <v>0.49</v>
      </c>
      <c r="E522" s="1">
        <v>2.7</v>
      </c>
      <c r="F522" s="1">
        <v>8.7999999999999995E-2</v>
      </c>
      <c r="G522" s="1">
        <v>15</v>
      </c>
      <c r="H522" s="1">
        <v>33</v>
      </c>
      <c r="I522" s="1">
        <v>0.99819999999999998</v>
      </c>
      <c r="J522" s="1">
        <v>3.42</v>
      </c>
      <c r="K522" s="1">
        <v>0.9</v>
      </c>
      <c r="L522" s="1">
        <v>10</v>
      </c>
      <c r="M522" s="2">
        <v>6</v>
      </c>
      <c r="N522" s="2" t="str" cm="1">
        <f t="array" ref="N522">_xlfn.IFS(Table1[[#This Row],[quality]]&lt;=4,"Low",Table1[[#This Row],[quality]]&lt;=6,"Medium",Table1[[#This Row],[quality]]&gt;=7,"High")</f>
        <v>Medium</v>
      </c>
      <c r="O522" s="2" t="str">
        <f>IF(AND(Table1[[#This Row],[fixed acidity]]&gt;Sheet1!$C$4,Table1[[#This Row],[pH]]&lt;Sheet1!$K$4),"High","Normal")</f>
        <v>Normal</v>
      </c>
      <c r="P522" s="1">
        <f>(Table1[[#This Row],[alcohol]]*2)+(Table1[[#This Row],[sulphates]]*1.5)-(Table1[[#This Row],[volatile acidity]]*2)</f>
        <v>20.85</v>
      </c>
      <c r="Q522" s="1">
        <f>RANK(Table1[[#This Row],[Quality_score_index]],Table1[Quality_score_index],0)</f>
        <v>685</v>
      </c>
      <c r="R522" s="1">
        <f>Table1[[#This Row],[total sulfur dioxide]]-Table1[[#This Row],[free sulfur dioxide]]</f>
        <v>18</v>
      </c>
      <c r="S522" s="1" t="str">
        <f>IF(AND(Table1[[#This Row],[pH]]&gt;=3.2,Table1[[#This Row],[alcohol]]&gt;=10),"White wine","Red wine")</f>
        <v>White wine</v>
      </c>
    </row>
    <row r="523" spans="1:19" x14ac:dyDescent="0.3">
      <c r="A523" s="13">
        <v>522</v>
      </c>
      <c r="B523" s="1">
        <v>7.6</v>
      </c>
      <c r="C523" s="1">
        <v>0.41</v>
      </c>
      <c r="D523" s="1">
        <v>0.49</v>
      </c>
      <c r="E523" s="1">
        <v>2</v>
      </c>
      <c r="F523" s="1">
        <v>8.7999999999999995E-2</v>
      </c>
      <c r="G523" s="1">
        <v>16</v>
      </c>
      <c r="H523" s="1">
        <v>43</v>
      </c>
      <c r="I523" s="1">
        <v>0.998</v>
      </c>
      <c r="J523" s="1">
        <v>3.48</v>
      </c>
      <c r="K523" s="1">
        <v>0.64</v>
      </c>
      <c r="L523" s="1">
        <v>9.1</v>
      </c>
      <c r="M523" s="2">
        <v>5</v>
      </c>
      <c r="N523" s="2" t="str" cm="1">
        <f t="array" ref="N523">_xlfn.IFS(Table1[[#This Row],[quality]]&lt;=4,"Low",Table1[[#This Row],[quality]]&lt;=6,"Medium",Table1[[#This Row],[quality]]&gt;=7,"High")</f>
        <v>Medium</v>
      </c>
      <c r="O523" s="2" t="str">
        <f>IF(AND(Table1[[#This Row],[fixed acidity]]&gt;Sheet1!$C$4,Table1[[#This Row],[pH]]&lt;Sheet1!$K$4),"High","Normal")</f>
        <v>Normal</v>
      </c>
      <c r="P523" s="1">
        <f>(Table1[[#This Row],[alcohol]]*2)+(Table1[[#This Row],[sulphates]]*1.5)-(Table1[[#This Row],[volatile acidity]]*2)</f>
        <v>18.34</v>
      </c>
      <c r="Q523" s="1">
        <f>RANK(Table1[[#This Row],[Quality_score_index]],Table1[Quality_score_index],0)</f>
        <v>1440</v>
      </c>
      <c r="R523" s="1">
        <f>Table1[[#This Row],[total sulfur dioxide]]-Table1[[#This Row],[free sulfur dioxide]]</f>
        <v>27</v>
      </c>
      <c r="S523" s="1" t="str">
        <f>IF(AND(Table1[[#This Row],[pH]]&gt;=3.2,Table1[[#This Row],[alcohol]]&gt;=10),"White wine","Red wine")</f>
        <v>Red wine</v>
      </c>
    </row>
    <row r="524" spans="1:19" x14ac:dyDescent="0.3">
      <c r="A524" s="13">
        <v>523</v>
      </c>
      <c r="B524" s="1">
        <v>8.1999999999999993</v>
      </c>
      <c r="C524" s="1">
        <v>0.39</v>
      </c>
      <c r="D524" s="1">
        <v>0.49</v>
      </c>
      <c r="E524" s="1">
        <v>2.2999999999999998</v>
      </c>
      <c r="F524" s="1">
        <v>9.9000000000000005E-2</v>
      </c>
      <c r="G524" s="1">
        <v>47</v>
      </c>
      <c r="H524" s="1">
        <v>133</v>
      </c>
      <c r="I524" s="1">
        <v>0.99790000000000001</v>
      </c>
      <c r="J524" s="1">
        <v>3.38</v>
      </c>
      <c r="K524" s="1">
        <v>0.99</v>
      </c>
      <c r="L524" s="1">
        <v>9.8000000000000007</v>
      </c>
      <c r="M524" s="2">
        <v>5</v>
      </c>
      <c r="N524" s="2" t="str" cm="1">
        <f t="array" ref="N524">_xlfn.IFS(Table1[[#This Row],[quality]]&lt;=4,"Low",Table1[[#This Row],[quality]]&lt;=6,"Medium",Table1[[#This Row],[quality]]&gt;=7,"High")</f>
        <v>Medium</v>
      </c>
      <c r="O524" s="2" t="str">
        <f>IF(AND(Table1[[#This Row],[fixed acidity]]&gt;Sheet1!$C$4,Table1[[#This Row],[pH]]&lt;Sheet1!$K$4),"High","Normal")</f>
        <v>Normal</v>
      </c>
      <c r="P524" s="1">
        <f>(Table1[[#This Row],[alcohol]]*2)+(Table1[[#This Row],[sulphates]]*1.5)-(Table1[[#This Row],[volatile acidity]]*2)</f>
        <v>20.305</v>
      </c>
      <c r="Q524" s="1">
        <f>RANK(Table1[[#This Row],[Quality_score_index]],Table1[Quality_score_index],0)</f>
        <v>791</v>
      </c>
      <c r="R524" s="1">
        <f>Table1[[#This Row],[total sulfur dioxide]]-Table1[[#This Row],[free sulfur dioxide]]</f>
        <v>86</v>
      </c>
      <c r="S524" s="1" t="str">
        <f>IF(AND(Table1[[#This Row],[pH]]&gt;=3.2,Table1[[#This Row],[alcohol]]&gt;=10),"White wine","Red wine")</f>
        <v>Red wine</v>
      </c>
    </row>
    <row r="525" spans="1:19" x14ac:dyDescent="0.3">
      <c r="A525" s="13">
        <v>524</v>
      </c>
      <c r="B525" s="1">
        <v>9.3000000000000007</v>
      </c>
      <c r="C525" s="1">
        <v>0.4</v>
      </c>
      <c r="D525" s="1">
        <v>0.49</v>
      </c>
      <c r="E525" s="1">
        <v>2.5</v>
      </c>
      <c r="F525" s="1">
        <v>8.5000000000000006E-2</v>
      </c>
      <c r="G525" s="1">
        <v>38</v>
      </c>
      <c r="H525" s="1">
        <v>142</v>
      </c>
      <c r="I525" s="1">
        <v>0.99780000000000002</v>
      </c>
      <c r="J525" s="1">
        <v>3.22</v>
      </c>
      <c r="K525" s="1">
        <v>0.55000000000000004</v>
      </c>
      <c r="L525" s="1">
        <v>9.4</v>
      </c>
      <c r="M525" s="2">
        <v>5</v>
      </c>
      <c r="N525" s="2" t="str" cm="1">
        <f t="array" ref="N525">_xlfn.IFS(Table1[[#This Row],[quality]]&lt;=4,"Low",Table1[[#This Row],[quality]]&lt;=6,"Medium",Table1[[#This Row],[quality]]&gt;=7,"High")</f>
        <v>Medium</v>
      </c>
      <c r="O525" s="2" t="str">
        <f>IF(AND(Table1[[#This Row],[fixed acidity]]&gt;Sheet1!$C$4,Table1[[#This Row],[pH]]&lt;Sheet1!$K$4),"High","Normal")</f>
        <v>High</v>
      </c>
      <c r="P525" s="1">
        <f>(Table1[[#This Row],[alcohol]]*2)+(Table1[[#This Row],[sulphates]]*1.5)-(Table1[[#This Row],[volatile acidity]]*2)</f>
        <v>18.824999999999999</v>
      </c>
      <c r="Q525" s="1">
        <f>RANK(Table1[[#This Row],[Quality_score_index]],Table1[Quality_score_index],0)</f>
        <v>1238</v>
      </c>
      <c r="R525" s="1">
        <f>Table1[[#This Row],[total sulfur dioxide]]-Table1[[#This Row],[free sulfur dioxide]]</f>
        <v>104</v>
      </c>
      <c r="S525" s="1" t="str">
        <f>IF(AND(Table1[[#This Row],[pH]]&gt;=3.2,Table1[[#This Row],[alcohol]]&gt;=10),"White wine","Red wine")</f>
        <v>Red wine</v>
      </c>
    </row>
    <row r="526" spans="1:19" x14ac:dyDescent="0.3">
      <c r="A526" s="13">
        <v>525</v>
      </c>
      <c r="B526" s="1">
        <v>9.1999999999999993</v>
      </c>
      <c r="C526" s="1">
        <v>0.43</v>
      </c>
      <c r="D526" s="1">
        <v>0.49</v>
      </c>
      <c r="E526" s="1">
        <v>2.4</v>
      </c>
      <c r="F526" s="1">
        <v>8.5999999999999993E-2</v>
      </c>
      <c r="G526" s="1">
        <v>23</v>
      </c>
      <c r="H526" s="1">
        <v>116</v>
      </c>
      <c r="I526" s="1">
        <v>0.99760000000000004</v>
      </c>
      <c r="J526" s="1">
        <v>3.23</v>
      </c>
      <c r="K526" s="1">
        <v>0.64</v>
      </c>
      <c r="L526" s="1">
        <v>9.5</v>
      </c>
      <c r="M526" s="2">
        <v>5</v>
      </c>
      <c r="N526" s="2" t="str" cm="1">
        <f t="array" ref="N526">_xlfn.IFS(Table1[[#This Row],[quality]]&lt;=4,"Low",Table1[[#This Row],[quality]]&lt;=6,"Medium",Table1[[#This Row],[quality]]&gt;=7,"High")</f>
        <v>Medium</v>
      </c>
      <c r="O526" s="2" t="str">
        <f>IF(AND(Table1[[#This Row],[fixed acidity]]&gt;Sheet1!$C$4,Table1[[#This Row],[pH]]&lt;Sheet1!$K$4),"High","Normal")</f>
        <v>High</v>
      </c>
      <c r="P526" s="1">
        <f>(Table1[[#This Row],[alcohol]]*2)+(Table1[[#This Row],[sulphates]]*1.5)-(Table1[[#This Row],[volatile acidity]]*2)</f>
        <v>19.100000000000001</v>
      </c>
      <c r="Q526" s="1">
        <f>RANK(Table1[[#This Row],[Quality_score_index]],Table1[Quality_score_index],0)</f>
        <v>1121</v>
      </c>
      <c r="R526" s="1">
        <f>Table1[[#This Row],[total sulfur dioxide]]-Table1[[#This Row],[free sulfur dioxide]]</f>
        <v>93</v>
      </c>
      <c r="S526" s="1" t="str">
        <f>IF(AND(Table1[[#This Row],[pH]]&gt;=3.2,Table1[[#This Row],[alcohol]]&gt;=10),"White wine","Red wine")</f>
        <v>Red wine</v>
      </c>
    </row>
    <row r="527" spans="1:19" x14ac:dyDescent="0.3">
      <c r="A527" s="13">
        <v>526</v>
      </c>
      <c r="B527" s="1">
        <v>10.4</v>
      </c>
      <c r="C527" s="1">
        <v>0.64</v>
      </c>
      <c r="D527" s="1">
        <v>0.24</v>
      </c>
      <c r="E527" s="1">
        <v>2.8</v>
      </c>
      <c r="F527" s="1">
        <v>0.105</v>
      </c>
      <c r="G527" s="1">
        <v>29</v>
      </c>
      <c r="H527" s="1">
        <v>53</v>
      </c>
      <c r="I527" s="1">
        <v>0.99980000000000002</v>
      </c>
      <c r="J527" s="1">
        <v>3.24</v>
      </c>
      <c r="K527" s="1">
        <v>0.67</v>
      </c>
      <c r="L527" s="1">
        <v>9.9</v>
      </c>
      <c r="M527" s="2">
        <v>5</v>
      </c>
      <c r="N527" s="2" t="str" cm="1">
        <f t="array" ref="N527">_xlfn.IFS(Table1[[#This Row],[quality]]&lt;=4,"Low",Table1[[#This Row],[quality]]&lt;=6,"Medium",Table1[[#This Row],[quality]]&gt;=7,"High")</f>
        <v>Medium</v>
      </c>
      <c r="O527" s="2" t="str">
        <f>IF(AND(Table1[[#This Row],[fixed acidity]]&gt;Sheet1!$C$4,Table1[[#This Row],[pH]]&lt;Sheet1!$K$4),"High","Normal")</f>
        <v>High</v>
      </c>
      <c r="P527" s="1">
        <f>(Table1[[#This Row],[alcohol]]*2)+(Table1[[#This Row],[sulphates]]*1.5)-(Table1[[#This Row],[volatile acidity]]*2)</f>
        <v>19.524999999999999</v>
      </c>
      <c r="Q527" s="1">
        <f>RANK(Table1[[#This Row],[Quality_score_index]],Table1[Quality_score_index],0)</f>
        <v>969</v>
      </c>
      <c r="R527" s="1">
        <f>Table1[[#This Row],[total sulfur dioxide]]-Table1[[#This Row],[free sulfur dioxide]]</f>
        <v>24</v>
      </c>
      <c r="S527" s="1" t="str">
        <f>IF(AND(Table1[[#This Row],[pH]]&gt;=3.2,Table1[[#This Row],[alcohol]]&gt;=10),"White wine","Red wine")</f>
        <v>Red wine</v>
      </c>
    </row>
    <row r="528" spans="1:19" x14ac:dyDescent="0.3">
      <c r="A528" s="13">
        <v>527</v>
      </c>
      <c r="B528" s="1">
        <v>7.3</v>
      </c>
      <c r="C528" s="1">
        <v>0.36499999999999999</v>
      </c>
      <c r="D528" s="1">
        <v>0.49</v>
      </c>
      <c r="E528" s="1">
        <v>2.5</v>
      </c>
      <c r="F528" s="1">
        <v>8.7999999999999995E-2</v>
      </c>
      <c r="G528" s="1">
        <v>39</v>
      </c>
      <c r="H528" s="1">
        <v>106</v>
      </c>
      <c r="I528" s="1">
        <v>0.99660000000000004</v>
      </c>
      <c r="J528" s="1">
        <v>3.36</v>
      </c>
      <c r="K528" s="1">
        <v>0.78</v>
      </c>
      <c r="L528" s="1">
        <v>11</v>
      </c>
      <c r="M528" s="2">
        <v>5</v>
      </c>
      <c r="N528" s="2" t="str" cm="1">
        <f t="array" ref="N528">_xlfn.IFS(Table1[[#This Row],[quality]]&lt;=4,"Low",Table1[[#This Row],[quality]]&lt;=6,"Medium",Table1[[#This Row],[quality]]&gt;=7,"High")</f>
        <v>Medium</v>
      </c>
      <c r="O528" s="2" t="str">
        <f>IF(AND(Table1[[#This Row],[fixed acidity]]&gt;Sheet1!$C$4,Table1[[#This Row],[pH]]&lt;Sheet1!$K$4),"High","Normal")</f>
        <v>Normal</v>
      </c>
      <c r="P528" s="1">
        <f>(Table1[[#This Row],[alcohol]]*2)+(Table1[[#This Row],[sulphates]]*1.5)-(Table1[[#This Row],[volatile acidity]]*2)</f>
        <v>22.44</v>
      </c>
      <c r="Q528" s="1">
        <f>RANK(Table1[[#This Row],[Quality_score_index]],Table1[Quality_score_index],0)</f>
        <v>384</v>
      </c>
      <c r="R528" s="1">
        <f>Table1[[#This Row],[total sulfur dioxide]]-Table1[[#This Row],[free sulfur dioxide]]</f>
        <v>67</v>
      </c>
      <c r="S528" s="1" t="str">
        <f>IF(AND(Table1[[#This Row],[pH]]&gt;=3.2,Table1[[#This Row],[alcohol]]&gt;=10),"White wine","Red wine")</f>
        <v>White wine</v>
      </c>
    </row>
    <row r="529" spans="1:19" x14ac:dyDescent="0.3">
      <c r="A529" s="13">
        <v>528</v>
      </c>
      <c r="B529" s="1">
        <v>7</v>
      </c>
      <c r="C529" s="1">
        <v>0.38</v>
      </c>
      <c r="D529" s="1">
        <v>0.49</v>
      </c>
      <c r="E529" s="1">
        <v>2.5</v>
      </c>
      <c r="F529" s="1">
        <v>9.7000000000000003E-2</v>
      </c>
      <c r="G529" s="1">
        <v>33</v>
      </c>
      <c r="H529" s="1">
        <v>85</v>
      </c>
      <c r="I529" s="1">
        <v>0.99619999999999997</v>
      </c>
      <c r="J529" s="1">
        <v>3.39</v>
      </c>
      <c r="K529" s="1">
        <v>0.77</v>
      </c>
      <c r="L529" s="1">
        <v>11.4</v>
      </c>
      <c r="M529" s="2">
        <v>6</v>
      </c>
      <c r="N529" s="2" t="str" cm="1">
        <f t="array" ref="N529">_xlfn.IFS(Table1[[#This Row],[quality]]&lt;=4,"Low",Table1[[#This Row],[quality]]&lt;=6,"Medium",Table1[[#This Row],[quality]]&gt;=7,"High")</f>
        <v>Medium</v>
      </c>
      <c r="O529" s="2" t="str">
        <f>IF(AND(Table1[[#This Row],[fixed acidity]]&gt;Sheet1!$C$4,Table1[[#This Row],[pH]]&lt;Sheet1!$K$4),"High","Normal")</f>
        <v>Normal</v>
      </c>
      <c r="P529" s="1">
        <f>(Table1[[#This Row],[alcohol]]*2)+(Table1[[#This Row],[sulphates]]*1.5)-(Table1[[#This Row],[volatile acidity]]*2)</f>
        <v>23.195</v>
      </c>
      <c r="Q529" s="1">
        <f>RANK(Table1[[#This Row],[Quality_score_index]],Table1[Quality_score_index],0)</f>
        <v>246</v>
      </c>
      <c r="R529" s="1">
        <f>Table1[[#This Row],[total sulfur dioxide]]-Table1[[#This Row],[free sulfur dioxide]]</f>
        <v>52</v>
      </c>
      <c r="S529" s="1" t="str">
        <f>IF(AND(Table1[[#This Row],[pH]]&gt;=3.2,Table1[[#This Row],[alcohol]]&gt;=10),"White wine","Red wine")</f>
        <v>White wine</v>
      </c>
    </row>
    <row r="530" spans="1:19" x14ac:dyDescent="0.3">
      <c r="A530" s="13">
        <v>529</v>
      </c>
      <c r="B530" s="1">
        <v>8.1999999999999993</v>
      </c>
      <c r="C530" s="1">
        <v>0.42</v>
      </c>
      <c r="D530" s="1">
        <v>0.49</v>
      </c>
      <c r="E530" s="1">
        <v>2.6</v>
      </c>
      <c r="F530" s="1">
        <v>8.4000000000000005E-2</v>
      </c>
      <c r="G530" s="1">
        <v>32</v>
      </c>
      <c r="H530" s="1">
        <v>55</v>
      </c>
      <c r="I530" s="1">
        <v>0.99880000000000002</v>
      </c>
      <c r="J530" s="1">
        <v>3.34</v>
      </c>
      <c r="K530" s="1">
        <v>0.75</v>
      </c>
      <c r="L530" s="1">
        <v>8.6999999999999993</v>
      </c>
      <c r="M530" s="2">
        <v>6</v>
      </c>
      <c r="N530" s="2" t="str" cm="1">
        <f t="array" ref="N530">_xlfn.IFS(Table1[[#This Row],[quality]]&lt;=4,"Low",Table1[[#This Row],[quality]]&lt;=6,"Medium",Table1[[#This Row],[quality]]&gt;=7,"High")</f>
        <v>Medium</v>
      </c>
      <c r="O530" s="2" t="str">
        <f>IF(AND(Table1[[#This Row],[fixed acidity]]&gt;Sheet1!$C$4,Table1[[#This Row],[pH]]&lt;Sheet1!$K$4),"High","Normal")</f>
        <v>Normal</v>
      </c>
      <c r="P530" s="1">
        <f>(Table1[[#This Row],[alcohol]]*2)+(Table1[[#This Row],[sulphates]]*1.5)-(Table1[[#This Row],[volatile acidity]]*2)</f>
        <v>17.684999999999999</v>
      </c>
      <c r="Q530" s="1">
        <f>RANK(Table1[[#This Row],[Quality_score_index]],Table1[Quality_score_index],0)</f>
        <v>1573</v>
      </c>
      <c r="R530" s="1">
        <f>Table1[[#This Row],[total sulfur dioxide]]-Table1[[#This Row],[free sulfur dioxide]]</f>
        <v>23</v>
      </c>
      <c r="S530" s="1" t="str">
        <f>IF(AND(Table1[[#This Row],[pH]]&gt;=3.2,Table1[[#This Row],[alcohol]]&gt;=10),"White wine","Red wine")</f>
        <v>Red wine</v>
      </c>
    </row>
    <row r="531" spans="1:19" x14ac:dyDescent="0.3">
      <c r="A531" s="13">
        <v>530</v>
      </c>
      <c r="B531" s="1">
        <v>9.9</v>
      </c>
      <c r="C531" s="1">
        <v>0.63</v>
      </c>
      <c r="D531" s="1">
        <v>0.24</v>
      </c>
      <c r="E531" s="1">
        <v>2.4</v>
      </c>
      <c r="F531" s="1">
        <v>7.6999999999999999E-2</v>
      </c>
      <c r="G531" s="1">
        <v>6</v>
      </c>
      <c r="H531" s="1">
        <v>33</v>
      </c>
      <c r="I531" s="1">
        <v>0.99739999999999995</v>
      </c>
      <c r="J531" s="1">
        <v>3.09</v>
      </c>
      <c r="K531" s="1">
        <v>0.56999999999999995</v>
      </c>
      <c r="L531" s="1">
        <v>9.4</v>
      </c>
      <c r="M531" s="2">
        <v>5</v>
      </c>
      <c r="N531" s="2" t="str" cm="1">
        <f t="array" ref="N531">_xlfn.IFS(Table1[[#This Row],[quality]]&lt;=4,"Low",Table1[[#This Row],[quality]]&lt;=6,"Medium",Table1[[#This Row],[quality]]&gt;=7,"High")</f>
        <v>Medium</v>
      </c>
      <c r="O531" s="2" t="str">
        <f>IF(AND(Table1[[#This Row],[fixed acidity]]&gt;Sheet1!$C$4,Table1[[#This Row],[pH]]&lt;Sheet1!$K$4),"High","Normal")</f>
        <v>High</v>
      </c>
      <c r="P531" s="1">
        <f>(Table1[[#This Row],[alcohol]]*2)+(Table1[[#This Row],[sulphates]]*1.5)-(Table1[[#This Row],[volatile acidity]]*2)</f>
        <v>18.395</v>
      </c>
      <c r="Q531" s="1">
        <f>RANK(Table1[[#This Row],[Quality_score_index]],Table1[Quality_score_index],0)</f>
        <v>1418</v>
      </c>
      <c r="R531" s="1">
        <f>Table1[[#This Row],[total sulfur dioxide]]-Table1[[#This Row],[free sulfur dioxide]]</f>
        <v>27</v>
      </c>
      <c r="S531" s="1" t="str">
        <f>IF(AND(Table1[[#This Row],[pH]]&gt;=3.2,Table1[[#This Row],[alcohol]]&gt;=10),"White wine","Red wine")</f>
        <v>Red wine</v>
      </c>
    </row>
    <row r="532" spans="1:19" x14ac:dyDescent="0.3">
      <c r="A532" s="13">
        <v>531</v>
      </c>
      <c r="B532" s="1">
        <v>9.1</v>
      </c>
      <c r="C532" s="1">
        <v>0.22</v>
      </c>
      <c r="D532" s="1">
        <v>0.24</v>
      </c>
      <c r="E532" s="1">
        <v>2.1</v>
      </c>
      <c r="F532" s="1">
        <v>7.8E-2</v>
      </c>
      <c r="G532" s="1">
        <v>1</v>
      </c>
      <c r="H532" s="1">
        <v>28</v>
      </c>
      <c r="I532" s="1">
        <v>0.999</v>
      </c>
      <c r="J532" s="1">
        <v>3.41</v>
      </c>
      <c r="K532" s="1">
        <v>0.87</v>
      </c>
      <c r="L532" s="1">
        <v>10.3</v>
      </c>
      <c r="M532" s="2">
        <v>6</v>
      </c>
      <c r="N532" s="2" t="str" cm="1">
        <f t="array" ref="N532">_xlfn.IFS(Table1[[#This Row],[quality]]&lt;=4,"Low",Table1[[#This Row],[quality]]&lt;=6,"Medium",Table1[[#This Row],[quality]]&gt;=7,"High")</f>
        <v>Medium</v>
      </c>
      <c r="O532" s="2" t="str">
        <f>IF(AND(Table1[[#This Row],[fixed acidity]]&gt;Sheet1!$C$4,Table1[[#This Row],[pH]]&lt;Sheet1!$K$4),"High","Normal")</f>
        <v>Normal</v>
      </c>
      <c r="P532" s="1">
        <f>(Table1[[#This Row],[alcohol]]*2)+(Table1[[#This Row],[sulphates]]*1.5)-(Table1[[#This Row],[volatile acidity]]*2)</f>
        <v>21.465</v>
      </c>
      <c r="Q532" s="1">
        <f>RANK(Table1[[#This Row],[Quality_score_index]],Table1[Quality_score_index],0)</f>
        <v>546</v>
      </c>
      <c r="R532" s="1">
        <f>Table1[[#This Row],[total sulfur dioxide]]-Table1[[#This Row],[free sulfur dioxide]]</f>
        <v>27</v>
      </c>
      <c r="S532" s="1" t="str">
        <f>IF(AND(Table1[[#This Row],[pH]]&gt;=3.2,Table1[[#This Row],[alcohol]]&gt;=10),"White wine","Red wine")</f>
        <v>White wine</v>
      </c>
    </row>
    <row r="533" spans="1:19" x14ac:dyDescent="0.3">
      <c r="A533" s="13">
        <v>532</v>
      </c>
      <c r="B533" s="1">
        <v>11.9</v>
      </c>
      <c r="C533" s="1">
        <v>0.38</v>
      </c>
      <c r="D533" s="1">
        <v>0.49</v>
      </c>
      <c r="E533" s="1">
        <v>2.7</v>
      </c>
      <c r="F533" s="1">
        <v>9.8000000000000004E-2</v>
      </c>
      <c r="G533" s="1">
        <v>12</v>
      </c>
      <c r="H533" s="1">
        <v>42</v>
      </c>
      <c r="I533" s="1">
        <v>1.0004</v>
      </c>
      <c r="J533" s="1">
        <v>3.16</v>
      </c>
      <c r="K533" s="1">
        <v>0.61</v>
      </c>
      <c r="L533" s="1">
        <v>10.3</v>
      </c>
      <c r="M533" s="2">
        <v>5</v>
      </c>
      <c r="N533" s="2" t="str" cm="1">
        <f t="array" ref="N533">_xlfn.IFS(Table1[[#This Row],[quality]]&lt;=4,"Low",Table1[[#This Row],[quality]]&lt;=6,"Medium",Table1[[#This Row],[quality]]&gt;=7,"High")</f>
        <v>Medium</v>
      </c>
      <c r="O533" s="2" t="str">
        <f>IF(AND(Table1[[#This Row],[fixed acidity]]&gt;Sheet1!$C$4,Table1[[#This Row],[pH]]&lt;Sheet1!$K$4),"High","Normal")</f>
        <v>High</v>
      </c>
      <c r="P533" s="1">
        <f>(Table1[[#This Row],[alcohol]]*2)+(Table1[[#This Row],[sulphates]]*1.5)-(Table1[[#This Row],[volatile acidity]]*2)</f>
        <v>20.754999999999999</v>
      </c>
      <c r="Q533" s="1">
        <f>RANK(Table1[[#This Row],[Quality_score_index]],Table1[Quality_score_index],0)</f>
        <v>714</v>
      </c>
      <c r="R533" s="1">
        <f>Table1[[#This Row],[total sulfur dioxide]]-Table1[[#This Row],[free sulfur dioxide]]</f>
        <v>30</v>
      </c>
      <c r="S533" s="1" t="str">
        <f>IF(AND(Table1[[#This Row],[pH]]&gt;=3.2,Table1[[#This Row],[alcohol]]&gt;=10),"White wine","Red wine")</f>
        <v>Red wine</v>
      </c>
    </row>
    <row r="534" spans="1:19" x14ac:dyDescent="0.3">
      <c r="A534" s="13">
        <v>533</v>
      </c>
      <c r="B534" s="1">
        <v>11.9</v>
      </c>
      <c r="C534" s="1">
        <v>0.38</v>
      </c>
      <c r="D534" s="1">
        <v>0.49</v>
      </c>
      <c r="E534" s="1">
        <v>2.7</v>
      </c>
      <c r="F534" s="1">
        <v>9.8000000000000004E-2</v>
      </c>
      <c r="G534" s="1">
        <v>12</v>
      </c>
      <c r="H534" s="1">
        <v>42</v>
      </c>
      <c r="I534" s="1">
        <v>1.0004</v>
      </c>
      <c r="J534" s="1">
        <v>3.16</v>
      </c>
      <c r="K534" s="1">
        <v>0.61</v>
      </c>
      <c r="L534" s="1">
        <v>10.3</v>
      </c>
      <c r="M534" s="2">
        <v>5</v>
      </c>
      <c r="N534" s="2" t="str" cm="1">
        <f t="array" ref="N534">_xlfn.IFS(Table1[[#This Row],[quality]]&lt;=4,"Low",Table1[[#This Row],[quality]]&lt;=6,"Medium",Table1[[#This Row],[quality]]&gt;=7,"High")</f>
        <v>Medium</v>
      </c>
      <c r="O534" s="2" t="str">
        <f>IF(AND(Table1[[#This Row],[fixed acidity]]&gt;Sheet1!$C$4,Table1[[#This Row],[pH]]&lt;Sheet1!$K$4),"High","Normal")</f>
        <v>High</v>
      </c>
      <c r="P534" s="1">
        <f>(Table1[[#This Row],[alcohol]]*2)+(Table1[[#This Row],[sulphates]]*1.5)-(Table1[[#This Row],[volatile acidity]]*2)</f>
        <v>20.754999999999999</v>
      </c>
      <c r="Q534" s="1">
        <f>RANK(Table1[[#This Row],[Quality_score_index]],Table1[Quality_score_index],0)</f>
        <v>714</v>
      </c>
      <c r="R534" s="1">
        <f>Table1[[#This Row],[total sulfur dioxide]]-Table1[[#This Row],[free sulfur dioxide]]</f>
        <v>30</v>
      </c>
      <c r="S534" s="1" t="str">
        <f>IF(AND(Table1[[#This Row],[pH]]&gt;=3.2,Table1[[#This Row],[alcohol]]&gt;=10),"White wine","Red wine")</f>
        <v>Red wine</v>
      </c>
    </row>
    <row r="535" spans="1:19" x14ac:dyDescent="0.3">
      <c r="A535" s="13">
        <v>534</v>
      </c>
      <c r="B535" s="1">
        <v>10.3</v>
      </c>
      <c r="C535" s="1">
        <v>0.27</v>
      </c>
      <c r="D535" s="1">
        <v>0.24</v>
      </c>
      <c r="E535" s="1">
        <v>2.1</v>
      </c>
      <c r="F535" s="1">
        <v>7.1999999999999995E-2</v>
      </c>
      <c r="G535" s="1">
        <v>15</v>
      </c>
      <c r="H535" s="1">
        <v>33</v>
      </c>
      <c r="I535" s="1">
        <v>0.99560000000000004</v>
      </c>
      <c r="J535" s="1">
        <v>3.22</v>
      </c>
      <c r="K535" s="1">
        <v>0.66</v>
      </c>
      <c r="L535" s="1">
        <v>12.8</v>
      </c>
      <c r="M535" s="2">
        <v>6</v>
      </c>
      <c r="N535" s="2" t="str" cm="1">
        <f t="array" ref="N535">_xlfn.IFS(Table1[[#This Row],[quality]]&lt;=4,"Low",Table1[[#This Row],[quality]]&lt;=6,"Medium",Table1[[#This Row],[quality]]&gt;=7,"High")</f>
        <v>Medium</v>
      </c>
      <c r="O535" s="2" t="str">
        <f>IF(AND(Table1[[#This Row],[fixed acidity]]&gt;Sheet1!$C$4,Table1[[#This Row],[pH]]&lt;Sheet1!$K$4),"High","Normal")</f>
        <v>High</v>
      </c>
      <c r="P535" s="1">
        <f>(Table1[[#This Row],[alcohol]]*2)+(Table1[[#This Row],[sulphates]]*1.5)-(Table1[[#This Row],[volatile acidity]]*2)</f>
        <v>26.05</v>
      </c>
      <c r="Q535" s="1">
        <f>RANK(Table1[[#This Row],[Quality_score_index]],Table1[Quality_score_index],0)</f>
        <v>31</v>
      </c>
      <c r="R535" s="1">
        <f>Table1[[#This Row],[total sulfur dioxide]]-Table1[[#This Row],[free sulfur dioxide]]</f>
        <v>18</v>
      </c>
      <c r="S535" s="1" t="str">
        <f>IF(AND(Table1[[#This Row],[pH]]&gt;=3.2,Table1[[#This Row],[alcohol]]&gt;=10),"White wine","Red wine")</f>
        <v>White wine</v>
      </c>
    </row>
    <row r="536" spans="1:19" x14ac:dyDescent="0.3">
      <c r="A536" s="13">
        <v>535</v>
      </c>
      <c r="B536" s="1">
        <v>10</v>
      </c>
      <c r="C536" s="1">
        <v>0.48</v>
      </c>
      <c r="D536" s="1">
        <v>0.24</v>
      </c>
      <c r="E536" s="1">
        <v>2.7</v>
      </c>
      <c r="F536" s="1">
        <v>0.10199999999999999</v>
      </c>
      <c r="G536" s="1">
        <v>13</v>
      </c>
      <c r="H536" s="1">
        <v>32</v>
      </c>
      <c r="I536" s="1">
        <v>1</v>
      </c>
      <c r="J536" s="1">
        <v>3.28</v>
      </c>
      <c r="K536" s="1">
        <v>0.56000000000000005</v>
      </c>
      <c r="L536" s="1">
        <v>10</v>
      </c>
      <c r="M536" s="2">
        <v>6</v>
      </c>
      <c r="N536" s="2" t="str" cm="1">
        <f t="array" ref="N536">_xlfn.IFS(Table1[[#This Row],[quality]]&lt;=4,"Low",Table1[[#This Row],[quality]]&lt;=6,"Medium",Table1[[#This Row],[quality]]&gt;=7,"High")</f>
        <v>Medium</v>
      </c>
      <c r="O536" s="2" t="str">
        <f>IF(AND(Table1[[#This Row],[fixed acidity]]&gt;Sheet1!$C$4,Table1[[#This Row],[pH]]&lt;Sheet1!$K$4),"High","Normal")</f>
        <v>High</v>
      </c>
      <c r="P536" s="1">
        <f>(Table1[[#This Row],[alcohol]]*2)+(Table1[[#This Row],[sulphates]]*1.5)-(Table1[[#This Row],[volatile acidity]]*2)</f>
        <v>19.88</v>
      </c>
      <c r="Q536" s="1">
        <f>RANK(Table1[[#This Row],[Quality_score_index]],Table1[Quality_score_index],0)</f>
        <v>884</v>
      </c>
      <c r="R536" s="1">
        <f>Table1[[#This Row],[total sulfur dioxide]]-Table1[[#This Row],[free sulfur dioxide]]</f>
        <v>19</v>
      </c>
      <c r="S536" s="1" t="str">
        <f>IF(AND(Table1[[#This Row],[pH]]&gt;=3.2,Table1[[#This Row],[alcohol]]&gt;=10),"White wine","Red wine")</f>
        <v>White wine</v>
      </c>
    </row>
    <row r="537" spans="1:19" x14ac:dyDescent="0.3">
      <c r="A537" s="13">
        <v>536</v>
      </c>
      <c r="B537" s="1">
        <v>9.1</v>
      </c>
      <c r="C537" s="1">
        <v>0.22</v>
      </c>
      <c r="D537" s="1">
        <v>0.24</v>
      </c>
      <c r="E537" s="1">
        <v>2.1</v>
      </c>
      <c r="F537" s="1">
        <v>7.8E-2</v>
      </c>
      <c r="G537" s="1">
        <v>1</v>
      </c>
      <c r="H537" s="1">
        <v>28</v>
      </c>
      <c r="I537" s="1">
        <v>0.999</v>
      </c>
      <c r="J537" s="1">
        <v>3.41</v>
      </c>
      <c r="K537" s="1">
        <v>0.87</v>
      </c>
      <c r="L537" s="1">
        <v>10.3</v>
      </c>
      <c r="M537" s="2">
        <v>6</v>
      </c>
      <c r="N537" s="2" t="str" cm="1">
        <f t="array" ref="N537">_xlfn.IFS(Table1[[#This Row],[quality]]&lt;=4,"Low",Table1[[#This Row],[quality]]&lt;=6,"Medium",Table1[[#This Row],[quality]]&gt;=7,"High")</f>
        <v>Medium</v>
      </c>
      <c r="O537" s="2" t="str">
        <f>IF(AND(Table1[[#This Row],[fixed acidity]]&gt;Sheet1!$C$4,Table1[[#This Row],[pH]]&lt;Sheet1!$K$4),"High","Normal")</f>
        <v>Normal</v>
      </c>
      <c r="P537" s="1">
        <f>(Table1[[#This Row],[alcohol]]*2)+(Table1[[#This Row],[sulphates]]*1.5)-(Table1[[#This Row],[volatile acidity]]*2)</f>
        <v>21.465</v>
      </c>
      <c r="Q537" s="1">
        <f>RANK(Table1[[#This Row],[Quality_score_index]],Table1[Quality_score_index],0)</f>
        <v>546</v>
      </c>
      <c r="R537" s="1">
        <f>Table1[[#This Row],[total sulfur dioxide]]-Table1[[#This Row],[free sulfur dioxide]]</f>
        <v>27</v>
      </c>
      <c r="S537" s="1" t="str">
        <f>IF(AND(Table1[[#This Row],[pH]]&gt;=3.2,Table1[[#This Row],[alcohol]]&gt;=10),"White wine","Red wine")</f>
        <v>White wine</v>
      </c>
    </row>
    <row r="538" spans="1:19" x14ac:dyDescent="0.3">
      <c r="A538" s="13">
        <v>537</v>
      </c>
      <c r="B538" s="1">
        <v>9.9</v>
      </c>
      <c r="C538" s="1">
        <v>0.63</v>
      </c>
      <c r="D538" s="1">
        <v>0.24</v>
      </c>
      <c r="E538" s="1">
        <v>2.4</v>
      </c>
      <c r="F538" s="1">
        <v>7.6999999999999999E-2</v>
      </c>
      <c r="G538" s="1">
        <v>6</v>
      </c>
      <c r="H538" s="1">
        <v>33</v>
      </c>
      <c r="I538" s="1">
        <v>0.99739999999999995</v>
      </c>
      <c r="J538" s="1">
        <v>3.09</v>
      </c>
      <c r="K538" s="1">
        <v>0.56999999999999995</v>
      </c>
      <c r="L538" s="1">
        <v>9.4</v>
      </c>
      <c r="M538" s="2">
        <v>5</v>
      </c>
      <c r="N538" s="2" t="str" cm="1">
        <f t="array" ref="N538">_xlfn.IFS(Table1[[#This Row],[quality]]&lt;=4,"Low",Table1[[#This Row],[quality]]&lt;=6,"Medium",Table1[[#This Row],[quality]]&gt;=7,"High")</f>
        <v>Medium</v>
      </c>
      <c r="O538" s="2" t="str">
        <f>IF(AND(Table1[[#This Row],[fixed acidity]]&gt;Sheet1!$C$4,Table1[[#This Row],[pH]]&lt;Sheet1!$K$4),"High","Normal")</f>
        <v>High</v>
      </c>
      <c r="P538" s="1">
        <f>(Table1[[#This Row],[alcohol]]*2)+(Table1[[#This Row],[sulphates]]*1.5)-(Table1[[#This Row],[volatile acidity]]*2)</f>
        <v>18.395</v>
      </c>
      <c r="Q538" s="1">
        <f>RANK(Table1[[#This Row],[Quality_score_index]],Table1[Quality_score_index],0)</f>
        <v>1418</v>
      </c>
      <c r="R538" s="1">
        <f>Table1[[#This Row],[total sulfur dioxide]]-Table1[[#This Row],[free sulfur dioxide]]</f>
        <v>27</v>
      </c>
      <c r="S538" s="1" t="str">
        <f>IF(AND(Table1[[#This Row],[pH]]&gt;=3.2,Table1[[#This Row],[alcohol]]&gt;=10),"White wine","Red wine")</f>
        <v>Red wine</v>
      </c>
    </row>
    <row r="539" spans="1:19" x14ac:dyDescent="0.3">
      <c r="A539" s="13">
        <v>538</v>
      </c>
      <c r="B539" s="1">
        <v>8.1</v>
      </c>
      <c r="C539" s="1">
        <v>0.82499999999999996</v>
      </c>
      <c r="D539" s="1">
        <v>0.24</v>
      </c>
      <c r="E539" s="1">
        <v>2.1</v>
      </c>
      <c r="F539" s="1">
        <v>8.4000000000000005E-2</v>
      </c>
      <c r="G539" s="1">
        <v>5</v>
      </c>
      <c r="H539" s="1">
        <v>13</v>
      </c>
      <c r="I539" s="1">
        <v>0.99719999999999998</v>
      </c>
      <c r="J539" s="1">
        <v>3.37</v>
      </c>
      <c r="K539" s="1">
        <v>0.77</v>
      </c>
      <c r="L539" s="1">
        <v>10.7</v>
      </c>
      <c r="M539" s="2">
        <v>6</v>
      </c>
      <c r="N539" s="2" t="str" cm="1">
        <f t="array" ref="N539">_xlfn.IFS(Table1[[#This Row],[quality]]&lt;=4,"Low",Table1[[#This Row],[quality]]&lt;=6,"Medium",Table1[[#This Row],[quality]]&gt;=7,"High")</f>
        <v>Medium</v>
      </c>
      <c r="O539" s="2" t="str">
        <f>IF(AND(Table1[[#This Row],[fixed acidity]]&gt;Sheet1!$C$4,Table1[[#This Row],[pH]]&lt;Sheet1!$K$4),"High","Normal")</f>
        <v>Normal</v>
      </c>
      <c r="P539" s="1">
        <f>(Table1[[#This Row],[alcohol]]*2)+(Table1[[#This Row],[sulphates]]*1.5)-(Table1[[#This Row],[volatile acidity]]*2)</f>
        <v>20.905000000000001</v>
      </c>
      <c r="Q539" s="1">
        <f>RANK(Table1[[#This Row],[Quality_score_index]],Table1[Quality_score_index],0)</f>
        <v>672</v>
      </c>
      <c r="R539" s="1">
        <f>Table1[[#This Row],[total sulfur dioxide]]-Table1[[#This Row],[free sulfur dioxide]]</f>
        <v>8</v>
      </c>
      <c r="S539" s="1" t="str">
        <f>IF(AND(Table1[[#This Row],[pH]]&gt;=3.2,Table1[[#This Row],[alcohol]]&gt;=10),"White wine","Red wine")</f>
        <v>White wine</v>
      </c>
    </row>
    <row r="540" spans="1:19" x14ac:dyDescent="0.3">
      <c r="A540" s="13">
        <v>539</v>
      </c>
      <c r="B540" s="1">
        <v>12.9</v>
      </c>
      <c r="C540" s="1">
        <v>0.35</v>
      </c>
      <c r="D540" s="1">
        <v>0.49</v>
      </c>
      <c r="E540" s="1">
        <v>5.8</v>
      </c>
      <c r="F540" s="1">
        <v>6.6000000000000003E-2</v>
      </c>
      <c r="G540" s="1">
        <v>5</v>
      </c>
      <c r="H540" s="1">
        <v>35</v>
      </c>
      <c r="I540" s="1">
        <v>1.0014000000000001</v>
      </c>
      <c r="J540" s="1">
        <v>3.2</v>
      </c>
      <c r="K540" s="1">
        <v>0.66</v>
      </c>
      <c r="L540" s="1">
        <v>12</v>
      </c>
      <c r="M540" s="2">
        <v>7</v>
      </c>
      <c r="N540" s="2" t="str" cm="1">
        <f t="array" ref="N540">_xlfn.IFS(Table1[[#This Row],[quality]]&lt;=4,"Low",Table1[[#This Row],[quality]]&lt;=6,"Medium",Table1[[#This Row],[quality]]&gt;=7,"High")</f>
        <v>High</v>
      </c>
      <c r="O540" s="2" t="str">
        <f>IF(AND(Table1[[#This Row],[fixed acidity]]&gt;Sheet1!$C$4,Table1[[#This Row],[pH]]&lt;Sheet1!$K$4),"High","Normal")</f>
        <v>High</v>
      </c>
      <c r="P540" s="1">
        <f>(Table1[[#This Row],[alcohol]]*2)+(Table1[[#This Row],[sulphates]]*1.5)-(Table1[[#This Row],[volatile acidity]]*2)</f>
        <v>24.29</v>
      </c>
      <c r="Q540" s="1">
        <f>RANK(Table1[[#This Row],[Quality_score_index]],Table1[Quality_score_index],0)</f>
        <v>153</v>
      </c>
      <c r="R540" s="1">
        <f>Table1[[#This Row],[total sulfur dioxide]]-Table1[[#This Row],[free sulfur dioxide]]</f>
        <v>30</v>
      </c>
      <c r="S540" s="1" t="str">
        <f>IF(AND(Table1[[#This Row],[pH]]&gt;=3.2,Table1[[#This Row],[alcohol]]&gt;=10),"White wine","Red wine")</f>
        <v>White wine</v>
      </c>
    </row>
    <row r="541" spans="1:19" x14ac:dyDescent="0.3">
      <c r="A541" s="13">
        <v>540</v>
      </c>
      <c r="B541" s="1">
        <v>11.2</v>
      </c>
      <c r="C541" s="1">
        <v>0.5</v>
      </c>
      <c r="D541" s="1">
        <v>0.74</v>
      </c>
      <c r="E541" s="1">
        <v>5.15</v>
      </c>
      <c r="F541" s="1">
        <v>0.1</v>
      </c>
      <c r="G541" s="1">
        <v>5</v>
      </c>
      <c r="H541" s="1">
        <v>17</v>
      </c>
      <c r="I541" s="1">
        <v>0.99960000000000004</v>
      </c>
      <c r="J541" s="1">
        <v>3.22</v>
      </c>
      <c r="K541" s="1">
        <v>0.62</v>
      </c>
      <c r="L541" s="1">
        <v>11.2</v>
      </c>
      <c r="M541" s="2">
        <v>5</v>
      </c>
      <c r="N541" s="2" t="str" cm="1">
        <f t="array" ref="N541">_xlfn.IFS(Table1[[#This Row],[quality]]&lt;=4,"Low",Table1[[#This Row],[quality]]&lt;=6,"Medium",Table1[[#This Row],[quality]]&gt;=7,"High")</f>
        <v>Medium</v>
      </c>
      <c r="O541" s="2" t="str">
        <f>IF(AND(Table1[[#This Row],[fixed acidity]]&gt;Sheet1!$C$4,Table1[[#This Row],[pH]]&lt;Sheet1!$K$4),"High","Normal")</f>
        <v>High</v>
      </c>
      <c r="P541" s="1">
        <f>(Table1[[#This Row],[alcohol]]*2)+(Table1[[#This Row],[sulphates]]*1.5)-(Table1[[#This Row],[volatile acidity]]*2)</f>
        <v>22.33</v>
      </c>
      <c r="Q541" s="1">
        <f>RANK(Table1[[#This Row],[Quality_score_index]],Table1[Quality_score_index],0)</f>
        <v>404</v>
      </c>
      <c r="R541" s="1">
        <f>Table1[[#This Row],[total sulfur dioxide]]-Table1[[#This Row],[free sulfur dioxide]]</f>
        <v>12</v>
      </c>
      <c r="S541" s="1" t="str">
        <f>IF(AND(Table1[[#This Row],[pH]]&gt;=3.2,Table1[[#This Row],[alcohol]]&gt;=10),"White wine","Red wine")</f>
        <v>White wine</v>
      </c>
    </row>
    <row r="542" spans="1:19" x14ac:dyDescent="0.3">
      <c r="A542" s="13">
        <v>541</v>
      </c>
      <c r="B542" s="1">
        <v>9.1999999999999993</v>
      </c>
      <c r="C542" s="1">
        <v>0.59</v>
      </c>
      <c r="D542" s="1">
        <v>0.24</v>
      </c>
      <c r="E542" s="1">
        <v>3.3</v>
      </c>
      <c r="F542" s="1">
        <v>0.10100000000000001</v>
      </c>
      <c r="G542" s="1">
        <v>20</v>
      </c>
      <c r="H542" s="1">
        <v>47</v>
      </c>
      <c r="I542" s="1">
        <v>0.99880000000000002</v>
      </c>
      <c r="J542" s="1">
        <v>3.26</v>
      </c>
      <c r="K542" s="1">
        <v>0.67</v>
      </c>
      <c r="L542" s="1">
        <v>9.6</v>
      </c>
      <c r="M542" s="2">
        <v>5</v>
      </c>
      <c r="N542" s="2" t="str" cm="1">
        <f t="array" ref="N542">_xlfn.IFS(Table1[[#This Row],[quality]]&lt;=4,"Low",Table1[[#This Row],[quality]]&lt;=6,"Medium",Table1[[#This Row],[quality]]&gt;=7,"High")</f>
        <v>Medium</v>
      </c>
      <c r="O542" s="2" t="str">
        <f>IF(AND(Table1[[#This Row],[fixed acidity]]&gt;Sheet1!$C$4,Table1[[#This Row],[pH]]&lt;Sheet1!$K$4),"High","Normal")</f>
        <v>High</v>
      </c>
      <c r="P542" s="1">
        <f>(Table1[[#This Row],[alcohol]]*2)+(Table1[[#This Row],[sulphates]]*1.5)-(Table1[[#This Row],[volatile acidity]]*2)</f>
        <v>19.024999999999999</v>
      </c>
      <c r="Q542" s="1">
        <f>RANK(Table1[[#This Row],[Quality_score_index]],Table1[Quality_score_index],0)</f>
        <v>1156</v>
      </c>
      <c r="R542" s="1">
        <f>Table1[[#This Row],[total sulfur dioxide]]-Table1[[#This Row],[free sulfur dioxide]]</f>
        <v>27</v>
      </c>
      <c r="S542" s="1" t="str">
        <f>IF(AND(Table1[[#This Row],[pH]]&gt;=3.2,Table1[[#This Row],[alcohol]]&gt;=10),"White wine","Red wine")</f>
        <v>Red wine</v>
      </c>
    </row>
    <row r="543" spans="1:19" x14ac:dyDescent="0.3">
      <c r="A543" s="13">
        <v>542</v>
      </c>
      <c r="B543" s="1">
        <v>9.5</v>
      </c>
      <c r="C543" s="1">
        <v>0.46</v>
      </c>
      <c r="D543" s="1">
        <v>0.49</v>
      </c>
      <c r="E543" s="1">
        <v>6.3</v>
      </c>
      <c r="F543" s="1">
        <v>6.4000000000000001E-2</v>
      </c>
      <c r="G543" s="1">
        <v>5</v>
      </c>
      <c r="H543" s="1">
        <v>17</v>
      </c>
      <c r="I543" s="1">
        <v>0.99880000000000002</v>
      </c>
      <c r="J543" s="1">
        <v>3.21</v>
      </c>
      <c r="K543" s="1">
        <v>0.73</v>
      </c>
      <c r="L543" s="1">
        <v>11</v>
      </c>
      <c r="M543" s="2">
        <v>6</v>
      </c>
      <c r="N543" s="2" t="str" cm="1">
        <f t="array" ref="N543">_xlfn.IFS(Table1[[#This Row],[quality]]&lt;=4,"Low",Table1[[#This Row],[quality]]&lt;=6,"Medium",Table1[[#This Row],[quality]]&gt;=7,"High")</f>
        <v>Medium</v>
      </c>
      <c r="O543" s="2" t="str">
        <f>IF(AND(Table1[[#This Row],[fixed acidity]]&gt;Sheet1!$C$4,Table1[[#This Row],[pH]]&lt;Sheet1!$K$4),"High","Normal")</f>
        <v>High</v>
      </c>
      <c r="P543" s="1">
        <f>(Table1[[#This Row],[alcohol]]*2)+(Table1[[#This Row],[sulphates]]*1.5)-(Table1[[#This Row],[volatile acidity]]*2)</f>
        <v>22.174999999999997</v>
      </c>
      <c r="Q543" s="1">
        <f>RANK(Table1[[#This Row],[Quality_score_index]],Table1[Quality_score_index],0)</f>
        <v>424</v>
      </c>
      <c r="R543" s="1">
        <f>Table1[[#This Row],[total sulfur dioxide]]-Table1[[#This Row],[free sulfur dioxide]]</f>
        <v>12</v>
      </c>
      <c r="S543" s="1" t="str">
        <f>IF(AND(Table1[[#This Row],[pH]]&gt;=3.2,Table1[[#This Row],[alcohol]]&gt;=10),"White wine","Red wine")</f>
        <v>White wine</v>
      </c>
    </row>
    <row r="544" spans="1:19" x14ac:dyDescent="0.3">
      <c r="A544" s="13">
        <v>543</v>
      </c>
      <c r="B544" s="1">
        <v>9.3000000000000007</v>
      </c>
      <c r="C544" s="1">
        <v>0.71499999999999997</v>
      </c>
      <c r="D544" s="1">
        <v>0.24</v>
      </c>
      <c r="E544" s="1">
        <v>2.1</v>
      </c>
      <c r="F544" s="1">
        <v>7.0000000000000007E-2</v>
      </c>
      <c r="G544" s="1">
        <v>5</v>
      </c>
      <c r="H544" s="1">
        <v>20</v>
      </c>
      <c r="I544" s="1">
        <v>0.99660000000000004</v>
      </c>
      <c r="J544" s="1">
        <v>3.12</v>
      </c>
      <c r="K544" s="1">
        <v>0.59</v>
      </c>
      <c r="L544" s="1">
        <v>9.9</v>
      </c>
      <c r="M544" s="2">
        <v>5</v>
      </c>
      <c r="N544" s="2" t="str" cm="1">
        <f t="array" ref="N544">_xlfn.IFS(Table1[[#This Row],[quality]]&lt;=4,"Low",Table1[[#This Row],[quality]]&lt;=6,"Medium",Table1[[#This Row],[quality]]&gt;=7,"High")</f>
        <v>Medium</v>
      </c>
      <c r="O544" s="2" t="str">
        <f>IF(AND(Table1[[#This Row],[fixed acidity]]&gt;Sheet1!$C$4,Table1[[#This Row],[pH]]&lt;Sheet1!$K$4),"High","Normal")</f>
        <v>High</v>
      </c>
      <c r="P544" s="1">
        <f>(Table1[[#This Row],[alcohol]]*2)+(Table1[[#This Row],[sulphates]]*1.5)-(Table1[[#This Row],[volatile acidity]]*2)</f>
        <v>19.255000000000003</v>
      </c>
      <c r="Q544" s="1">
        <f>RANK(Table1[[#This Row],[Quality_score_index]],Table1[Quality_score_index],0)</f>
        <v>1057</v>
      </c>
      <c r="R544" s="1">
        <f>Table1[[#This Row],[total sulfur dioxide]]-Table1[[#This Row],[free sulfur dioxide]]</f>
        <v>15</v>
      </c>
      <c r="S544" s="1" t="str">
        <f>IF(AND(Table1[[#This Row],[pH]]&gt;=3.2,Table1[[#This Row],[alcohol]]&gt;=10),"White wine","Red wine")</f>
        <v>Red wine</v>
      </c>
    </row>
    <row r="545" spans="1:19" x14ac:dyDescent="0.3">
      <c r="A545" s="13">
        <v>544</v>
      </c>
      <c r="B545" s="1">
        <v>11.2</v>
      </c>
      <c r="C545" s="1">
        <v>0.66</v>
      </c>
      <c r="D545" s="1">
        <v>0.24</v>
      </c>
      <c r="E545" s="1">
        <v>2.5</v>
      </c>
      <c r="F545" s="1">
        <v>8.5000000000000006E-2</v>
      </c>
      <c r="G545" s="1">
        <v>16</v>
      </c>
      <c r="H545" s="1">
        <v>53</v>
      </c>
      <c r="I545" s="1">
        <v>0.99929999999999997</v>
      </c>
      <c r="J545" s="1">
        <v>3.06</v>
      </c>
      <c r="K545" s="1">
        <v>0.72</v>
      </c>
      <c r="L545" s="1">
        <v>11</v>
      </c>
      <c r="M545" s="2">
        <v>6</v>
      </c>
      <c r="N545" s="2" t="str" cm="1">
        <f t="array" ref="N545">_xlfn.IFS(Table1[[#This Row],[quality]]&lt;=4,"Low",Table1[[#This Row],[quality]]&lt;=6,"Medium",Table1[[#This Row],[quality]]&gt;=7,"High")</f>
        <v>Medium</v>
      </c>
      <c r="O545" s="2" t="str">
        <f>IF(AND(Table1[[#This Row],[fixed acidity]]&gt;Sheet1!$C$4,Table1[[#This Row],[pH]]&lt;Sheet1!$K$4),"High","Normal")</f>
        <v>High</v>
      </c>
      <c r="P545" s="1">
        <f>(Table1[[#This Row],[alcohol]]*2)+(Table1[[#This Row],[sulphates]]*1.5)-(Table1[[#This Row],[volatile acidity]]*2)</f>
        <v>21.759999999999998</v>
      </c>
      <c r="Q545" s="1">
        <f>RANK(Table1[[#This Row],[Quality_score_index]],Table1[Quality_score_index],0)</f>
        <v>493</v>
      </c>
      <c r="R545" s="1">
        <f>Table1[[#This Row],[total sulfur dioxide]]-Table1[[#This Row],[free sulfur dioxide]]</f>
        <v>37</v>
      </c>
      <c r="S545" s="1" t="str">
        <f>IF(AND(Table1[[#This Row],[pH]]&gt;=3.2,Table1[[#This Row],[alcohol]]&gt;=10),"White wine","Red wine")</f>
        <v>Red wine</v>
      </c>
    </row>
    <row r="546" spans="1:19" x14ac:dyDescent="0.3">
      <c r="A546" s="13">
        <v>545</v>
      </c>
      <c r="B546" s="1">
        <v>14.3</v>
      </c>
      <c r="C546" s="1">
        <v>0.31</v>
      </c>
      <c r="D546" s="1">
        <v>0.74</v>
      </c>
      <c r="E546" s="1">
        <v>1.8</v>
      </c>
      <c r="F546" s="1">
        <v>7.4999999999999997E-2</v>
      </c>
      <c r="G546" s="1">
        <v>6</v>
      </c>
      <c r="H546" s="1">
        <v>15</v>
      </c>
      <c r="I546" s="1">
        <v>1.0007999999999999</v>
      </c>
      <c r="J546" s="1">
        <v>2.86</v>
      </c>
      <c r="K546" s="1">
        <v>0.79</v>
      </c>
      <c r="L546" s="1">
        <v>8.4</v>
      </c>
      <c r="M546" s="2">
        <v>6</v>
      </c>
      <c r="N546" s="2" t="str" cm="1">
        <f t="array" ref="N546">_xlfn.IFS(Table1[[#This Row],[quality]]&lt;=4,"Low",Table1[[#This Row],[quality]]&lt;=6,"Medium",Table1[[#This Row],[quality]]&gt;=7,"High")</f>
        <v>Medium</v>
      </c>
      <c r="O546" s="2" t="str">
        <f>IF(AND(Table1[[#This Row],[fixed acidity]]&gt;Sheet1!$C$4,Table1[[#This Row],[pH]]&lt;Sheet1!$K$4),"High","Normal")</f>
        <v>High</v>
      </c>
      <c r="P546" s="1">
        <f>(Table1[[#This Row],[alcohol]]*2)+(Table1[[#This Row],[sulphates]]*1.5)-(Table1[[#This Row],[volatile acidity]]*2)</f>
        <v>17.364999999999998</v>
      </c>
      <c r="Q546" s="1">
        <f>RANK(Table1[[#This Row],[Quality_score_index]],Table1[Quality_score_index],0)</f>
        <v>1590</v>
      </c>
      <c r="R546" s="1">
        <f>Table1[[#This Row],[total sulfur dioxide]]-Table1[[#This Row],[free sulfur dioxide]]</f>
        <v>9</v>
      </c>
      <c r="S546" s="1" t="str">
        <f>IF(AND(Table1[[#This Row],[pH]]&gt;=3.2,Table1[[#This Row],[alcohol]]&gt;=10),"White wine","Red wine")</f>
        <v>Red wine</v>
      </c>
    </row>
    <row r="547" spans="1:19" x14ac:dyDescent="0.3">
      <c r="A547" s="13">
        <v>546</v>
      </c>
      <c r="B547" s="1">
        <v>9.1</v>
      </c>
      <c r="C547" s="1">
        <v>0.47</v>
      </c>
      <c r="D547" s="1">
        <v>0.49</v>
      </c>
      <c r="E547" s="1">
        <v>2.6</v>
      </c>
      <c r="F547" s="1">
        <v>9.4E-2</v>
      </c>
      <c r="G547" s="1">
        <v>38</v>
      </c>
      <c r="H547" s="1">
        <v>106</v>
      </c>
      <c r="I547" s="1">
        <v>0.99819999999999998</v>
      </c>
      <c r="J547" s="1">
        <v>3.08</v>
      </c>
      <c r="K547" s="1">
        <v>0.59</v>
      </c>
      <c r="L547" s="1">
        <v>9.1</v>
      </c>
      <c r="M547" s="2">
        <v>5</v>
      </c>
      <c r="N547" s="2" t="str" cm="1">
        <f t="array" ref="N547">_xlfn.IFS(Table1[[#This Row],[quality]]&lt;=4,"Low",Table1[[#This Row],[quality]]&lt;=6,"Medium",Table1[[#This Row],[quality]]&gt;=7,"High")</f>
        <v>Medium</v>
      </c>
      <c r="O547" s="2" t="str">
        <f>IF(AND(Table1[[#This Row],[fixed acidity]]&gt;Sheet1!$C$4,Table1[[#This Row],[pH]]&lt;Sheet1!$K$4),"High","Normal")</f>
        <v>High</v>
      </c>
      <c r="P547" s="1">
        <f>(Table1[[#This Row],[alcohol]]*2)+(Table1[[#This Row],[sulphates]]*1.5)-(Table1[[#This Row],[volatile acidity]]*2)</f>
        <v>18.145</v>
      </c>
      <c r="Q547" s="1">
        <f>RANK(Table1[[#This Row],[Quality_score_index]],Table1[Quality_score_index],0)</f>
        <v>1488</v>
      </c>
      <c r="R547" s="1">
        <f>Table1[[#This Row],[total sulfur dioxide]]-Table1[[#This Row],[free sulfur dioxide]]</f>
        <v>68</v>
      </c>
      <c r="S547" s="1" t="str">
        <f>IF(AND(Table1[[#This Row],[pH]]&gt;=3.2,Table1[[#This Row],[alcohol]]&gt;=10),"White wine","Red wine")</f>
        <v>Red wine</v>
      </c>
    </row>
    <row r="548" spans="1:19" x14ac:dyDescent="0.3">
      <c r="A548" s="13">
        <v>547</v>
      </c>
      <c r="B548" s="1">
        <v>7.5</v>
      </c>
      <c r="C548" s="1">
        <v>0.55000000000000004</v>
      </c>
      <c r="D548" s="1">
        <v>0.24</v>
      </c>
      <c r="E548" s="1">
        <v>2</v>
      </c>
      <c r="F548" s="1">
        <v>7.8E-2</v>
      </c>
      <c r="G548" s="1">
        <v>10</v>
      </c>
      <c r="H548" s="1">
        <v>28</v>
      </c>
      <c r="I548" s="1">
        <v>0.99829999999999997</v>
      </c>
      <c r="J548" s="1">
        <v>3.45</v>
      </c>
      <c r="K548" s="1">
        <v>0.78</v>
      </c>
      <c r="L548" s="1">
        <v>9.5</v>
      </c>
      <c r="M548" s="2">
        <v>6</v>
      </c>
      <c r="N548" s="2" t="str" cm="1">
        <f t="array" ref="N548">_xlfn.IFS(Table1[[#This Row],[quality]]&lt;=4,"Low",Table1[[#This Row],[quality]]&lt;=6,"Medium",Table1[[#This Row],[quality]]&gt;=7,"High")</f>
        <v>Medium</v>
      </c>
      <c r="O548" s="2" t="str">
        <f>IF(AND(Table1[[#This Row],[fixed acidity]]&gt;Sheet1!$C$4,Table1[[#This Row],[pH]]&lt;Sheet1!$K$4),"High","Normal")</f>
        <v>Normal</v>
      </c>
      <c r="P548" s="1">
        <f>(Table1[[#This Row],[alcohol]]*2)+(Table1[[#This Row],[sulphates]]*1.5)-(Table1[[#This Row],[volatile acidity]]*2)</f>
        <v>19.07</v>
      </c>
      <c r="Q548" s="1">
        <f>RANK(Table1[[#This Row],[Quality_score_index]],Table1[Quality_score_index],0)</f>
        <v>1137</v>
      </c>
      <c r="R548" s="1">
        <f>Table1[[#This Row],[total sulfur dioxide]]-Table1[[#This Row],[free sulfur dioxide]]</f>
        <v>18</v>
      </c>
      <c r="S548" s="1" t="str">
        <f>IF(AND(Table1[[#This Row],[pH]]&gt;=3.2,Table1[[#This Row],[alcohol]]&gt;=10),"White wine","Red wine")</f>
        <v>Red wine</v>
      </c>
    </row>
    <row r="549" spans="1:19" x14ac:dyDescent="0.3">
      <c r="A549" s="13">
        <v>548</v>
      </c>
      <c r="B549" s="1">
        <v>10.6</v>
      </c>
      <c r="C549" s="1">
        <v>0.31</v>
      </c>
      <c r="D549" s="1">
        <v>0.49</v>
      </c>
      <c r="E549" s="1">
        <v>2.5</v>
      </c>
      <c r="F549" s="1">
        <v>6.7000000000000004E-2</v>
      </c>
      <c r="G549" s="1">
        <v>6</v>
      </c>
      <c r="H549" s="1">
        <v>21</v>
      </c>
      <c r="I549" s="1">
        <v>0.99870000000000003</v>
      </c>
      <c r="J549" s="1">
        <v>3.26</v>
      </c>
      <c r="K549" s="1">
        <v>0.86</v>
      </c>
      <c r="L549" s="1">
        <v>10.7</v>
      </c>
      <c r="M549" s="2">
        <v>6</v>
      </c>
      <c r="N549" s="2" t="str" cm="1">
        <f t="array" ref="N549">_xlfn.IFS(Table1[[#This Row],[quality]]&lt;=4,"Low",Table1[[#This Row],[quality]]&lt;=6,"Medium",Table1[[#This Row],[quality]]&gt;=7,"High")</f>
        <v>Medium</v>
      </c>
      <c r="O549" s="2" t="str">
        <f>IF(AND(Table1[[#This Row],[fixed acidity]]&gt;Sheet1!$C$4,Table1[[#This Row],[pH]]&lt;Sheet1!$K$4),"High","Normal")</f>
        <v>High</v>
      </c>
      <c r="P549" s="1">
        <f>(Table1[[#This Row],[alcohol]]*2)+(Table1[[#This Row],[sulphates]]*1.5)-(Table1[[#This Row],[volatile acidity]]*2)</f>
        <v>22.069999999999997</v>
      </c>
      <c r="Q549" s="1">
        <f>RANK(Table1[[#This Row],[Quality_score_index]],Table1[Quality_score_index],0)</f>
        <v>445</v>
      </c>
      <c r="R549" s="1">
        <f>Table1[[#This Row],[total sulfur dioxide]]-Table1[[#This Row],[free sulfur dioxide]]</f>
        <v>15</v>
      </c>
      <c r="S549" s="1" t="str">
        <f>IF(AND(Table1[[#This Row],[pH]]&gt;=3.2,Table1[[#This Row],[alcohol]]&gt;=10),"White wine","Red wine")</f>
        <v>White wine</v>
      </c>
    </row>
    <row r="550" spans="1:19" x14ac:dyDescent="0.3">
      <c r="A550" s="13">
        <v>549</v>
      </c>
      <c r="B550" s="1">
        <v>12.4</v>
      </c>
      <c r="C550" s="1">
        <v>0.35</v>
      </c>
      <c r="D550" s="1">
        <v>0.49</v>
      </c>
      <c r="E550" s="1">
        <v>2.6</v>
      </c>
      <c r="F550" s="1">
        <v>7.9000000000000001E-2</v>
      </c>
      <c r="G550" s="1">
        <v>27</v>
      </c>
      <c r="H550" s="1">
        <v>69</v>
      </c>
      <c r="I550" s="1">
        <v>0.99939999999999996</v>
      </c>
      <c r="J550" s="1">
        <v>3.12</v>
      </c>
      <c r="K550" s="1">
        <v>0.75</v>
      </c>
      <c r="L550" s="1">
        <v>10.4</v>
      </c>
      <c r="M550" s="2">
        <v>6</v>
      </c>
      <c r="N550" s="2" t="str" cm="1">
        <f t="array" ref="N550">_xlfn.IFS(Table1[[#This Row],[quality]]&lt;=4,"Low",Table1[[#This Row],[quality]]&lt;=6,"Medium",Table1[[#This Row],[quality]]&gt;=7,"High")</f>
        <v>Medium</v>
      </c>
      <c r="O550" s="2" t="str">
        <f>IF(AND(Table1[[#This Row],[fixed acidity]]&gt;Sheet1!$C$4,Table1[[#This Row],[pH]]&lt;Sheet1!$K$4),"High","Normal")</f>
        <v>High</v>
      </c>
      <c r="P550" s="1">
        <f>(Table1[[#This Row],[alcohol]]*2)+(Table1[[#This Row],[sulphates]]*1.5)-(Table1[[#This Row],[volatile acidity]]*2)</f>
        <v>21.225000000000001</v>
      </c>
      <c r="Q550" s="1">
        <f>RANK(Table1[[#This Row],[Quality_score_index]],Table1[Quality_score_index],0)</f>
        <v>593</v>
      </c>
      <c r="R550" s="1">
        <f>Table1[[#This Row],[total sulfur dioxide]]-Table1[[#This Row],[free sulfur dioxide]]</f>
        <v>42</v>
      </c>
      <c r="S550" s="1" t="str">
        <f>IF(AND(Table1[[#This Row],[pH]]&gt;=3.2,Table1[[#This Row],[alcohol]]&gt;=10),"White wine","Red wine")</f>
        <v>Red wine</v>
      </c>
    </row>
    <row r="551" spans="1:19" x14ac:dyDescent="0.3">
      <c r="A551" s="13">
        <v>550</v>
      </c>
      <c r="B551" s="1">
        <v>9</v>
      </c>
      <c r="C551" s="1">
        <v>0.53</v>
      </c>
      <c r="D551" s="1">
        <v>0.49</v>
      </c>
      <c r="E551" s="1">
        <v>1.9</v>
      </c>
      <c r="F551" s="1">
        <v>0.17100000000000001</v>
      </c>
      <c r="G551" s="1">
        <v>6</v>
      </c>
      <c r="H551" s="1">
        <v>25</v>
      </c>
      <c r="I551" s="1">
        <v>0.99750000000000005</v>
      </c>
      <c r="J551" s="1">
        <v>3.27</v>
      </c>
      <c r="K551" s="1">
        <v>0.61</v>
      </c>
      <c r="L551" s="1">
        <v>9.4</v>
      </c>
      <c r="M551" s="2">
        <v>6</v>
      </c>
      <c r="N551" s="2" t="str" cm="1">
        <f t="array" ref="N551">_xlfn.IFS(Table1[[#This Row],[quality]]&lt;=4,"Low",Table1[[#This Row],[quality]]&lt;=6,"Medium",Table1[[#This Row],[quality]]&gt;=7,"High")</f>
        <v>Medium</v>
      </c>
      <c r="O551" s="2" t="str">
        <f>IF(AND(Table1[[#This Row],[fixed acidity]]&gt;Sheet1!$C$4,Table1[[#This Row],[pH]]&lt;Sheet1!$K$4),"High","Normal")</f>
        <v>High</v>
      </c>
      <c r="P551" s="1">
        <f>(Table1[[#This Row],[alcohol]]*2)+(Table1[[#This Row],[sulphates]]*1.5)-(Table1[[#This Row],[volatile acidity]]*2)</f>
        <v>18.655000000000001</v>
      </c>
      <c r="Q551" s="1">
        <f>RANK(Table1[[#This Row],[Quality_score_index]],Table1[Quality_score_index],0)</f>
        <v>1316</v>
      </c>
      <c r="R551" s="1">
        <f>Table1[[#This Row],[total sulfur dioxide]]-Table1[[#This Row],[free sulfur dioxide]]</f>
        <v>19</v>
      </c>
      <c r="S551" s="1" t="str">
        <f>IF(AND(Table1[[#This Row],[pH]]&gt;=3.2,Table1[[#This Row],[alcohol]]&gt;=10),"White wine","Red wine")</f>
        <v>Red wine</v>
      </c>
    </row>
    <row r="552" spans="1:19" x14ac:dyDescent="0.3">
      <c r="A552" s="13">
        <v>551</v>
      </c>
      <c r="B552" s="1">
        <v>6.8</v>
      </c>
      <c r="C552" s="1">
        <v>0.51</v>
      </c>
      <c r="D552" s="1">
        <v>0.01</v>
      </c>
      <c r="E552" s="1">
        <v>2.1</v>
      </c>
      <c r="F552" s="1">
        <v>7.3999999999999996E-2</v>
      </c>
      <c r="G552" s="1">
        <v>9</v>
      </c>
      <c r="H552" s="1">
        <v>25</v>
      </c>
      <c r="I552" s="1">
        <v>0.99580000000000002</v>
      </c>
      <c r="J552" s="1">
        <v>3.33</v>
      </c>
      <c r="K552" s="1">
        <v>0.56000000000000005</v>
      </c>
      <c r="L552" s="1">
        <v>9.5</v>
      </c>
      <c r="M552" s="2">
        <v>6</v>
      </c>
      <c r="N552" s="2" t="str" cm="1">
        <f t="array" ref="N552">_xlfn.IFS(Table1[[#This Row],[quality]]&lt;=4,"Low",Table1[[#This Row],[quality]]&lt;=6,"Medium",Table1[[#This Row],[quality]]&gt;=7,"High")</f>
        <v>Medium</v>
      </c>
      <c r="O552" s="2" t="str">
        <f>IF(AND(Table1[[#This Row],[fixed acidity]]&gt;Sheet1!$C$4,Table1[[#This Row],[pH]]&lt;Sheet1!$K$4),"High","Normal")</f>
        <v>Normal</v>
      </c>
      <c r="P552" s="1">
        <f>(Table1[[#This Row],[alcohol]]*2)+(Table1[[#This Row],[sulphates]]*1.5)-(Table1[[#This Row],[volatile acidity]]*2)</f>
        <v>18.82</v>
      </c>
      <c r="Q552" s="1">
        <f>RANK(Table1[[#This Row],[Quality_score_index]],Table1[Quality_score_index],0)</f>
        <v>1240</v>
      </c>
      <c r="R552" s="1">
        <f>Table1[[#This Row],[total sulfur dioxide]]-Table1[[#This Row],[free sulfur dioxide]]</f>
        <v>16</v>
      </c>
      <c r="S552" s="1" t="str">
        <f>IF(AND(Table1[[#This Row],[pH]]&gt;=3.2,Table1[[#This Row],[alcohol]]&gt;=10),"White wine","Red wine")</f>
        <v>Red wine</v>
      </c>
    </row>
    <row r="553" spans="1:19" x14ac:dyDescent="0.3">
      <c r="A553" s="13">
        <v>552</v>
      </c>
      <c r="B553" s="1">
        <v>9.4</v>
      </c>
      <c r="C553" s="1">
        <v>0.43</v>
      </c>
      <c r="D553" s="1">
        <v>0.24</v>
      </c>
      <c r="E553" s="1">
        <v>2.8</v>
      </c>
      <c r="F553" s="1">
        <v>9.1999999999999998E-2</v>
      </c>
      <c r="G553" s="1">
        <v>14</v>
      </c>
      <c r="H553" s="1">
        <v>45</v>
      </c>
      <c r="I553" s="1">
        <v>0.998</v>
      </c>
      <c r="J553" s="1">
        <v>3.19</v>
      </c>
      <c r="K553" s="1">
        <v>0.73</v>
      </c>
      <c r="L553" s="1">
        <v>10</v>
      </c>
      <c r="M553" s="2">
        <v>6</v>
      </c>
      <c r="N553" s="2" t="str" cm="1">
        <f t="array" ref="N553">_xlfn.IFS(Table1[[#This Row],[quality]]&lt;=4,"Low",Table1[[#This Row],[quality]]&lt;=6,"Medium",Table1[[#This Row],[quality]]&gt;=7,"High")</f>
        <v>Medium</v>
      </c>
      <c r="O553" s="2" t="str">
        <f>IF(AND(Table1[[#This Row],[fixed acidity]]&gt;Sheet1!$C$4,Table1[[#This Row],[pH]]&lt;Sheet1!$K$4),"High","Normal")</f>
        <v>High</v>
      </c>
      <c r="P553" s="1">
        <f>(Table1[[#This Row],[alcohol]]*2)+(Table1[[#This Row],[sulphates]]*1.5)-(Table1[[#This Row],[volatile acidity]]*2)</f>
        <v>20.234999999999999</v>
      </c>
      <c r="Q553" s="1">
        <f>RANK(Table1[[#This Row],[Quality_score_index]],Table1[Quality_score_index],0)</f>
        <v>801</v>
      </c>
      <c r="R553" s="1">
        <f>Table1[[#This Row],[total sulfur dioxide]]-Table1[[#This Row],[free sulfur dioxide]]</f>
        <v>31</v>
      </c>
      <c r="S553" s="1" t="str">
        <f>IF(AND(Table1[[#This Row],[pH]]&gt;=3.2,Table1[[#This Row],[alcohol]]&gt;=10),"White wine","Red wine")</f>
        <v>Red wine</v>
      </c>
    </row>
    <row r="554" spans="1:19" x14ac:dyDescent="0.3">
      <c r="A554" s="13">
        <v>553</v>
      </c>
      <c r="B554" s="1">
        <v>9.5</v>
      </c>
      <c r="C554" s="1">
        <v>0.46</v>
      </c>
      <c r="D554" s="1">
        <v>0.24</v>
      </c>
      <c r="E554" s="1">
        <v>2.7</v>
      </c>
      <c r="F554" s="1">
        <v>9.1999999999999998E-2</v>
      </c>
      <c r="G554" s="1">
        <v>14</v>
      </c>
      <c r="H554" s="1">
        <v>44</v>
      </c>
      <c r="I554" s="1">
        <v>0.998</v>
      </c>
      <c r="J554" s="1">
        <v>3.12</v>
      </c>
      <c r="K554" s="1">
        <v>0.74</v>
      </c>
      <c r="L554" s="1">
        <v>10</v>
      </c>
      <c r="M554" s="2">
        <v>6</v>
      </c>
      <c r="N554" s="2" t="str" cm="1">
        <f t="array" ref="N554">_xlfn.IFS(Table1[[#This Row],[quality]]&lt;=4,"Low",Table1[[#This Row],[quality]]&lt;=6,"Medium",Table1[[#This Row],[quality]]&gt;=7,"High")</f>
        <v>Medium</v>
      </c>
      <c r="O554" s="2" t="str">
        <f>IF(AND(Table1[[#This Row],[fixed acidity]]&gt;Sheet1!$C$4,Table1[[#This Row],[pH]]&lt;Sheet1!$K$4),"High","Normal")</f>
        <v>High</v>
      </c>
      <c r="P554" s="1">
        <f>(Table1[[#This Row],[alcohol]]*2)+(Table1[[#This Row],[sulphates]]*1.5)-(Table1[[#This Row],[volatile acidity]]*2)</f>
        <v>20.189999999999998</v>
      </c>
      <c r="Q554" s="1">
        <f>RANK(Table1[[#This Row],[Quality_score_index]],Table1[Quality_score_index],0)</f>
        <v>816</v>
      </c>
      <c r="R554" s="1">
        <f>Table1[[#This Row],[total sulfur dioxide]]-Table1[[#This Row],[free sulfur dioxide]]</f>
        <v>30</v>
      </c>
      <c r="S554" s="1" t="str">
        <f>IF(AND(Table1[[#This Row],[pH]]&gt;=3.2,Table1[[#This Row],[alcohol]]&gt;=10),"White wine","Red wine")</f>
        <v>Red wine</v>
      </c>
    </row>
    <row r="555" spans="1:19" x14ac:dyDescent="0.3">
      <c r="A555" s="13">
        <v>554</v>
      </c>
      <c r="B555" s="1">
        <v>5</v>
      </c>
      <c r="C555" s="1">
        <v>1.04</v>
      </c>
      <c r="D555" s="1">
        <v>0.24</v>
      </c>
      <c r="E555" s="1">
        <v>1.6</v>
      </c>
      <c r="F555" s="1">
        <v>0.05</v>
      </c>
      <c r="G555" s="1">
        <v>32</v>
      </c>
      <c r="H555" s="1">
        <v>96</v>
      </c>
      <c r="I555" s="1">
        <v>0.99339999999999995</v>
      </c>
      <c r="J555" s="1">
        <v>3.74</v>
      </c>
      <c r="K555" s="1">
        <v>0.62</v>
      </c>
      <c r="L555" s="1">
        <v>11.5</v>
      </c>
      <c r="M555" s="2">
        <v>5</v>
      </c>
      <c r="N555" s="2" t="str" cm="1">
        <f t="array" ref="N555">_xlfn.IFS(Table1[[#This Row],[quality]]&lt;=4,"Low",Table1[[#This Row],[quality]]&lt;=6,"Medium",Table1[[#This Row],[quality]]&gt;=7,"High")</f>
        <v>Medium</v>
      </c>
      <c r="O555" s="2" t="str">
        <f>IF(AND(Table1[[#This Row],[fixed acidity]]&gt;Sheet1!$C$4,Table1[[#This Row],[pH]]&lt;Sheet1!$K$4),"High","Normal")</f>
        <v>Normal</v>
      </c>
      <c r="P555" s="1">
        <f>(Table1[[#This Row],[alcohol]]*2)+(Table1[[#This Row],[sulphates]]*1.5)-(Table1[[#This Row],[volatile acidity]]*2)</f>
        <v>21.85</v>
      </c>
      <c r="Q555" s="1">
        <f>RANK(Table1[[#This Row],[Quality_score_index]],Table1[Quality_score_index],0)</f>
        <v>474</v>
      </c>
      <c r="R555" s="1">
        <f>Table1[[#This Row],[total sulfur dioxide]]-Table1[[#This Row],[free sulfur dioxide]]</f>
        <v>64</v>
      </c>
      <c r="S555" s="1" t="str">
        <f>IF(AND(Table1[[#This Row],[pH]]&gt;=3.2,Table1[[#This Row],[alcohol]]&gt;=10),"White wine","Red wine")</f>
        <v>White wine</v>
      </c>
    </row>
    <row r="556" spans="1:19" x14ac:dyDescent="0.3">
      <c r="A556" s="13">
        <v>555</v>
      </c>
      <c r="B556" s="1">
        <v>15.5</v>
      </c>
      <c r="C556" s="1">
        <v>0.64500000000000002</v>
      </c>
      <c r="D556" s="1">
        <v>0.49</v>
      </c>
      <c r="E556" s="1">
        <v>4.2</v>
      </c>
      <c r="F556" s="1">
        <v>9.5000000000000001E-2</v>
      </c>
      <c r="G556" s="1">
        <v>10</v>
      </c>
      <c r="H556" s="1">
        <v>23</v>
      </c>
      <c r="I556" s="1">
        <v>1.00315</v>
      </c>
      <c r="J556" s="1">
        <v>2.92</v>
      </c>
      <c r="K556" s="1">
        <v>0.74</v>
      </c>
      <c r="L556" s="1">
        <v>11.1</v>
      </c>
      <c r="M556" s="2">
        <v>5</v>
      </c>
      <c r="N556" s="2" t="str" cm="1">
        <f t="array" ref="N556">_xlfn.IFS(Table1[[#This Row],[quality]]&lt;=4,"Low",Table1[[#This Row],[quality]]&lt;=6,"Medium",Table1[[#This Row],[quality]]&gt;=7,"High")</f>
        <v>Medium</v>
      </c>
      <c r="O556" s="2" t="str">
        <f>IF(AND(Table1[[#This Row],[fixed acidity]]&gt;Sheet1!$C$4,Table1[[#This Row],[pH]]&lt;Sheet1!$K$4),"High","Normal")</f>
        <v>High</v>
      </c>
      <c r="P556" s="1">
        <f>(Table1[[#This Row],[alcohol]]*2)+(Table1[[#This Row],[sulphates]]*1.5)-(Table1[[#This Row],[volatile acidity]]*2)</f>
        <v>22.02</v>
      </c>
      <c r="Q556" s="1">
        <f>RANK(Table1[[#This Row],[Quality_score_index]],Table1[Quality_score_index],0)</f>
        <v>451</v>
      </c>
      <c r="R556" s="1">
        <f>Table1[[#This Row],[total sulfur dioxide]]-Table1[[#This Row],[free sulfur dioxide]]</f>
        <v>13</v>
      </c>
      <c r="S556" s="1" t="str">
        <f>IF(AND(Table1[[#This Row],[pH]]&gt;=3.2,Table1[[#This Row],[alcohol]]&gt;=10),"White wine","Red wine")</f>
        <v>Red wine</v>
      </c>
    </row>
    <row r="557" spans="1:19" x14ac:dyDescent="0.3">
      <c r="A557" s="13">
        <v>556</v>
      </c>
      <c r="B557" s="1">
        <v>15.5</v>
      </c>
      <c r="C557" s="1">
        <v>0.64500000000000002</v>
      </c>
      <c r="D557" s="1">
        <v>0.49</v>
      </c>
      <c r="E557" s="1">
        <v>4.2</v>
      </c>
      <c r="F557" s="1">
        <v>9.5000000000000001E-2</v>
      </c>
      <c r="G557" s="1">
        <v>10</v>
      </c>
      <c r="H557" s="1">
        <v>23</v>
      </c>
      <c r="I557" s="1">
        <v>1.00315</v>
      </c>
      <c r="J557" s="1">
        <v>2.92</v>
      </c>
      <c r="K557" s="1">
        <v>0.74</v>
      </c>
      <c r="L557" s="1">
        <v>11.1</v>
      </c>
      <c r="M557" s="2">
        <v>5</v>
      </c>
      <c r="N557" s="2" t="str" cm="1">
        <f t="array" ref="N557">_xlfn.IFS(Table1[[#This Row],[quality]]&lt;=4,"Low",Table1[[#This Row],[quality]]&lt;=6,"Medium",Table1[[#This Row],[quality]]&gt;=7,"High")</f>
        <v>Medium</v>
      </c>
      <c r="O557" s="2" t="str">
        <f>IF(AND(Table1[[#This Row],[fixed acidity]]&gt;Sheet1!$C$4,Table1[[#This Row],[pH]]&lt;Sheet1!$K$4),"High","Normal")</f>
        <v>High</v>
      </c>
      <c r="P557" s="1">
        <f>(Table1[[#This Row],[alcohol]]*2)+(Table1[[#This Row],[sulphates]]*1.5)-(Table1[[#This Row],[volatile acidity]]*2)</f>
        <v>22.02</v>
      </c>
      <c r="Q557" s="1">
        <f>RANK(Table1[[#This Row],[Quality_score_index]],Table1[Quality_score_index],0)</f>
        <v>451</v>
      </c>
      <c r="R557" s="1">
        <f>Table1[[#This Row],[total sulfur dioxide]]-Table1[[#This Row],[free sulfur dioxide]]</f>
        <v>13</v>
      </c>
      <c r="S557" s="1" t="str">
        <f>IF(AND(Table1[[#This Row],[pH]]&gt;=3.2,Table1[[#This Row],[alcohol]]&gt;=10),"White wine","Red wine")</f>
        <v>Red wine</v>
      </c>
    </row>
    <row r="558" spans="1:19" x14ac:dyDescent="0.3">
      <c r="A558" s="13">
        <v>557</v>
      </c>
      <c r="B558" s="1">
        <v>10.9</v>
      </c>
      <c r="C558" s="1">
        <v>0.53</v>
      </c>
      <c r="D558" s="1">
        <v>0.49</v>
      </c>
      <c r="E558" s="1">
        <v>4.5999999999999996</v>
      </c>
      <c r="F558" s="1">
        <v>0.11799999999999999</v>
      </c>
      <c r="G558" s="1">
        <v>10</v>
      </c>
      <c r="H558" s="1">
        <v>17</v>
      </c>
      <c r="I558" s="1">
        <v>1.0002</v>
      </c>
      <c r="J558" s="1">
        <v>3.07</v>
      </c>
      <c r="K558" s="1">
        <v>0.56000000000000005</v>
      </c>
      <c r="L558" s="1">
        <v>11.7</v>
      </c>
      <c r="M558" s="2">
        <v>6</v>
      </c>
      <c r="N558" s="2" t="str" cm="1">
        <f t="array" ref="N558">_xlfn.IFS(Table1[[#This Row],[quality]]&lt;=4,"Low",Table1[[#This Row],[quality]]&lt;=6,"Medium",Table1[[#This Row],[quality]]&gt;=7,"High")</f>
        <v>Medium</v>
      </c>
      <c r="O558" s="2" t="str">
        <f>IF(AND(Table1[[#This Row],[fixed acidity]]&gt;Sheet1!$C$4,Table1[[#This Row],[pH]]&lt;Sheet1!$K$4),"High","Normal")</f>
        <v>High</v>
      </c>
      <c r="P558" s="1">
        <f>(Table1[[#This Row],[alcohol]]*2)+(Table1[[#This Row],[sulphates]]*1.5)-(Table1[[#This Row],[volatile acidity]]*2)</f>
        <v>23.18</v>
      </c>
      <c r="Q558" s="1">
        <f>RANK(Table1[[#This Row],[Quality_score_index]],Table1[Quality_score_index],0)</f>
        <v>248</v>
      </c>
      <c r="R558" s="1">
        <f>Table1[[#This Row],[total sulfur dioxide]]-Table1[[#This Row],[free sulfur dioxide]]</f>
        <v>7</v>
      </c>
      <c r="S558" s="1" t="str">
        <f>IF(AND(Table1[[#This Row],[pH]]&gt;=3.2,Table1[[#This Row],[alcohol]]&gt;=10),"White wine","Red wine")</f>
        <v>Red wine</v>
      </c>
    </row>
    <row r="559" spans="1:19" x14ac:dyDescent="0.3">
      <c r="A559" s="13">
        <v>558</v>
      </c>
      <c r="B559" s="1">
        <v>15.6</v>
      </c>
      <c r="C559" s="1">
        <v>0.64500000000000002</v>
      </c>
      <c r="D559" s="1">
        <v>0.49</v>
      </c>
      <c r="E559" s="1">
        <v>4.2</v>
      </c>
      <c r="F559" s="1">
        <v>9.5000000000000001E-2</v>
      </c>
      <c r="G559" s="1">
        <v>10</v>
      </c>
      <c r="H559" s="1">
        <v>23</v>
      </c>
      <c r="I559" s="1">
        <v>1.00315</v>
      </c>
      <c r="J559" s="1">
        <v>2.92</v>
      </c>
      <c r="K559" s="1">
        <v>0.74</v>
      </c>
      <c r="L559" s="1">
        <v>11.1</v>
      </c>
      <c r="M559" s="2">
        <v>5</v>
      </c>
      <c r="N559" s="2" t="str" cm="1">
        <f t="array" ref="N559">_xlfn.IFS(Table1[[#This Row],[quality]]&lt;=4,"Low",Table1[[#This Row],[quality]]&lt;=6,"Medium",Table1[[#This Row],[quality]]&gt;=7,"High")</f>
        <v>Medium</v>
      </c>
      <c r="O559" s="2" t="str">
        <f>IF(AND(Table1[[#This Row],[fixed acidity]]&gt;Sheet1!$C$4,Table1[[#This Row],[pH]]&lt;Sheet1!$K$4),"High","Normal")</f>
        <v>High</v>
      </c>
      <c r="P559" s="1">
        <f>(Table1[[#This Row],[alcohol]]*2)+(Table1[[#This Row],[sulphates]]*1.5)-(Table1[[#This Row],[volatile acidity]]*2)</f>
        <v>22.02</v>
      </c>
      <c r="Q559" s="1">
        <f>RANK(Table1[[#This Row],[Quality_score_index]],Table1[Quality_score_index],0)</f>
        <v>451</v>
      </c>
      <c r="R559" s="1">
        <f>Table1[[#This Row],[total sulfur dioxide]]-Table1[[#This Row],[free sulfur dioxide]]</f>
        <v>13</v>
      </c>
      <c r="S559" s="1" t="str">
        <f>IF(AND(Table1[[#This Row],[pH]]&gt;=3.2,Table1[[#This Row],[alcohol]]&gt;=10),"White wine","Red wine")</f>
        <v>Red wine</v>
      </c>
    </row>
    <row r="560" spans="1:19" x14ac:dyDescent="0.3">
      <c r="A560" s="13">
        <v>559</v>
      </c>
      <c r="B560" s="1">
        <v>10.9</v>
      </c>
      <c r="C560" s="1">
        <v>0.53</v>
      </c>
      <c r="D560" s="1">
        <v>0.49</v>
      </c>
      <c r="E560" s="1">
        <v>4.5999999999999996</v>
      </c>
      <c r="F560" s="1">
        <v>0.11799999999999999</v>
      </c>
      <c r="G560" s="1">
        <v>10</v>
      </c>
      <c r="H560" s="1">
        <v>17</v>
      </c>
      <c r="I560" s="1">
        <v>1.0002</v>
      </c>
      <c r="J560" s="1">
        <v>3.07</v>
      </c>
      <c r="K560" s="1">
        <v>0.56000000000000005</v>
      </c>
      <c r="L560" s="1">
        <v>11.7</v>
      </c>
      <c r="M560" s="2">
        <v>6</v>
      </c>
      <c r="N560" s="2" t="str" cm="1">
        <f t="array" ref="N560">_xlfn.IFS(Table1[[#This Row],[quality]]&lt;=4,"Low",Table1[[#This Row],[quality]]&lt;=6,"Medium",Table1[[#This Row],[quality]]&gt;=7,"High")</f>
        <v>Medium</v>
      </c>
      <c r="O560" s="2" t="str">
        <f>IF(AND(Table1[[#This Row],[fixed acidity]]&gt;Sheet1!$C$4,Table1[[#This Row],[pH]]&lt;Sheet1!$K$4),"High","Normal")</f>
        <v>High</v>
      </c>
      <c r="P560" s="1">
        <f>(Table1[[#This Row],[alcohol]]*2)+(Table1[[#This Row],[sulphates]]*1.5)-(Table1[[#This Row],[volatile acidity]]*2)</f>
        <v>23.18</v>
      </c>
      <c r="Q560" s="1">
        <f>RANK(Table1[[#This Row],[Quality_score_index]],Table1[Quality_score_index],0)</f>
        <v>248</v>
      </c>
      <c r="R560" s="1">
        <f>Table1[[#This Row],[total sulfur dioxide]]-Table1[[#This Row],[free sulfur dioxide]]</f>
        <v>7</v>
      </c>
      <c r="S560" s="1" t="str">
        <f>IF(AND(Table1[[#This Row],[pH]]&gt;=3.2,Table1[[#This Row],[alcohol]]&gt;=10),"White wine","Red wine")</f>
        <v>Red wine</v>
      </c>
    </row>
    <row r="561" spans="1:19" x14ac:dyDescent="0.3">
      <c r="A561" s="13">
        <v>560</v>
      </c>
      <c r="B561" s="1">
        <v>13</v>
      </c>
      <c r="C561" s="1">
        <v>0.47</v>
      </c>
      <c r="D561" s="1">
        <v>0.49</v>
      </c>
      <c r="E561" s="1">
        <v>4.3</v>
      </c>
      <c r="F561" s="1">
        <v>8.5000000000000006E-2</v>
      </c>
      <c r="G561" s="1">
        <v>6</v>
      </c>
      <c r="H561" s="1">
        <v>47</v>
      </c>
      <c r="I561" s="1">
        <v>1.0021</v>
      </c>
      <c r="J561" s="1">
        <v>3.3</v>
      </c>
      <c r="K561" s="1">
        <v>0.68</v>
      </c>
      <c r="L561" s="1">
        <v>12.7</v>
      </c>
      <c r="M561" s="2">
        <v>6</v>
      </c>
      <c r="N561" s="2" t="str" cm="1">
        <f t="array" ref="N561">_xlfn.IFS(Table1[[#This Row],[quality]]&lt;=4,"Low",Table1[[#This Row],[quality]]&lt;=6,"Medium",Table1[[#This Row],[quality]]&gt;=7,"High")</f>
        <v>Medium</v>
      </c>
      <c r="O561" s="2" t="str">
        <f>IF(AND(Table1[[#This Row],[fixed acidity]]&gt;Sheet1!$C$4,Table1[[#This Row],[pH]]&lt;Sheet1!$K$4),"High","Normal")</f>
        <v>High</v>
      </c>
      <c r="P561" s="1">
        <f>(Table1[[#This Row],[alcohol]]*2)+(Table1[[#This Row],[sulphates]]*1.5)-(Table1[[#This Row],[volatile acidity]]*2)</f>
        <v>25.479999999999997</v>
      </c>
      <c r="Q561" s="1">
        <f>RANK(Table1[[#This Row],[Quality_score_index]],Table1[Quality_score_index],0)</f>
        <v>55</v>
      </c>
      <c r="R561" s="1">
        <f>Table1[[#This Row],[total sulfur dioxide]]-Table1[[#This Row],[free sulfur dioxide]]</f>
        <v>41</v>
      </c>
      <c r="S561" s="1" t="str">
        <f>IF(AND(Table1[[#This Row],[pH]]&gt;=3.2,Table1[[#This Row],[alcohol]]&gt;=10),"White wine","Red wine")</f>
        <v>White wine</v>
      </c>
    </row>
    <row r="562" spans="1:19" x14ac:dyDescent="0.3">
      <c r="A562" s="13">
        <v>561</v>
      </c>
      <c r="B562" s="1">
        <v>12.7</v>
      </c>
      <c r="C562" s="1">
        <v>0.6</v>
      </c>
      <c r="D562" s="1">
        <v>0.49</v>
      </c>
      <c r="E562" s="1">
        <v>2.8</v>
      </c>
      <c r="F562" s="1">
        <v>7.4999999999999997E-2</v>
      </c>
      <c r="G562" s="1">
        <v>5</v>
      </c>
      <c r="H562" s="1">
        <v>19</v>
      </c>
      <c r="I562" s="1">
        <v>0.99939999999999996</v>
      </c>
      <c r="J562" s="1">
        <v>3.14</v>
      </c>
      <c r="K562" s="1">
        <v>0.56999999999999995</v>
      </c>
      <c r="L562" s="1">
        <v>11.4</v>
      </c>
      <c r="M562" s="2">
        <v>5</v>
      </c>
      <c r="N562" s="2" t="str" cm="1">
        <f t="array" ref="N562">_xlfn.IFS(Table1[[#This Row],[quality]]&lt;=4,"Low",Table1[[#This Row],[quality]]&lt;=6,"Medium",Table1[[#This Row],[quality]]&gt;=7,"High")</f>
        <v>Medium</v>
      </c>
      <c r="O562" s="2" t="str">
        <f>IF(AND(Table1[[#This Row],[fixed acidity]]&gt;Sheet1!$C$4,Table1[[#This Row],[pH]]&lt;Sheet1!$K$4),"High","Normal")</f>
        <v>High</v>
      </c>
      <c r="P562" s="1">
        <f>(Table1[[#This Row],[alcohol]]*2)+(Table1[[#This Row],[sulphates]]*1.5)-(Table1[[#This Row],[volatile acidity]]*2)</f>
        <v>22.455000000000002</v>
      </c>
      <c r="Q562" s="1">
        <f>RANK(Table1[[#This Row],[Quality_score_index]],Table1[Quality_score_index],0)</f>
        <v>378</v>
      </c>
      <c r="R562" s="1">
        <f>Table1[[#This Row],[total sulfur dioxide]]-Table1[[#This Row],[free sulfur dioxide]]</f>
        <v>14</v>
      </c>
      <c r="S562" s="1" t="str">
        <f>IF(AND(Table1[[#This Row],[pH]]&gt;=3.2,Table1[[#This Row],[alcohol]]&gt;=10),"White wine","Red wine")</f>
        <v>Red wine</v>
      </c>
    </row>
    <row r="563" spans="1:19" x14ac:dyDescent="0.3">
      <c r="A563" s="13">
        <v>562</v>
      </c>
      <c r="B563" s="1">
        <v>9</v>
      </c>
      <c r="C563" s="1">
        <v>0.44</v>
      </c>
      <c r="D563" s="1">
        <v>0.49</v>
      </c>
      <c r="E563" s="1">
        <v>2.4</v>
      </c>
      <c r="F563" s="1">
        <v>7.8E-2</v>
      </c>
      <c r="G563" s="1">
        <v>26</v>
      </c>
      <c r="H563" s="1">
        <v>121</v>
      </c>
      <c r="I563" s="1">
        <v>0.99780000000000002</v>
      </c>
      <c r="J563" s="1">
        <v>3.23</v>
      </c>
      <c r="K563" s="1">
        <v>0.57999999999999996</v>
      </c>
      <c r="L563" s="1">
        <v>9.1999999999999993</v>
      </c>
      <c r="M563" s="2">
        <v>5</v>
      </c>
      <c r="N563" s="2" t="str" cm="1">
        <f t="array" ref="N563">_xlfn.IFS(Table1[[#This Row],[quality]]&lt;=4,"Low",Table1[[#This Row],[quality]]&lt;=6,"Medium",Table1[[#This Row],[quality]]&gt;=7,"High")</f>
        <v>Medium</v>
      </c>
      <c r="O563" s="2" t="str">
        <f>IF(AND(Table1[[#This Row],[fixed acidity]]&gt;Sheet1!$C$4,Table1[[#This Row],[pH]]&lt;Sheet1!$K$4),"High","Normal")</f>
        <v>High</v>
      </c>
      <c r="P563" s="1">
        <f>(Table1[[#This Row],[alcohol]]*2)+(Table1[[#This Row],[sulphates]]*1.5)-(Table1[[#This Row],[volatile acidity]]*2)</f>
        <v>18.39</v>
      </c>
      <c r="Q563" s="1">
        <f>RANK(Table1[[#This Row],[Quality_score_index]],Table1[Quality_score_index],0)</f>
        <v>1420</v>
      </c>
      <c r="R563" s="1">
        <f>Table1[[#This Row],[total sulfur dioxide]]-Table1[[#This Row],[free sulfur dioxide]]</f>
        <v>95</v>
      </c>
      <c r="S563" s="1" t="str">
        <f>IF(AND(Table1[[#This Row],[pH]]&gt;=3.2,Table1[[#This Row],[alcohol]]&gt;=10),"White wine","Red wine")</f>
        <v>Red wine</v>
      </c>
    </row>
    <row r="564" spans="1:19" x14ac:dyDescent="0.3">
      <c r="A564" s="13">
        <v>563</v>
      </c>
      <c r="B564" s="1">
        <v>9</v>
      </c>
      <c r="C564" s="1">
        <v>0.54</v>
      </c>
      <c r="D564" s="1">
        <v>0.49</v>
      </c>
      <c r="E564" s="1">
        <v>2.9</v>
      </c>
      <c r="F564" s="1">
        <v>9.4E-2</v>
      </c>
      <c r="G564" s="1">
        <v>41</v>
      </c>
      <c r="H564" s="1">
        <v>110</v>
      </c>
      <c r="I564" s="1">
        <v>0.99819999999999998</v>
      </c>
      <c r="J564" s="1">
        <v>3.08</v>
      </c>
      <c r="K564" s="1">
        <v>0.61</v>
      </c>
      <c r="L564" s="1">
        <v>9.1999999999999993</v>
      </c>
      <c r="M564" s="2">
        <v>5</v>
      </c>
      <c r="N564" s="2" t="str" cm="1">
        <f t="array" ref="N564">_xlfn.IFS(Table1[[#This Row],[quality]]&lt;=4,"Low",Table1[[#This Row],[quality]]&lt;=6,"Medium",Table1[[#This Row],[quality]]&gt;=7,"High")</f>
        <v>Medium</v>
      </c>
      <c r="O564" s="2" t="str">
        <f>IF(AND(Table1[[#This Row],[fixed acidity]]&gt;Sheet1!$C$4,Table1[[#This Row],[pH]]&lt;Sheet1!$K$4),"High","Normal")</f>
        <v>High</v>
      </c>
      <c r="P564" s="1">
        <f>(Table1[[#This Row],[alcohol]]*2)+(Table1[[#This Row],[sulphates]]*1.5)-(Table1[[#This Row],[volatile acidity]]*2)</f>
        <v>18.234999999999999</v>
      </c>
      <c r="Q564" s="1">
        <f>RANK(Table1[[#This Row],[Quality_score_index]],Table1[Quality_score_index],0)</f>
        <v>1473</v>
      </c>
      <c r="R564" s="1">
        <f>Table1[[#This Row],[total sulfur dioxide]]-Table1[[#This Row],[free sulfur dioxide]]</f>
        <v>69</v>
      </c>
      <c r="S564" s="1" t="str">
        <f>IF(AND(Table1[[#This Row],[pH]]&gt;=3.2,Table1[[#This Row],[alcohol]]&gt;=10),"White wine","Red wine")</f>
        <v>Red wine</v>
      </c>
    </row>
    <row r="565" spans="1:19" x14ac:dyDescent="0.3">
      <c r="A565" s="13">
        <v>564</v>
      </c>
      <c r="B565" s="1">
        <v>7.6</v>
      </c>
      <c r="C565" s="1">
        <v>0.28999999999999998</v>
      </c>
      <c r="D565" s="1">
        <v>0.49</v>
      </c>
      <c r="E565" s="1">
        <v>2.7</v>
      </c>
      <c r="F565" s="1">
        <v>9.1999999999999998E-2</v>
      </c>
      <c r="G565" s="1">
        <v>25</v>
      </c>
      <c r="H565" s="1">
        <v>60</v>
      </c>
      <c r="I565" s="1">
        <v>0.99709999999999999</v>
      </c>
      <c r="J565" s="1">
        <v>3.31</v>
      </c>
      <c r="K565" s="1">
        <v>0.61</v>
      </c>
      <c r="L565" s="1">
        <v>10.1</v>
      </c>
      <c r="M565" s="2">
        <v>6</v>
      </c>
      <c r="N565" s="2" t="str" cm="1">
        <f t="array" ref="N565">_xlfn.IFS(Table1[[#This Row],[quality]]&lt;=4,"Low",Table1[[#This Row],[quality]]&lt;=6,"Medium",Table1[[#This Row],[quality]]&gt;=7,"High")</f>
        <v>Medium</v>
      </c>
      <c r="O565" s="2" t="str">
        <f>IF(AND(Table1[[#This Row],[fixed acidity]]&gt;Sheet1!$C$4,Table1[[#This Row],[pH]]&lt;Sheet1!$K$4),"High","Normal")</f>
        <v>Normal</v>
      </c>
      <c r="P565" s="1">
        <f>(Table1[[#This Row],[alcohol]]*2)+(Table1[[#This Row],[sulphates]]*1.5)-(Table1[[#This Row],[volatile acidity]]*2)</f>
        <v>20.535</v>
      </c>
      <c r="Q565" s="1">
        <f>RANK(Table1[[#This Row],[Quality_score_index]],Table1[Quality_score_index],0)</f>
        <v>750</v>
      </c>
      <c r="R565" s="1">
        <f>Table1[[#This Row],[total sulfur dioxide]]-Table1[[#This Row],[free sulfur dioxide]]</f>
        <v>35</v>
      </c>
      <c r="S565" s="1" t="str">
        <f>IF(AND(Table1[[#This Row],[pH]]&gt;=3.2,Table1[[#This Row],[alcohol]]&gt;=10),"White wine","Red wine")</f>
        <v>White wine</v>
      </c>
    </row>
    <row r="566" spans="1:19" x14ac:dyDescent="0.3">
      <c r="A566" s="13">
        <v>565</v>
      </c>
      <c r="B566" s="1">
        <v>13</v>
      </c>
      <c r="C566" s="1">
        <v>0.47</v>
      </c>
      <c r="D566" s="1">
        <v>0.49</v>
      </c>
      <c r="E566" s="1">
        <v>4.3</v>
      </c>
      <c r="F566" s="1">
        <v>8.5000000000000006E-2</v>
      </c>
      <c r="G566" s="1">
        <v>6</v>
      </c>
      <c r="H566" s="1">
        <v>47</v>
      </c>
      <c r="I566" s="1">
        <v>1.0021</v>
      </c>
      <c r="J566" s="1">
        <v>3.3</v>
      </c>
      <c r="K566" s="1">
        <v>0.68</v>
      </c>
      <c r="L566" s="1">
        <v>12.7</v>
      </c>
      <c r="M566" s="2">
        <v>6</v>
      </c>
      <c r="N566" s="2" t="str" cm="1">
        <f t="array" ref="N566">_xlfn.IFS(Table1[[#This Row],[quality]]&lt;=4,"Low",Table1[[#This Row],[quality]]&lt;=6,"Medium",Table1[[#This Row],[quality]]&gt;=7,"High")</f>
        <v>Medium</v>
      </c>
      <c r="O566" s="2" t="str">
        <f>IF(AND(Table1[[#This Row],[fixed acidity]]&gt;Sheet1!$C$4,Table1[[#This Row],[pH]]&lt;Sheet1!$K$4),"High","Normal")</f>
        <v>High</v>
      </c>
      <c r="P566" s="1">
        <f>(Table1[[#This Row],[alcohol]]*2)+(Table1[[#This Row],[sulphates]]*1.5)-(Table1[[#This Row],[volatile acidity]]*2)</f>
        <v>25.479999999999997</v>
      </c>
      <c r="Q566" s="1">
        <f>RANK(Table1[[#This Row],[Quality_score_index]],Table1[Quality_score_index],0)</f>
        <v>55</v>
      </c>
      <c r="R566" s="1">
        <f>Table1[[#This Row],[total sulfur dioxide]]-Table1[[#This Row],[free sulfur dioxide]]</f>
        <v>41</v>
      </c>
      <c r="S566" s="1" t="str">
        <f>IF(AND(Table1[[#This Row],[pH]]&gt;=3.2,Table1[[#This Row],[alcohol]]&gt;=10),"White wine","Red wine")</f>
        <v>White wine</v>
      </c>
    </row>
    <row r="567" spans="1:19" x14ac:dyDescent="0.3">
      <c r="A567" s="13">
        <v>566</v>
      </c>
      <c r="B567" s="1">
        <v>12.7</v>
      </c>
      <c r="C567" s="1">
        <v>0.6</v>
      </c>
      <c r="D567" s="1">
        <v>0.49</v>
      </c>
      <c r="E567" s="1">
        <v>2.8</v>
      </c>
      <c r="F567" s="1">
        <v>7.4999999999999997E-2</v>
      </c>
      <c r="G567" s="1">
        <v>5</v>
      </c>
      <c r="H567" s="1">
        <v>19</v>
      </c>
      <c r="I567" s="1">
        <v>0.99939999999999996</v>
      </c>
      <c r="J567" s="1">
        <v>3.14</v>
      </c>
      <c r="K567" s="1">
        <v>0.56999999999999995</v>
      </c>
      <c r="L567" s="1">
        <v>11.4</v>
      </c>
      <c r="M567" s="2">
        <v>5</v>
      </c>
      <c r="N567" s="2" t="str" cm="1">
        <f t="array" ref="N567">_xlfn.IFS(Table1[[#This Row],[quality]]&lt;=4,"Low",Table1[[#This Row],[quality]]&lt;=6,"Medium",Table1[[#This Row],[quality]]&gt;=7,"High")</f>
        <v>Medium</v>
      </c>
      <c r="O567" s="2" t="str">
        <f>IF(AND(Table1[[#This Row],[fixed acidity]]&gt;Sheet1!$C$4,Table1[[#This Row],[pH]]&lt;Sheet1!$K$4),"High","Normal")</f>
        <v>High</v>
      </c>
      <c r="P567" s="1">
        <f>(Table1[[#This Row],[alcohol]]*2)+(Table1[[#This Row],[sulphates]]*1.5)-(Table1[[#This Row],[volatile acidity]]*2)</f>
        <v>22.455000000000002</v>
      </c>
      <c r="Q567" s="1">
        <f>RANK(Table1[[#This Row],[Quality_score_index]],Table1[Quality_score_index],0)</f>
        <v>378</v>
      </c>
      <c r="R567" s="1">
        <f>Table1[[#This Row],[total sulfur dioxide]]-Table1[[#This Row],[free sulfur dioxide]]</f>
        <v>14</v>
      </c>
      <c r="S567" s="1" t="str">
        <f>IF(AND(Table1[[#This Row],[pH]]&gt;=3.2,Table1[[#This Row],[alcohol]]&gt;=10),"White wine","Red wine")</f>
        <v>Red wine</v>
      </c>
    </row>
    <row r="568" spans="1:19" x14ac:dyDescent="0.3">
      <c r="A568" s="13">
        <v>567</v>
      </c>
      <c r="B568" s="1">
        <v>8.6999999999999993</v>
      </c>
      <c r="C568" s="1">
        <v>0.7</v>
      </c>
      <c r="D568" s="1">
        <v>0.24</v>
      </c>
      <c r="E568" s="1">
        <v>2.5</v>
      </c>
      <c r="F568" s="1">
        <v>0.22600000000000001</v>
      </c>
      <c r="G568" s="1">
        <v>5</v>
      </c>
      <c r="H568" s="1">
        <v>15</v>
      </c>
      <c r="I568" s="1">
        <v>0.99909999999999999</v>
      </c>
      <c r="J568" s="1">
        <v>3.32</v>
      </c>
      <c r="K568" s="1">
        <v>0.6</v>
      </c>
      <c r="L568" s="1">
        <v>9</v>
      </c>
      <c r="M568" s="2">
        <v>6</v>
      </c>
      <c r="N568" s="2" t="str" cm="1">
        <f t="array" ref="N568">_xlfn.IFS(Table1[[#This Row],[quality]]&lt;=4,"Low",Table1[[#This Row],[quality]]&lt;=6,"Medium",Table1[[#This Row],[quality]]&gt;=7,"High")</f>
        <v>Medium</v>
      </c>
      <c r="O568" s="2" t="str">
        <f>IF(AND(Table1[[#This Row],[fixed acidity]]&gt;Sheet1!$C$4,Table1[[#This Row],[pH]]&lt;Sheet1!$K$4),"High","Normal")</f>
        <v>Normal</v>
      </c>
      <c r="P568" s="1">
        <f>(Table1[[#This Row],[alcohol]]*2)+(Table1[[#This Row],[sulphates]]*1.5)-(Table1[[#This Row],[volatile acidity]]*2)</f>
        <v>17.5</v>
      </c>
      <c r="Q568" s="1">
        <f>RANK(Table1[[#This Row],[Quality_score_index]],Table1[Quality_score_index],0)</f>
        <v>1584</v>
      </c>
      <c r="R568" s="1">
        <f>Table1[[#This Row],[total sulfur dioxide]]-Table1[[#This Row],[free sulfur dioxide]]</f>
        <v>10</v>
      </c>
      <c r="S568" s="1" t="str">
        <f>IF(AND(Table1[[#This Row],[pH]]&gt;=3.2,Table1[[#This Row],[alcohol]]&gt;=10),"White wine","Red wine")</f>
        <v>Red wine</v>
      </c>
    </row>
    <row r="569" spans="1:19" x14ac:dyDescent="0.3">
      <c r="A569" s="13">
        <v>568</v>
      </c>
      <c r="B569" s="1">
        <v>8.6999999999999993</v>
      </c>
      <c r="C569" s="1">
        <v>0.7</v>
      </c>
      <c r="D569" s="1">
        <v>0.24</v>
      </c>
      <c r="E569" s="1">
        <v>2.5</v>
      </c>
      <c r="F569" s="1">
        <v>0.22600000000000001</v>
      </c>
      <c r="G569" s="1">
        <v>5</v>
      </c>
      <c r="H569" s="1">
        <v>15</v>
      </c>
      <c r="I569" s="1">
        <v>0.99909999999999999</v>
      </c>
      <c r="J569" s="1">
        <v>3.32</v>
      </c>
      <c r="K569" s="1">
        <v>0.6</v>
      </c>
      <c r="L569" s="1">
        <v>9</v>
      </c>
      <c r="M569" s="2">
        <v>6</v>
      </c>
      <c r="N569" s="2" t="str" cm="1">
        <f t="array" ref="N569">_xlfn.IFS(Table1[[#This Row],[quality]]&lt;=4,"Low",Table1[[#This Row],[quality]]&lt;=6,"Medium",Table1[[#This Row],[quality]]&gt;=7,"High")</f>
        <v>Medium</v>
      </c>
      <c r="O569" s="2" t="str">
        <f>IF(AND(Table1[[#This Row],[fixed acidity]]&gt;Sheet1!$C$4,Table1[[#This Row],[pH]]&lt;Sheet1!$K$4),"High","Normal")</f>
        <v>Normal</v>
      </c>
      <c r="P569" s="1">
        <f>(Table1[[#This Row],[alcohol]]*2)+(Table1[[#This Row],[sulphates]]*1.5)-(Table1[[#This Row],[volatile acidity]]*2)</f>
        <v>17.5</v>
      </c>
      <c r="Q569" s="1">
        <f>RANK(Table1[[#This Row],[Quality_score_index]],Table1[Quality_score_index],0)</f>
        <v>1584</v>
      </c>
      <c r="R569" s="1">
        <f>Table1[[#This Row],[total sulfur dioxide]]-Table1[[#This Row],[free sulfur dioxide]]</f>
        <v>10</v>
      </c>
      <c r="S569" s="1" t="str">
        <f>IF(AND(Table1[[#This Row],[pH]]&gt;=3.2,Table1[[#This Row],[alcohol]]&gt;=10),"White wine","Red wine")</f>
        <v>Red wine</v>
      </c>
    </row>
    <row r="570" spans="1:19" x14ac:dyDescent="0.3">
      <c r="A570" s="13">
        <v>569</v>
      </c>
      <c r="B570" s="1">
        <v>9.8000000000000007</v>
      </c>
      <c r="C570" s="1">
        <v>0.5</v>
      </c>
      <c r="D570" s="1">
        <v>0.49</v>
      </c>
      <c r="E570" s="1">
        <v>2.6</v>
      </c>
      <c r="F570" s="1">
        <v>0.25</v>
      </c>
      <c r="G570" s="1">
        <v>5</v>
      </c>
      <c r="H570" s="1">
        <v>20</v>
      </c>
      <c r="I570" s="1">
        <v>0.999</v>
      </c>
      <c r="J570" s="1">
        <v>3.31</v>
      </c>
      <c r="K570" s="1">
        <v>0.79</v>
      </c>
      <c r="L570" s="1">
        <v>10.7</v>
      </c>
      <c r="M570" s="2">
        <v>6</v>
      </c>
      <c r="N570" s="2" t="str" cm="1">
        <f t="array" ref="N570">_xlfn.IFS(Table1[[#This Row],[quality]]&lt;=4,"Low",Table1[[#This Row],[quality]]&lt;=6,"Medium",Table1[[#This Row],[quality]]&gt;=7,"High")</f>
        <v>Medium</v>
      </c>
      <c r="O570" s="2" t="str">
        <f>IF(AND(Table1[[#This Row],[fixed acidity]]&gt;Sheet1!$C$4,Table1[[#This Row],[pH]]&lt;Sheet1!$K$4),"High","Normal")</f>
        <v>High</v>
      </c>
      <c r="P570" s="1">
        <f>(Table1[[#This Row],[alcohol]]*2)+(Table1[[#This Row],[sulphates]]*1.5)-(Table1[[#This Row],[volatile acidity]]*2)</f>
        <v>21.584999999999997</v>
      </c>
      <c r="Q570" s="1">
        <f>RANK(Table1[[#This Row],[Quality_score_index]],Table1[Quality_score_index],0)</f>
        <v>530</v>
      </c>
      <c r="R570" s="1">
        <f>Table1[[#This Row],[total sulfur dioxide]]-Table1[[#This Row],[free sulfur dioxide]]</f>
        <v>15</v>
      </c>
      <c r="S570" s="1" t="str">
        <f>IF(AND(Table1[[#This Row],[pH]]&gt;=3.2,Table1[[#This Row],[alcohol]]&gt;=10),"White wine","Red wine")</f>
        <v>White wine</v>
      </c>
    </row>
    <row r="571" spans="1:19" x14ac:dyDescent="0.3">
      <c r="A571" s="13">
        <v>570</v>
      </c>
      <c r="B571" s="1">
        <v>6.2</v>
      </c>
      <c r="C571" s="1">
        <v>0.36</v>
      </c>
      <c r="D571" s="1">
        <v>0.24</v>
      </c>
      <c r="E571" s="1">
        <v>2.2000000000000002</v>
      </c>
      <c r="F571" s="1">
        <v>9.5000000000000001E-2</v>
      </c>
      <c r="G571" s="1">
        <v>19</v>
      </c>
      <c r="H571" s="1">
        <v>42</v>
      </c>
      <c r="I571" s="1">
        <v>0.99460000000000004</v>
      </c>
      <c r="J571" s="1">
        <v>3.57</v>
      </c>
      <c r="K571" s="1">
        <v>0.56999999999999995</v>
      </c>
      <c r="L571" s="1">
        <v>11.7</v>
      </c>
      <c r="M571" s="2">
        <v>6</v>
      </c>
      <c r="N571" s="2" t="str" cm="1">
        <f t="array" ref="N571">_xlfn.IFS(Table1[[#This Row],[quality]]&lt;=4,"Low",Table1[[#This Row],[quality]]&lt;=6,"Medium",Table1[[#This Row],[quality]]&gt;=7,"High")</f>
        <v>Medium</v>
      </c>
      <c r="O571" s="2" t="str">
        <f>IF(AND(Table1[[#This Row],[fixed acidity]]&gt;Sheet1!$C$4,Table1[[#This Row],[pH]]&lt;Sheet1!$K$4),"High","Normal")</f>
        <v>Normal</v>
      </c>
      <c r="P571" s="1">
        <f>(Table1[[#This Row],[alcohol]]*2)+(Table1[[#This Row],[sulphates]]*1.5)-(Table1[[#This Row],[volatile acidity]]*2)</f>
        <v>23.535</v>
      </c>
      <c r="Q571" s="1">
        <f>RANK(Table1[[#This Row],[Quality_score_index]],Table1[Quality_score_index],0)</f>
        <v>214</v>
      </c>
      <c r="R571" s="1">
        <f>Table1[[#This Row],[total sulfur dioxide]]-Table1[[#This Row],[free sulfur dioxide]]</f>
        <v>23</v>
      </c>
      <c r="S571" s="1" t="str">
        <f>IF(AND(Table1[[#This Row],[pH]]&gt;=3.2,Table1[[#This Row],[alcohol]]&gt;=10),"White wine","Red wine")</f>
        <v>White wine</v>
      </c>
    </row>
    <row r="572" spans="1:19" x14ac:dyDescent="0.3">
      <c r="A572" s="13">
        <v>571</v>
      </c>
      <c r="B572" s="1">
        <v>11.5</v>
      </c>
      <c r="C572" s="1">
        <v>0.35</v>
      </c>
      <c r="D572" s="1">
        <v>0.49</v>
      </c>
      <c r="E572" s="1">
        <v>3.3</v>
      </c>
      <c r="F572" s="1">
        <v>7.0000000000000007E-2</v>
      </c>
      <c r="G572" s="1">
        <v>10</v>
      </c>
      <c r="H572" s="1">
        <v>37</v>
      </c>
      <c r="I572" s="1">
        <v>1.0003</v>
      </c>
      <c r="J572" s="1">
        <v>3.32</v>
      </c>
      <c r="K572" s="1">
        <v>0.91</v>
      </c>
      <c r="L572" s="1">
        <v>11</v>
      </c>
      <c r="M572" s="2">
        <v>6</v>
      </c>
      <c r="N572" s="2" t="str" cm="1">
        <f t="array" ref="N572">_xlfn.IFS(Table1[[#This Row],[quality]]&lt;=4,"Low",Table1[[#This Row],[quality]]&lt;=6,"Medium",Table1[[#This Row],[quality]]&gt;=7,"High")</f>
        <v>Medium</v>
      </c>
      <c r="O572" s="2" t="str">
        <f>IF(AND(Table1[[#This Row],[fixed acidity]]&gt;Sheet1!$C$4,Table1[[#This Row],[pH]]&lt;Sheet1!$K$4),"High","Normal")</f>
        <v>Normal</v>
      </c>
      <c r="P572" s="1">
        <f>(Table1[[#This Row],[alcohol]]*2)+(Table1[[#This Row],[sulphates]]*1.5)-(Table1[[#This Row],[volatile acidity]]*2)</f>
        <v>22.664999999999999</v>
      </c>
      <c r="Q572" s="1">
        <f>RANK(Table1[[#This Row],[Quality_score_index]],Table1[Quality_score_index],0)</f>
        <v>331</v>
      </c>
      <c r="R572" s="1">
        <f>Table1[[#This Row],[total sulfur dioxide]]-Table1[[#This Row],[free sulfur dioxide]]</f>
        <v>27</v>
      </c>
      <c r="S572" s="1" t="str">
        <f>IF(AND(Table1[[#This Row],[pH]]&gt;=3.2,Table1[[#This Row],[alcohol]]&gt;=10),"White wine","Red wine")</f>
        <v>White wine</v>
      </c>
    </row>
    <row r="573" spans="1:19" x14ac:dyDescent="0.3">
      <c r="A573" s="13">
        <v>572</v>
      </c>
      <c r="B573" s="1">
        <v>6.2</v>
      </c>
      <c r="C573" s="1">
        <v>0.36</v>
      </c>
      <c r="D573" s="1">
        <v>0.24</v>
      </c>
      <c r="E573" s="1">
        <v>2.2000000000000002</v>
      </c>
      <c r="F573" s="1">
        <v>9.5000000000000001E-2</v>
      </c>
      <c r="G573" s="1">
        <v>19</v>
      </c>
      <c r="H573" s="1">
        <v>42</v>
      </c>
      <c r="I573" s="1">
        <v>0.99460000000000004</v>
      </c>
      <c r="J573" s="1">
        <v>3.57</v>
      </c>
      <c r="K573" s="1">
        <v>0.56999999999999995</v>
      </c>
      <c r="L573" s="1">
        <v>11.7</v>
      </c>
      <c r="M573" s="2">
        <v>6</v>
      </c>
      <c r="N573" s="2" t="str" cm="1">
        <f t="array" ref="N573">_xlfn.IFS(Table1[[#This Row],[quality]]&lt;=4,"Low",Table1[[#This Row],[quality]]&lt;=6,"Medium",Table1[[#This Row],[quality]]&gt;=7,"High")</f>
        <v>Medium</v>
      </c>
      <c r="O573" s="2" t="str">
        <f>IF(AND(Table1[[#This Row],[fixed acidity]]&gt;Sheet1!$C$4,Table1[[#This Row],[pH]]&lt;Sheet1!$K$4),"High","Normal")</f>
        <v>Normal</v>
      </c>
      <c r="P573" s="1">
        <f>(Table1[[#This Row],[alcohol]]*2)+(Table1[[#This Row],[sulphates]]*1.5)-(Table1[[#This Row],[volatile acidity]]*2)</f>
        <v>23.535</v>
      </c>
      <c r="Q573" s="1">
        <f>RANK(Table1[[#This Row],[Quality_score_index]],Table1[Quality_score_index],0)</f>
        <v>214</v>
      </c>
      <c r="R573" s="1">
        <f>Table1[[#This Row],[total sulfur dioxide]]-Table1[[#This Row],[free sulfur dioxide]]</f>
        <v>23</v>
      </c>
      <c r="S573" s="1" t="str">
        <f>IF(AND(Table1[[#This Row],[pH]]&gt;=3.2,Table1[[#This Row],[alcohol]]&gt;=10),"White wine","Red wine")</f>
        <v>White wine</v>
      </c>
    </row>
    <row r="574" spans="1:19" x14ac:dyDescent="0.3">
      <c r="A574" s="13">
        <v>573</v>
      </c>
      <c r="B574" s="1">
        <v>10.199999999999999</v>
      </c>
      <c r="C574" s="1">
        <v>0.24</v>
      </c>
      <c r="D574" s="1">
        <v>0.49</v>
      </c>
      <c r="E574" s="1">
        <v>2.4</v>
      </c>
      <c r="F574" s="1">
        <v>7.4999999999999997E-2</v>
      </c>
      <c r="G574" s="1">
        <v>10</v>
      </c>
      <c r="H574" s="1">
        <v>28</v>
      </c>
      <c r="I574" s="1">
        <v>0.99780000000000002</v>
      </c>
      <c r="J574" s="1">
        <v>3.14</v>
      </c>
      <c r="K574" s="1">
        <v>0.61</v>
      </c>
      <c r="L574" s="1">
        <v>10.4</v>
      </c>
      <c r="M574" s="2">
        <v>5</v>
      </c>
      <c r="N574" s="2" t="str" cm="1">
        <f t="array" ref="N574">_xlfn.IFS(Table1[[#This Row],[quality]]&lt;=4,"Low",Table1[[#This Row],[quality]]&lt;=6,"Medium",Table1[[#This Row],[quality]]&gt;=7,"High")</f>
        <v>Medium</v>
      </c>
      <c r="O574" s="2" t="str">
        <f>IF(AND(Table1[[#This Row],[fixed acidity]]&gt;Sheet1!$C$4,Table1[[#This Row],[pH]]&lt;Sheet1!$K$4),"High","Normal")</f>
        <v>High</v>
      </c>
      <c r="P574" s="1">
        <f>(Table1[[#This Row],[alcohol]]*2)+(Table1[[#This Row],[sulphates]]*1.5)-(Table1[[#This Row],[volatile acidity]]*2)</f>
        <v>21.234999999999999</v>
      </c>
      <c r="Q574" s="1">
        <f>RANK(Table1[[#This Row],[Quality_score_index]],Table1[Quality_score_index],0)</f>
        <v>592</v>
      </c>
      <c r="R574" s="1">
        <f>Table1[[#This Row],[total sulfur dioxide]]-Table1[[#This Row],[free sulfur dioxide]]</f>
        <v>18</v>
      </c>
      <c r="S574" s="1" t="str">
        <f>IF(AND(Table1[[#This Row],[pH]]&gt;=3.2,Table1[[#This Row],[alcohol]]&gt;=10),"White wine","Red wine")</f>
        <v>Red wine</v>
      </c>
    </row>
    <row r="575" spans="1:19" x14ac:dyDescent="0.3">
      <c r="A575" s="13">
        <v>574</v>
      </c>
      <c r="B575" s="1">
        <v>10.5</v>
      </c>
      <c r="C575" s="1">
        <v>0.59</v>
      </c>
      <c r="D575" s="1">
        <v>0.49</v>
      </c>
      <c r="E575" s="1">
        <v>2.1</v>
      </c>
      <c r="F575" s="1">
        <v>7.0000000000000007E-2</v>
      </c>
      <c r="G575" s="1">
        <v>14</v>
      </c>
      <c r="H575" s="1">
        <v>47</v>
      </c>
      <c r="I575" s="1">
        <v>0.99909999999999999</v>
      </c>
      <c r="J575" s="1">
        <v>3.3</v>
      </c>
      <c r="K575" s="1">
        <v>0.56000000000000005</v>
      </c>
      <c r="L575" s="1">
        <v>9.6</v>
      </c>
      <c r="M575" s="2">
        <v>4</v>
      </c>
      <c r="N575" s="2" t="str" cm="1">
        <f t="array" ref="N575">_xlfn.IFS(Table1[[#This Row],[quality]]&lt;=4,"Low",Table1[[#This Row],[quality]]&lt;=6,"Medium",Table1[[#This Row],[quality]]&gt;=7,"High")</f>
        <v>Low</v>
      </c>
      <c r="O575" s="2" t="str">
        <f>IF(AND(Table1[[#This Row],[fixed acidity]]&gt;Sheet1!$C$4,Table1[[#This Row],[pH]]&lt;Sheet1!$K$4),"High","Normal")</f>
        <v>High</v>
      </c>
      <c r="P575" s="1">
        <f>(Table1[[#This Row],[alcohol]]*2)+(Table1[[#This Row],[sulphates]]*1.5)-(Table1[[#This Row],[volatile acidity]]*2)</f>
        <v>18.86</v>
      </c>
      <c r="Q575" s="1">
        <f>RANK(Table1[[#This Row],[Quality_score_index]],Table1[Quality_score_index],0)</f>
        <v>1222</v>
      </c>
      <c r="R575" s="1">
        <f>Table1[[#This Row],[total sulfur dioxide]]-Table1[[#This Row],[free sulfur dioxide]]</f>
        <v>33</v>
      </c>
      <c r="S575" s="1" t="str">
        <f>IF(AND(Table1[[#This Row],[pH]]&gt;=3.2,Table1[[#This Row],[alcohol]]&gt;=10),"White wine","Red wine")</f>
        <v>Red wine</v>
      </c>
    </row>
    <row r="576" spans="1:19" x14ac:dyDescent="0.3">
      <c r="A576" s="13">
        <v>575</v>
      </c>
      <c r="B576" s="1">
        <v>10.6</v>
      </c>
      <c r="C576" s="1">
        <v>0.34</v>
      </c>
      <c r="D576" s="1">
        <v>0.49</v>
      </c>
      <c r="E576" s="1">
        <v>3.2</v>
      </c>
      <c r="F576" s="1">
        <v>7.8E-2</v>
      </c>
      <c r="G576" s="1">
        <v>20</v>
      </c>
      <c r="H576" s="1">
        <v>78</v>
      </c>
      <c r="I576" s="1">
        <v>0.99919999999999998</v>
      </c>
      <c r="J576" s="1">
        <v>3.19</v>
      </c>
      <c r="K576" s="1">
        <v>0.7</v>
      </c>
      <c r="L576" s="1">
        <v>10</v>
      </c>
      <c r="M576" s="2">
        <v>6</v>
      </c>
      <c r="N576" s="2" t="str" cm="1">
        <f t="array" ref="N576">_xlfn.IFS(Table1[[#This Row],[quality]]&lt;=4,"Low",Table1[[#This Row],[quality]]&lt;=6,"Medium",Table1[[#This Row],[quality]]&gt;=7,"High")</f>
        <v>Medium</v>
      </c>
      <c r="O576" s="2" t="str">
        <f>IF(AND(Table1[[#This Row],[fixed acidity]]&gt;Sheet1!$C$4,Table1[[#This Row],[pH]]&lt;Sheet1!$K$4),"High","Normal")</f>
        <v>High</v>
      </c>
      <c r="P576" s="1">
        <f>(Table1[[#This Row],[alcohol]]*2)+(Table1[[#This Row],[sulphates]]*1.5)-(Table1[[#This Row],[volatile acidity]]*2)</f>
        <v>20.37</v>
      </c>
      <c r="Q576" s="1">
        <f>RANK(Table1[[#This Row],[Quality_score_index]],Table1[Quality_score_index],0)</f>
        <v>775</v>
      </c>
      <c r="R576" s="1">
        <f>Table1[[#This Row],[total sulfur dioxide]]-Table1[[#This Row],[free sulfur dioxide]]</f>
        <v>58</v>
      </c>
      <c r="S576" s="1" t="str">
        <f>IF(AND(Table1[[#This Row],[pH]]&gt;=3.2,Table1[[#This Row],[alcohol]]&gt;=10),"White wine","Red wine")</f>
        <v>Red wine</v>
      </c>
    </row>
    <row r="577" spans="1:19" x14ac:dyDescent="0.3">
      <c r="A577" s="13">
        <v>576</v>
      </c>
      <c r="B577" s="1">
        <v>12.3</v>
      </c>
      <c r="C577" s="1">
        <v>0.27</v>
      </c>
      <c r="D577" s="1">
        <v>0.49</v>
      </c>
      <c r="E577" s="1">
        <v>3.1</v>
      </c>
      <c r="F577" s="1">
        <v>7.9000000000000001E-2</v>
      </c>
      <c r="G577" s="1">
        <v>28</v>
      </c>
      <c r="H577" s="1">
        <v>46</v>
      </c>
      <c r="I577" s="1">
        <v>0.99929999999999997</v>
      </c>
      <c r="J577" s="1">
        <v>3.2</v>
      </c>
      <c r="K577" s="1">
        <v>0.8</v>
      </c>
      <c r="L577" s="1">
        <v>10.199999999999999</v>
      </c>
      <c r="M577" s="2">
        <v>6</v>
      </c>
      <c r="N577" s="2" t="str" cm="1">
        <f t="array" ref="N577">_xlfn.IFS(Table1[[#This Row],[quality]]&lt;=4,"Low",Table1[[#This Row],[quality]]&lt;=6,"Medium",Table1[[#This Row],[quality]]&gt;=7,"High")</f>
        <v>Medium</v>
      </c>
      <c r="O577" s="2" t="str">
        <f>IF(AND(Table1[[#This Row],[fixed acidity]]&gt;Sheet1!$C$4,Table1[[#This Row],[pH]]&lt;Sheet1!$K$4),"High","Normal")</f>
        <v>High</v>
      </c>
      <c r="P577" s="1">
        <f>(Table1[[#This Row],[alcohol]]*2)+(Table1[[#This Row],[sulphates]]*1.5)-(Table1[[#This Row],[volatile acidity]]*2)</f>
        <v>21.06</v>
      </c>
      <c r="Q577" s="1">
        <f>RANK(Table1[[#This Row],[Quality_score_index]],Table1[Quality_score_index],0)</f>
        <v>640</v>
      </c>
      <c r="R577" s="1">
        <f>Table1[[#This Row],[total sulfur dioxide]]-Table1[[#This Row],[free sulfur dioxide]]</f>
        <v>18</v>
      </c>
      <c r="S577" s="1" t="str">
        <f>IF(AND(Table1[[#This Row],[pH]]&gt;=3.2,Table1[[#This Row],[alcohol]]&gt;=10),"White wine","Red wine")</f>
        <v>White wine</v>
      </c>
    </row>
    <row r="578" spans="1:19" x14ac:dyDescent="0.3">
      <c r="A578" s="13">
        <v>577</v>
      </c>
      <c r="B578" s="1">
        <v>9.9</v>
      </c>
      <c r="C578" s="1">
        <v>0.5</v>
      </c>
      <c r="D578" s="1">
        <v>0.24</v>
      </c>
      <c r="E578" s="1">
        <v>2.2999999999999998</v>
      </c>
      <c r="F578" s="1">
        <v>0.10299999999999999</v>
      </c>
      <c r="G578" s="1">
        <v>6</v>
      </c>
      <c r="H578" s="1">
        <v>14</v>
      </c>
      <c r="I578" s="1">
        <v>0.99780000000000002</v>
      </c>
      <c r="J578" s="1">
        <v>3.34</v>
      </c>
      <c r="K578" s="1">
        <v>0.52</v>
      </c>
      <c r="L578" s="1">
        <v>10</v>
      </c>
      <c r="M578" s="2">
        <v>4</v>
      </c>
      <c r="N578" s="2" t="str" cm="1">
        <f t="array" ref="N578">_xlfn.IFS(Table1[[#This Row],[quality]]&lt;=4,"Low",Table1[[#This Row],[quality]]&lt;=6,"Medium",Table1[[#This Row],[quality]]&gt;=7,"High")</f>
        <v>Low</v>
      </c>
      <c r="O578" s="2" t="str">
        <f>IF(AND(Table1[[#This Row],[fixed acidity]]&gt;Sheet1!$C$4,Table1[[#This Row],[pH]]&lt;Sheet1!$K$4),"High","Normal")</f>
        <v>Normal</v>
      </c>
      <c r="P578" s="1">
        <f>(Table1[[#This Row],[alcohol]]*2)+(Table1[[#This Row],[sulphates]]*1.5)-(Table1[[#This Row],[volatile acidity]]*2)</f>
        <v>19.78</v>
      </c>
      <c r="Q578" s="1">
        <f>RANK(Table1[[#This Row],[Quality_score_index]],Table1[Quality_score_index],0)</f>
        <v>910</v>
      </c>
      <c r="R578" s="1">
        <f>Table1[[#This Row],[total sulfur dioxide]]-Table1[[#This Row],[free sulfur dioxide]]</f>
        <v>8</v>
      </c>
      <c r="S578" s="1" t="str">
        <f>IF(AND(Table1[[#This Row],[pH]]&gt;=3.2,Table1[[#This Row],[alcohol]]&gt;=10),"White wine","Red wine")</f>
        <v>White wine</v>
      </c>
    </row>
    <row r="579" spans="1:19" x14ac:dyDescent="0.3">
      <c r="A579" s="13">
        <v>578</v>
      </c>
      <c r="B579" s="1">
        <v>8.8000000000000007</v>
      </c>
      <c r="C579" s="1">
        <v>0.44</v>
      </c>
      <c r="D579" s="1">
        <v>0.49</v>
      </c>
      <c r="E579" s="1">
        <v>2.8</v>
      </c>
      <c r="F579" s="1">
        <v>8.3000000000000004E-2</v>
      </c>
      <c r="G579" s="1">
        <v>18</v>
      </c>
      <c r="H579" s="1">
        <v>111</v>
      </c>
      <c r="I579" s="1">
        <v>0.99819999999999998</v>
      </c>
      <c r="J579" s="1">
        <v>3.3</v>
      </c>
      <c r="K579" s="1">
        <v>0.6</v>
      </c>
      <c r="L579" s="1">
        <v>9.5</v>
      </c>
      <c r="M579" s="2">
        <v>5</v>
      </c>
      <c r="N579" s="2" t="str" cm="1">
        <f t="array" ref="N579">_xlfn.IFS(Table1[[#This Row],[quality]]&lt;=4,"Low",Table1[[#This Row],[quality]]&lt;=6,"Medium",Table1[[#This Row],[quality]]&gt;=7,"High")</f>
        <v>Medium</v>
      </c>
      <c r="O579" s="2" t="str">
        <f>IF(AND(Table1[[#This Row],[fixed acidity]]&gt;Sheet1!$C$4,Table1[[#This Row],[pH]]&lt;Sheet1!$K$4),"High","Normal")</f>
        <v>High</v>
      </c>
      <c r="P579" s="1">
        <f>(Table1[[#This Row],[alcohol]]*2)+(Table1[[#This Row],[sulphates]]*1.5)-(Table1[[#This Row],[volatile acidity]]*2)</f>
        <v>19.02</v>
      </c>
      <c r="Q579" s="1">
        <f>RANK(Table1[[#This Row],[Quality_score_index]],Table1[Quality_score_index],0)</f>
        <v>1158</v>
      </c>
      <c r="R579" s="1">
        <f>Table1[[#This Row],[total sulfur dioxide]]-Table1[[#This Row],[free sulfur dioxide]]</f>
        <v>93</v>
      </c>
      <c r="S579" s="1" t="str">
        <f>IF(AND(Table1[[#This Row],[pH]]&gt;=3.2,Table1[[#This Row],[alcohol]]&gt;=10),"White wine","Red wine")</f>
        <v>Red wine</v>
      </c>
    </row>
    <row r="580" spans="1:19" x14ac:dyDescent="0.3">
      <c r="A580" s="13">
        <v>579</v>
      </c>
      <c r="B580" s="1">
        <v>8.8000000000000007</v>
      </c>
      <c r="C580" s="1">
        <v>0.47</v>
      </c>
      <c r="D580" s="1">
        <v>0.49</v>
      </c>
      <c r="E580" s="1">
        <v>2.9</v>
      </c>
      <c r="F580" s="1">
        <v>8.5000000000000006E-2</v>
      </c>
      <c r="G580" s="1">
        <v>17</v>
      </c>
      <c r="H580" s="1">
        <v>110</v>
      </c>
      <c r="I580" s="1">
        <v>0.99819999999999998</v>
      </c>
      <c r="J580" s="1">
        <v>3.29</v>
      </c>
      <c r="K580" s="1">
        <v>0.6</v>
      </c>
      <c r="L580" s="1">
        <v>9.8000000000000007</v>
      </c>
      <c r="M580" s="2">
        <v>5</v>
      </c>
      <c r="N580" s="2" t="str" cm="1">
        <f t="array" ref="N580">_xlfn.IFS(Table1[[#This Row],[quality]]&lt;=4,"Low",Table1[[#This Row],[quality]]&lt;=6,"Medium",Table1[[#This Row],[quality]]&gt;=7,"High")</f>
        <v>Medium</v>
      </c>
      <c r="O580" s="2" t="str">
        <f>IF(AND(Table1[[#This Row],[fixed acidity]]&gt;Sheet1!$C$4,Table1[[#This Row],[pH]]&lt;Sheet1!$K$4),"High","Normal")</f>
        <v>High</v>
      </c>
      <c r="P580" s="1">
        <f>(Table1[[#This Row],[alcohol]]*2)+(Table1[[#This Row],[sulphates]]*1.5)-(Table1[[#This Row],[volatile acidity]]*2)</f>
        <v>19.559999999999999</v>
      </c>
      <c r="Q580" s="1">
        <f>RANK(Table1[[#This Row],[Quality_score_index]],Table1[Quality_score_index],0)</f>
        <v>962</v>
      </c>
      <c r="R580" s="1">
        <f>Table1[[#This Row],[total sulfur dioxide]]-Table1[[#This Row],[free sulfur dioxide]]</f>
        <v>93</v>
      </c>
      <c r="S580" s="1" t="str">
        <f>IF(AND(Table1[[#This Row],[pH]]&gt;=3.2,Table1[[#This Row],[alcohol]]&gt;=10),"White wine","Red wine")</f>
        <v>Red wine</v>
      </c>
    </row>
    <row r="581" spans="1:19" x14ac:dyDescent="0.3">
      <c r="A581" s="13">
        <v>580</v>
      </c>
      <c r="B581" s="1">
        <v>10.6</v>
      </c>
      <c r="C581" s="1">
        <v>0.31</v>
      </c>
      <c r="D581" s="1">
        <v>0.49</v>
      </c>
      <c r="E581" s="1">
        <v>2.2000000000000002</v>
      </c>
      <c r="F581" s="1">
        <v>6.3E-2</v>
      </c>
      <c r="G581" s="1">
        <v>18</v>
      </c>
      <c r="H581" s="1">
        <v>40</v>
      </c>
      <c r="I581" s="1">
        <v>0.99760000000000004</v>
      </c>
      <c r="J581" s="1">
        <v>3.14</v>
      </c>
      <c r="K581" s="1">
        <v>0.51</v>
      </c>
      <c r="L581" s="1">
        <v>9.8000000000000007</v>
      </c>
      <c r="M581" s="2">
        <v>6</v>
      </c>
      <c r="N581" s="2" t="str" cm="1">
        <f t="array" ref="N581">_xlfn.IFS(Table1[[#This Row],[quality]]&lt;=4,"Low",Table1[[#This Row],[quality]]&lt;=6,"Medium",Table1[[#This Row],[quality]]&gt;=7,"High")</f>
        <v>Medium</v>
      </c>
      <c r="O581" s="2" t="str">
        <f>IF(AND(Table1[[#This Row],[fixed acidity]]&gt;Sheet1!$C$4,Table1[[#This Row],[pH]]&lt;Sheet1!$K$4),"High","Normal")</f>
        <v>High</v>
      </c>
      <c r="P581" s="1">
        <f>(Table1[[#This Row],[alcohol]]*2)+(Table1[[#This Row],[sulphates]]*1.5)-(Table1[[#This Row],[volatile acidity]]*2)</f>
        <v>19.745000000000001</v>
      </c>
      <c r="Q581" s="1">
        <f>RANK(Table1[[#This Row],[Quality_score_index]],Table1[Quality_score_index],0)</f>
        <v>917</v>
      </c>
      <c r="R581" s="1">
        <f>Table1[[#This Row],[total sulfur dioxide]]-Table1[[#This Row],[free sulfur dioxide]]</f>
        <v>22</v>
      </c>
      <c r="S581" s="1" t="str">
        <f>IF(AND(Table1[[#This Row],[pH]]&gt;=3.2,Table1[[#This Row],[alcohol]]&gt;=10),"White wine","Red wine")</f>
        <v>Red wine</v>
      </c>
    </row>
    <row r="582" spans="1:19" x14ac:dyDescent="0.3">
      <c r="A582" s="13">
        <v>581</v>
      </c>
      <c r="B582" s="1">
        <v>12.3</v>
      </c>
      <c r="C582" s="1">
        <v>0.5</v>
      </c>
      <c r="D582" s="1">
        <v>0.49</v>
      </c>
      <c r="E582" s="1">
        <v>2.2000000000000002</v>
      </c>
      <c r="F582" s="1">
        <v>8.8999999999999996E-2</v>
      </c>
      <c r="G582" s="1">
        <v>5</v>
      </c>
      <c r="H582" s="1">
        <v>14</v>
      </c>
      <c r="I582" s="1">
        <v>1.0002</v>
      </c>
      <c r="J582" s="1">
        <v>3.19</v>
      </c>
      <c r="K582" s="1">
        <v>0.44</v>
      </c>
      <c r="L582" s="1">
        <v>9.6</v>
      </c>
      <c r="M582" s="2">
        <v>5</v>
      </c>
      <c r="N582" s="2" t="str" cm="1">
        <f t="array" ref="N582">_xlfn.IFS(Table1[[#This Row],[quality]]&lt;=4,"Low",Table1[[#This Row],[quality]]&lt;=6,"Medium",Table1[[#This Row],[quality]]&gt;=7,"High")</f>
        <v>Medium</v>
      </c>
      <c r="O582" s="2" t="str">
        <f>IF(AND(Table1[[#This Row],[fixed acidity]]&gt;Sheet1!$C$4,Table1[[#This Row],[pH]]&lt;Sheet1!$K$4),"High","Normal")</f>
        <v>High</v>
      </c>
      <c r="P582" s="1">
        <f>(Table1[[#This Row],[alcohol]]*2)+(Table1[[#This Row],[sulphates]]*1.5)-(Table1[[#This Row],[volatile acidity]]*2)</f>
        <v>18.86</v>
      </c>
      <c r="Q582" s="1">
        <f>RANK(Table1[[#This Row],[Quality_score_index]],Table1[Quality_score_index],0)</f>
        <v>1222</v>
      </c>
      <c r="R582" s="1">
        <f>Table1[[#This Row],[total sulfur dioxide]]-Table1[[#This Row],[free sulfur dioxide]]</f>
        <v>9</v>
      </c>
      <c r="S582" s="1" t="str">
        <f>IF(AND(Table1[[#This Row],[pH]]&gt;=3.2,Table1[[#This Row],[alcohol]]&gt;=10),"White wine","Red wine")</f>
        <v>Red wine</v>
      </c>
    </row>
    <row r="583" spans="1:19" x14ac:dyDescent="0.3">
      <c r="A583" s="13">
        <v>582</v>
      </c>
      <c r="B583" s="1">
        <v>12.3</v>
      </c>
      <c r="C583" s="1">
        <v>0.5</v>
      </c>
      <c r="D583" s="1">
        <v>0.49</v>
      </c>
      <c r="E583" s="1">
        <v>2.2000000000000002</v>
      </c>
      <c r="F583" s="1">
        <v>8.8999999999999996E-2</v>
      </c>
      <c r="G583" s="1">
        <v>5</v>
      </c>
      <c r="H583" s="1">
        <v>14</v>
      </c>
      <c r="I583" s="1">
        <v>1.0002</v>
      </c>
      <c r="J583" s="1">
        <v>3.19</v>
      </c>
      <c r="K583" s="1">
        <v>0.44</v>
      </c>
      <c r="L583" s="1">
        <v>9.6</v>
      </c>
      <c r="M583" s="2">
        <v>5</v>
      </c>
      <c r="N583" s="2" t="str" cm="1">
        <f t="array" ref="N583">_xlfn.IFS(Table1[[#This Row],[quality]]&lt;=4,"Low",Table1[[#This Row],[quality]]&lt;=6,"Medium",Table1[[#This Row],[quality]]&gt;=7,"High")</f>
        <v>Medium</v>
      </c>
      <c r="O583" s="2" t="str">
        <f>IF(AND(Table1[[#This Row],[fixed acidity]]&gt;Sheet1!$C$4,Table1[[#This Row],[pH]]&lt;Sheet1!$K$4),"High","Normal")</f>
        <v>High</v>
      </c>
      <c r="P583" s="1">
        <f>(Table1[[#This Row],[alcohol]]*2)+(Table1[[#This Row],[sulphates]]*1.5)-(Table1[[#This Row],[volatile acidity]]*2)</f>
        <v>18.86</v>
      </c>
      <c r="Q583" s="1">
        <f>RANK(Table1[[#This Row],[Quality_score_index]],Table1[Quality_score_index],0)</f>
        <v>1222</v>
      </c>
      <c r="R583" s="1">
        <f>Table1[[#This Row],[total sulfur dioxide]]-Table1[[#This Row],[free sulfur dioxide]]</f>
        <v>9</v>
      </c>
      <c r="S583" s="1" t="str">
        <f>IF(AND(Table1[[#This Row],[pH]]&gt;=3.2,Table1[[#This Row],[alcohol]]&gt;=10),"White wine","Red wine")</f>
        <v>Red wine</v>
      </c>
    </row>
    <row r="584" spans="1:19" x14ac:dyDescent="0.3">
      <c r="A584" s="13">
        <v>583</v>
      </c>
      <c r="B584" s="1">
        <v>11.7</v>
      </c>
      <c r="C584" s="1">
        <v>0.49</v>
      </c>
      <c r="D584" s="1">
        <v>0.49</v>
      </c>
      <c r="E584" s="1">
        <v>2.2000000000000002</v>
      </c>
      <c r="F584" s="1">
        <v>8.3000000000000004E-2</v>
      </c>
      <c r="G584" s="1">
        <v>5</v>
      </c>
      <c r="H584" s="1">
        <v>15</v>
      </c>
      <c r="I584" s="1">
        <v>1</v>
      </c>
      <c r="J584" s="1">
        <v>3.19</v>
      </c>
      <c r="K584" s="1">
        <v>0.43</v>
      </c>
      <c r="L584" s="1">
        <v>9.1999999999999993</v>
      </c>
      <c r="M584" s="2">
        <v>5</v>
      </c>
      <c r="N584" s="2" t="str" cm="1">
        <f t="array" ref="N584">_xlfn.IFS(Table1[[#This Row],[quality]]&lt;=4,"Low",Table1[[#This Row],[quality]]&lt;=6,"Medium",Table1[[#This Row],[quality]]&gt;=7,"High")</f>
        <v>Medium</v>
      </c>
      <c r="O584" s="2" t="str">
        <f>IF(AND(Table1[[#This Row],[fixed acidity]]&gt;Sheet1!$C$4,Table1[[#This Row],[pH]]&lt;Sheet1!$K$4),"High","Normal")</f>
        <v>High</v>
      </c>
      <c r="P584" s="1">
        <f>(Table1[[#This Row],[alcohol]]*2)+(Table1[[#This Row],[sulphates]]*1.5)-(Table1[[#This Row],[volatile acidity]]*2)</f>
        <v>18.064999999999998</v>
      </c>
      <c r="Q584" s="1">
        <f>RANK(Table1[[#This Row],[Quality_score_index]],Table1[Quality_score_index],0)</f>
        <v>1510</v>
      </c>
      <c r="R584" s="1">
        <f>Table1[[#This Row],[total sulfur dioxide]]-Table1[[#This Row],[free sulfur dioxide]]</f>
        <v>10</v>
      </c>
      <c r="S584" s="1" t="str">
        <f>IF(AND(Table1[[#This Row],[pH]]&gt;=3.2,Table1[[#This Row],[alcohol]]&gt;=10),"White wine","Red wine")</f>
        <v>Red wine</v>
      </c>
    </row>
    <row r="585" spans="1:19" x14ac:dyDescent="0.3">
      <c r="A585" s="13">
        <v>584</v>
      </c>
      <c r="B585" s="1">
        <v>12</v>
      </c>
      <c r="C585" s="1">
        <v>0.28000000000000003</v>
      </c>
      <c r="D585" s="1">
        <v>0.49</v>
      </c>
      <c r="E585" s="1">
        <v>1.9</v>
      </c>
      <c r="F585" s="1">
        <v>7.3999999999999996E-2</v>
      </c>
      <c r="G585" s="1">
        <v>10</v>
      </c>
      <c r="H585" s="1">
        <v>21</v>
      </c>
      <c r="I585" s="1">
        <v>0.99760000000000004</v>
      </c>
      <c r="J585" s="1">
        <v>2.98</v>
      </c>
      <c r="K585" s="1">
        <v>0.66</v>
      </c>
      <c r="L585" s="1">
        <v>9.9</v>
      </c>
      <c r="M585" s="2">
        <v>7</v>
      </c>
      <c r="N585" s="2" t="str" cm="1">
        <f t="array" ref="N585">_xlfn.IFS(Table1[[#This Row],[quality]]&lt;=4,"Low",Table1[[#This Row],[quality]]&lt;=6,"Medium",Table1[[#This Row],[quality]]&gt;=7,"High")</f>
        <v>High</v>
      </c>
      <c r="O585" s="2" t="str">
        <f>IF(AND(Table1[[#This Row],[fixed acidity]]&gt;Sheet1!$C$4,Table1[[#This Row],[pH]]&lt;Sheet1!$K$4),"High","Normal")</f>
        <v>High</v>
      </c>
      <c r="P585" s="1">
        <f>(Table1[[#This Row],[alcohol]]*2)+(Table1[[#This Row],[sulphates]]*1.5)-(Table1[[#This Row],[volatile acidity]]*2)</f>
        <v>20.23</v>
      </c>
      <c r="Q585" s="1">
        <f>RANK(Table1[[#This Row],[Quality_score_index]],Table1[Quality_score_index],0)</f>
        <v>804</v>
      </c>
      <c r="R585" s="1">
        <f>Table1[[#This Row],[total sulfur dioxide]]-Table1[[#This Row],[free sulfur dioxide]]</f>
        <v>11</v>
      </c>
      <c r="S585" s="1" t="str">
        <f>IF(AND(Table1[[#This Row],[pH]]&gt;=3.2,Table1[[#This Row],[alcohol]]&gt;=10),"White wine","Red wine")</f>
        <v>Red wine</v>
      </c>
    </row>
    <row r="586" spans="1:19" x14ac:dyDescent="0.3">
      <c r="A586" s="13">
        <v>585</v>
      </c>
      <c r="B586" s="1">
        <v>11.8</v>
      </c>
      <c r="C586" s="1">
        <v>0.33</v>
      </c>
      <c r="D586" s="1">
        <v>0.49</v>
      </c>
      <c r="E586" s="1">
        <v>3.4</v>
      </c>
      <c r="F586" s="1">
        <v>9.2999999999999999E-2</v>
      </c>
      <c r="G586" s="1">
        <v>54</v>
      </c>
      <c r="H586" s="1">
        <v>80</v>
      </c>
      <c r="I586" s="1">
        <v>1.0002</v>
      </c>
      <c r="J586" s="1">
        <v>3.3</v>
      </c>
      <c r="K586" s="1">
        <v>0.76</v>
      </c>
      <c r="L586" s="1">
        <v>10.7</v>
      </c>
      <c r="M586" s="2">
        <v>7</v>
      </c>
      <c r="N586" s="2" t="str" cm="1">
        <f t="array" ref="N586">_xlfn.IFS(Table1[[#This Row],[quality]]&lt;=4,"Low",Table1[[#This Row],[quality]]&lt;=6,"Medium",Table1[[#This Row],[quality]]&gt;=7,"High")</f>
        <v>High</v>
      </c>
      <c r="O586" s="2" t="str">
        <f>IF(AND(Table1[[#This Row],[fixed acidity]]&gt;Sheet1!$C$4,Table1[[#This Row],[pH]]&lt;Sheet1!$K$4),"High","Normal")</f>
        <v>High</v>
      </c>
      <c r="P586" s="1">
        <f>(Table1[[#This Row],[alcohol]]*2)+(Table1[[#This Row],[sulphates]]*1.5)-(Table1[[#This Row],[volatile acidity]]*2)</f>
        <v>21.88</v>
      </c>
      <c r="Q586" s="1">
        <f>RANK(Table1[[#This Row],[Quality_score_index]],Table1[Quality_score_index],0)</f>
        <v>471</v>
      </c>
      <c r="R586" s="1">
        <f>Table1[[#This Row],[total sulfur dioxide]]-Table1[[#This Row],[free sulfur dioxide]]</f>
        <v>26</v>
      </c>
      <c r="S586" s="1" t="str">
        <f>IF(AND(Table1[[#This Row],[pH]]&gt;=3.2,Table1[[#This Row],[alcohol]]&gt;=10),"White wine","Red wine")</f>
        <v>White wine</v>
      </c>
    </row>
    <row r="587" spans="1:19" x14ac:dyDescent="0.3">
      <c r="A587" s="13">
        <v>586</v>
      </c>
      <c r="B587" s="1">
        <v>7.6</v>
      </c>
      <c r="C587" s="1">
        <v>0.51</v>
      </c>
      <c r="D587" s="1">
        <v>0.24</v>
      </c>
      <c r="E587" s="1">
        <v>2.4</v>
      </c>
      <c r="F587" s="1">
        <v>9.0999999999999998E-2</v>
      </c>
      <c r="G587" s="1">
        <v>8</v>
      </c>
      <c r="H587" s="1">
        <v>38</v>
      </c>
      <c r="I587" s="1">
        <v>0.998</v>
      </c>
      <c r="J587" s="1">
        <v>3.47</v>
      </c>
      <c r="K587" s="1">
        <v>0.66</v>
      </c>
      <c r="L587" s="1">
        <v>9.6</v>
      </c>
      <c r="M587" s="2">
        <v>6</v>
      </c>
      <c r="N587" s="2" t="str" cm="1">
        <f t="array" ref="N587">_xlfn.IFS(Table1[[#This Row],[quality]]&lt;=4,"Low",Table1[[#This Row],[quality]]&lt;=6,"Medium",Table1[[#This Row],[quality]]&gt;=7,"High")</f>
        <v>Medium</v>
      </c>
      <c r="O587" s="2" t="str">
        <f>IF(AND(Table1[[#This Row],[fixed acidity]]&gt;Sheet1!$C$4,Table1[[#This Row],[pH]]&lt;Sheet1!$K$4),"High","Normal")</f>
        <v>Normal</v>
      </c>
      <c r="P587" s="1">
        <f>(Table1[[#This Row],[alcohol]]*2)+(Table1[[#This Row],[sulphates]]*1.5)-(Table1[[#This Row],[volatile acidity]]*2)</f>
        <v>19.169999999999998</v>
      </c>
      <c r="Q587" s="1">
        <f>RANK(Table1[[#This Row],[Quality_score_index]],Table1[Quality_score_index],0)</f>
        <v>1102</v>
      </c>
      <c r="R587" s="1">
        <f>Table1[[#This Row],[total sulfur dioxide]]-Table1[[#This Row],[free sulfur dioxide]]</f>
        <v>30</v>
      </c>
      <c r="S587" s="1" t="str">
        <f>IF(AND(Table1[[#This Row],[pH]]&gt;=3.2,Table1[[#This Row],[alcohol]]&gt;=10),"White wine","Red wine")</f>
        <v>Red wine</v>
      </c>
    </row>
    <row r="588" spans="1:19" x14ac:dyDescent="0.3">
      <c r="A588" s="13">
        <v>587</v>
      </c>
      <c r="B588" s="1">
        <v>11.1</v>
      </c>
      <c r="C588" s="1">
        <v>0.31</v>
      </c>
      <c r="D588" s="1">
        <v>0.49</v>
      </c>
      <c r="E588" s="1">
        <v>2.7</v>
      </c>
      <c r="F588" s="1">
        <v>9.4E-2</v>
      </c>
      <c r="G588" s="1">
        <v>16</v>
      </c>
      <c r="H588" s="1">
        <v>47</v>
      </c>
      <c r="I588" s="1">
        <v>0.99860000000000004</v>
      </c>
      <c r="J588" s="1">
        <v>3.12</v>
      </c>
      <c r="K588" s="1">
        <v>1.02</v>
      </c>
      <c r="L588" s="1">
        <v>10.6</v>
      </c>
      <c r="M588" s="2">
        <v>7</v>
      </c>
      <c r="N588" s="2" t="str" cm="1">
        <f t="array" ref="N588">_xlfn.IFS(Table1[[#This Row],[quality]]&lt;=4,"Low",Table1[[#This Row],[quality]]&lt;=6,"Medium",Table1[[#This Row],[quality]]&gt;=7,"High")</f>
        <v>High</v>
      </c>
      <c r="O588" s="2" t="str">
        <f>IF(AND(Table1[[#This Row],[fixed acidity]]&gt;Sheet1!$C$4,Table1[[#This Row],[pH]]&lt;Sheet1!$K$4),"High","Normal")</f>
        <v>High</v>
      </c>
      <c r="P588" s="1">
        <f>(Table1[[#This Row],[alcohol]]*2)+(Table1[[#This Row],[sulphates]]*1.5)-(Table1[[#This Row],[volatile acidity]]*2)</f>
        <v>22.11</v>
      </c>
      <c r="Q588" s="1">
        <f>RANK(Table1[[#This Row],[Quality_score_index]],Table1[Quality_score_index],0)</f>
        <v>438</v>
      </c>
      <c r="R588" s="1">
        <f>Table1[[#This Row],[total sulfur dioxide]]-Table1[[#This Row],[free sulfur dioxide]]</f>
        <v>31</v>
      </c>
      <c r="S588" s="1" t="str">
        <f>IF(AND(Table1[[#This Row],[pH]]&gt;=3.2,Table1[[#This Row],[alcohol]]&gt;=10),"White wine","Red wine")</f>
        <v>Red wine</v>
      </c>
    </row>
    <row r="589" spans="1:19" x14ac:dyDescent="0.3">
      <c r="A589" s="13">
        <v>588</v>
      </c>
      <c r="B589" s="1">
        <v>7.3</v>
      </c>
      <c r="C589" s="1">
        <v>0.73</v>
      </c>
      <c r="D589" s="1">
        <v>0.24</v>
      </c>
      <c r="E589" s="1">
        <v>1.9</v>
      </c>
      <c r="F589" s="1">
        <v>0.108</v>
      </c>
      <c r="G589" s="1">
        <v>18</v>
      </c>
      <c r="H589" s="1">
        <v>102</v>
      </c>
      <c r="I589" s="1">
        <v>0.99670000000000003</v>
      </c>
      <c r="J589" s="1">
        <v>3.26</v>
      </c>
      <c r="K589" s="1">
        <v>0.59</v>
      </c>
      <c r="L589" s="1">
        <v>9.3000000000000007</v>
      </c>
      <c r="M589" s="2">
        <v>5</v>
      </c>
      <c r="N589" s="2" t="str" cm="1">
        <f t="array" ref="N589">_xlfn.IFS(Table1[[#This Row],[quality]]&lt;=4,"Low",Table1[[#This Row],[quality]]&lt;=6,"Medium",Table1[[#This Row],[quality]]&gt;=7,"High")</f>
        <v>Medium</v>
      </c>
      <c r="O589" s="2" t="str">
        <f>IF(AND(Table1[[#This Row],[fixed acidity]]&gt;Sheet1!$C$4,Table1[[#This Row],[pH]]&lt;Sheet1!$K$4),"High","Normal")</f>
        <v>Normal</v>
      </c>
      <c r="P589" s="1">
        <f>(Table1[[#This Row],[alcohol]]*2)+(Table1[[#This Row],[sulphates]]*1.5)-(Table1[[#This Row],[volatile acidity]]*2)</f>
        <v>18.025000000000002</v>
      </c>
      <c r="Q589" s="1">
        <f>RANK(Table1[[#This Row],[Quality_score_index]],Table1[Quality_score_index],0)</f>
        <v>1516</v>
      </c>
      <c r="R589" s="1">
        <f>Table1[[#This Row],[total sulfur dioxide]]-Table1[[#This Row],[free sulfur dioxide]]</f>
        <v>84</v>
      </c>
      <c r="S589" s="1" t="str">
        <f>IF(AND(Table1[[#This Row],[pH]]&gt;=3.2,Table1[[#This Row],[alcohol]]&gt;=10),"White wine","Red wine")</f>
        <v>Red wine</v>
      </c>
    </row>
    <row r="590" spans="1:19" x14ac:dyDescent="0.3">
      <c r="A590" s="13">
        <v>589</v>
      </c>
      <c r="B590" s="1">
        <v>5</v>
      </c>
      <c r="C590" s="1">
        <v>0.42</v>
      </c>
      <c r="D590" s="1">
        <v>0.24</v>
      </c>
      <c r="E590" s="1">
        <v>2</v>
      </c>
      <c r="F590" s="1">
        <v>0.06</v>
      </c>
      <c r="G590" s="1">
        <v>19</v>
      </c>
      <c r="H590" s="1">
        <v>50</v>
      </c>
      <c r="I590" s="1">
        <v>0.99170000000000003</v>
      </c>
      <c r="J590" s="1">
        <v>3.72</v>
      </c>
      <c r="K590" s="1">
        <v>0.74</v>
      </c>
      <c r="L590" s="1">
        <v>14</v>
      </c>
      <c r="M590" s="2">
        <v>8</v>
      </c>
      <c r="N590" s="2" t="str" cm="1">
        <f t="array" ref="N590">_xlfn.IFS(Table1[[#This Row],[quality]]&lt;=4,"Low",Table1[[#This Row],[quality]]&lt;=6,"Medium",Table1[[#This Row],[quality]]&gt;=7,"High")</f>
        <v>High</v>
      </c>
      <c r="O590" s="2" t="str">
        <f>IF(AND(Table1[[#This Row],[fixed acidity]]&gt;Sheet1!$C$4,Table1[[#This Row],[pH]]&lt;Sheet1!$K$4),"High","Normal")</f>
        <v>Normal</v>
      </c>
      <c r="P590" s="1">
        <f>(Table1[[#This Row],[alcohol]]*2)+(Table1[[#This Row],[sulphates]]*1.5)-(Table1[[#This Row],[volatile acidity]]*2)</f>
        <v>28.27</v>
      </c>
      <c r="Q590" s="1">
        <f>RANK(Table1[[#This Row],[Quality_score_index]],Table1[Quality_score_index],0)</f>
        <v>5</v>
      </c>
      <c r="R590" s="1">
        <f>Table1[[#This Row],[total sulfur dioxide]]-Table1[[#This Row],[free sulfur dioxide]]</f>
        <v>31</v>
      </c>
      <c r="S590" s="1" t="str">
        <f>IF(AND(Table1[[#This Row],[pH]]&gt;=3.2,Table1[[#This Row],[alcohol]]&gt;=10),"White wine","Red wine")</f>
        <v>White wine</v>
      </c>
    </row>
    <row r="591" spans="1:19" x14ac:dyDescent="0.3">
      <c r="A591" s="13">
        <v>590</v>
      </c>
      <c r="B591" s="1">
        <v>10.199999999999999</v>
      </c>
      <c r="C591" s="1">
        <v>0.28999999999999998</v>
      </c>
      <c r="D591" s="1">
        <v>0.49</v>
      </c>
      <c r="E591" s="1">
        <v>2.6</v>
      </c>
      <c r="F591" s="1">
        <v>5.8999999999999997E-2</v>
      </c>
      <c r="G591" s="1">
        <v>5</v>
      </c>
      <c r="H591" s="1">
        <v>13</v>
      </c>
      <c r="I591" s="1">
        <v>0.99760000000000004</v>
      </c>
      <c r="J591" s="1">
        <v>3.05</v>
      </c>
      <c r="K591" s="1">
        <v>0.74</v>
      </c>
      <c r="L591" s="1">
        <v>10.5</v>
      </c>
      <c r="M591" s="2">
        <v>7</v>
      </c>
      <c r="N591" s="2" t="str" cm="1">
        <f t="array" ref="N591">_xlfn.IFS(Table1[[#This Row],[quality]]&lt;=4,"Low",Table1[[#This Row],[quality]]&lt;=6,"Medium",Table1[[#This Row],[quality]]&gt;=7,"High")</f>
        <v>High</v>
      </c>
      <c r="O591" s="2" t="str">
        <f>IF(AND(Table1[[#This Row],[fixed acidity]]&gt;Sheet1!$C$4,Table1[[#This Row],[pH]]&lt;Sheet1!$K$4),"High","Normal")</f>
        <v>High</v>
      </c>
      <c r="P591" s="1">
        <f>(Table1[[#This Row],[alcohol]]*2)+(Table1[[#This Row],[sulphates]]*1.5)-(Table1[[#This Row],[volatile acidity]]*2)</f>
        <v>21.53</v>
      </c>
      <c r="Q591" s="1">
        <f>RANK(Table1[[#This Row],[Quality_score_index]],Table1[Quality_score_index],0)</f>
        <v>538</v>
      </c>
      <c r="R591" s="1">
        <f>Table1[[#This Row],[total sulfur dioxide]]-Table1[[#This Row],[free sulfur dioxide]]</f>
        <v>8</v>
      </c>
      <c r="S591" s="1" t="str">
        <f>IF(AND(Table1[[#This Row],[pH]]&gt;=3.2,Table1[[#This Row],[alcohol]]&gt;=10),"White wine","Red wine")</f>
        <v>Red wine</v>
      </c>
    </row>
    <row r="592" spans="1:19" x14ac:dyDescent="0.3">
      <c r="A592" s="13">
        <v>591</v>
      </c>
      <c r="B592" s="1">
        <v>9</v>
      </c>
      <c r="C592" s="1">
        <v>0.45</v>
      </c>
      <c r="D592" s="1">
        <v>0.49</v>
      </c>
      <c r="E592" s="1">
        <v>2.6</v>
      </c>
      <c r="F592" s="1">
        <v>8.4000000000000005E-2</v>
      </c>
      <c r="G592" s="1">
        <v>21</v>
      </c>
      <c r="H592" s="1">
        <v>75</v>
      </c>
      <c r="I592" s="1">
        <v>0.99870000000000003</v>
      </c>
      <c r="J592" s="1">
        <v>3.35</v>
      </c>
      <c r="K592" s="1">
        <v>0.56999999999999995</v>
      </c>
      <c r="L592" s="1">
        <v>9.6999999999999993</v>
      </c>
      <c r="M592" s="2">
        <v>5</v>
      </c>
      <c r="N592" s="2" t="str" cm="1">
        <f t="array" ref="N592">_xlfn.IFS(Table1[[#This Row],[quality]]&lt;=4,"Low",Table1[[#This Row],[quality]]&lt;=6,"Medium",Table1[[#This Row],[quality]]&gt;=7,"High")</f>
        <v>Medium</v>
      </c>
      <c r="O592" s="2" t="str">
        <f>IF(AND(Table1[[#This Row],[fixed acidity]]&gt;Sheet1!$C$4,Table1[[#This Row],[pH]]&lt;Sheet1!$K$4),"High","Normal")</f>
        <v>Normal</v>
      </c>
      <c r="P592" s="1">
        <f>(Table1[[#This Row],[alcohol]]*2)+(Table1[[#This Row],[sulphates]]*1.5)-(Table1[[#This Row],[volatile acidity]]*2)</f>
        <v>19.355</v>
      </c>
      <c r="Q592" s="1">
        <f>RANK(Table1[[#This Row],[Quality_score_index]],Table1[Quality_score_index],0)</f>
        <v>1022</v>
      </c>
      <c r="R592" s="1">
        <f>Table1[[#This Row],[total sulfur dioxide]]-Table1[[#This Row],[free sulfur dioxide]]</f>
        <v>54</v>
      </c>
      <c r="S592" s="1" t="str">
        <f>IF(AND(Table1[[#This Row],[pH]]&gt;=3.2,Table1[[#This Row],[alcohol]]&gt;=10),"White wine","Red wine")</f>
        <v>Red wine</v>
      </c>
    </row>
    <row r="593" spans="1:19" x14ac:dyDescent="0.3">
      <c r="A593" s="13">
        <v>592</v>
      </c>
      <c r="B593" s="1">
        <v>6.6</v>
      </c>
      <c r="C593" s="1">
        <v>0.39</v>
      </c>
      <c r="D593" s="1">
        <v>0.49</v>
      </c>
      <c r="E593" s="1">
        <v>1.7</v>
      </c>
      <c r="F593" s="1">
        <v>7.0000000000000007E-2</v>
      </c>
      <c r="G593" s="1">
        <v>23</v>
      </c>
      <c r="H593" s="1">
        <v>149</v>
      </c>
      <c r="I593" s="1">
        <v>0.99219999999999997</v>
      </c>
      <c r="J593" s="1">
        <v>3.12</v>
      </c>
      <c r="K593" s="1">
        <v>0.5</v>
      </c>
      <c r="L593" s="1">
        <v>11.5</v>
      </c>
      <c r="M593" s="2">
        <v>6</v>
      </c>
      <c r="N593" s="2" t="str" cm="1">
        <f t="array" ref="N593">_xlfn.IFS(Table1[[#This Row],[quality]]&lt;=4,"Low",Table1[[#This Row],[quality]]&lt;=6,"Medium",Table1[[#This Row],[quality]]&gt;=7,"High")</f>
        <v>Medium</v>
      </c>
      <c r="O593" s="2" t="str">
        <f>IF(AND(Table1[[#This Row],[fixed acidity]]&gt;Sheet1!$C$4,Table1[[#This Row],[pH]]&lt;Sheet1!$K$4),"High","Normal")</f>
        <v>Normal</v>
      </c>
      <c r="P593" s="1">
        <f>(Table1[[#This Row],[alcohol]]*2)+(Table1[[#This Row],[sulphates]]*1.5)-(Table1[[#This Row],[volatile acidity]]*2)</f>
        <v>22.97</v>
      </c>
      <c r="Q593" s="1">
        <f>RANK(Table1[[#This Row],[Quality_score_index]],Table1[Quality_score_index],0)</f>
        <v>278</v>
      </c>
      <c r="R593" s="1">
        <f>Table1[[#This Row],[total sulfur dioxide]]-Table1[[#This Row],[free sulfur dioxide]]</f>
        <v>126</v>
      </c>
      <c r="S593" s="1" t="str">
        <f>IF(AND(Table1[[#This Row],[pH]]&gt;=3.2,Table1[[#This Row],[alcohol]]&gt;=10),"White wine","Red wine")</f>
        <v>Red wine</v>
      </c>
    </row>
    <row r="594" spans="1:19" x14ac:dyDescent="0.3">
      <c r="A594" s="13">
        <v>593</v>
      </c>
      <c r="B594" s="1">
        <v>9</v>
      </c>
      <c r="C594" s="1">
        <v>0.45</v>
      </c>
      <c r="D594" s="1">
        <v>0.49</v>
      </c>
      <c r="E594" s="1">
        <v>2.6</v>
      </c>
      <c r="F594" s="1">
        <v>8.4000000000000005E-2</v>
      </c>
      <c r="G594" s="1">
        <v>21</v>
      </c>
      <c r="H594" s="1">
        <v>75</v>
      </c>
      <c r="I594" s="1">
        <v>0.99870000000000003</v>
      </c>
      <c r="J594" s="1">
        <v>3.35</v>
      </c>
      <c r="K594" s="1">
        <v>0.56999999999999995</v>
      </c>
      <c r="L594" s="1">
        <v>9.6999999999999993</v>
      </c>
      <c r="M594" s="2">
        <v>5</v>
      </c>
      <c r="N594" s="2" t="str" cm="1">
        <f t="array" ref="N594">_xlfn.IFS(Table1[[#This Row],[quality]]&lt;=4,"Low",Table1[[#This Row],[quality]]&lt;=6,"Medium",Table1[[#This Row],[quality]]&gt;=7,"High")</f>
        <v>Medium</v>
      </c>
      <c r="O594" s="2" t="str">
        <f>IF(AND(Table1[[#This Row],[fixed acidity]]&gt;Sheet1!$C$4,Table1[[#This Row],[pH]]&lt;Sheet1!$K$4),"High","Normal")</f>
        <v>Normal</v>
      </c>
      <c r="P594" s="1">
        <f>(Table1[[#This Row],[alcohol]]*2)+(Table1[[#This Row],[sulphates]]*1.5)-(Table1[[#This Row],[volatile acidity]]*2)</f>
        <v>19.355</v>
      </c>
      <c r="Q594" s="1">
        <f>RANK(Table1[[#This Row],[Quality_score_index]],Table1[Quality_score_index],0)</f>
        <v>1022</v>
      </c>
      <c r="R594" s="1">
        <f>Table1[[#This Row],[total sulfur dioxide]]-Table1[[#This Row],[free sulfur dioxide]]</f>
        <v>54</v>
      </c>
      <c r="S594" s="1" t="str">
        <f>IF(AND(Table1[[#This Row],[pH]]&gt;=3.2,Table1[[#This Row],[alcohol]]&gt;=10),"White wine","Red wine")</f>
        <v>Red wine</v>
      </c>
    </row>
    <row r="595" spans="1:19" x14ac:dyDescent="0.3">
      <c r="A595" s="13">
        <v>594</v>
      </c>
      <c r="B595" s="1">
        <v>9.9</v>
      </c>
      <c r="C595" s="1">
        <v>0.49</v>
      </c>
      <c r="D595" s="1">
        <v>0.57999999999999996</v>
      </c>
      <c r="E595" s="1">
        <v>3.5</v>
      </c>
      <c r="F595" s="1">
        <v>9.4E-2</v>
      </c>
      <c r="G595" s="1">
        <v>9</v>
      </c>
      <c r="H595" s="1">
        <v>43</v>
      </c>
      <c r="I595" s="1">
        <v>1.0004</v>
      </c>
      <c r="J595" s="1">
        <v>3.29</v>
      </c>
      <c r="K595" s="1">
        <v>0.57999999999999996</v>
      </c>
      <c r="L595" s="1">
        <v>9</v>
      </c>
      <c r="M595" s="2">
        <v>5</v>
      </c>
      <c r="N595" s="2" t="str" cm="1">
        <f t="array" ref="N595">_xlfn.IFS(Table1[[#This Row],[quality]]&lt;=4,"Low",Table1[[#This Row],[quality]]&lt;=6,"Medium",Table1[[#This Row],[quality]]&gt;=7,"High")</f>
        <v>Medium</v>
      </c>
      <c r="O595" s="2" t="str">
        <f>IF(AND(Table1[[#This Row],[fixed acidity]]&gt;Sheet1!$C$4,Table1[[#This Row],[pH]]&lt;Sheet1!$K$4),"High","Normal")</f>
        <v>High</v>
      </c>
      <c r="P595" s="1">
        <f>(Table1[[#This Row],[alcohol]]*2)+(Table1[[#This Row],[sulphates]]*1.5)-(Table1[[#This Row],[volatile acidity]]*2)</f>
        <v>17.89</v>
      </c>
      <c r="Q595" s="1">
        <f>RANK(Table1[[#This Row],[Quality_score_index]],Table1[Quality_score_index],0)</f>
        <v>1537</v>
      </c>
      <c r="R595" s="1">
        <f>Table1[[#This Row],[total sulfur dioxide]]-Table1[[#This Row],[free sulfur dioxide]]</f>
        <v>34</v>
      </c>
      <c r="S595" s="1" t="str">
        <f>IF(AND(Table1[[#This Row],[pH]]&gt;=3.2,Table1[[#This Row],[alcohol]]&gt;=10),"White wine","Red wine")</f>
        <v>Red wine</v>
      </c>
    </row>
    <row r="596" spans="1:19" x14ac:dyDescent="0.3">
      <c r="A596" s="13">
        <v>595</v>
      </c>
      <c r="B596" s="1">
        <v>7.9</v>
      </c>
      <c r="C596" s="1">
        <v>0.72</v>
      </c>
      <c r="D596" s="1">
        <v>0.17</v>
      </c>
      <c r="E596" s="1">
        <v>2.6</v>
      </c>
      <c r="F596" s="1">
        <v>9.6000000000000002E-2</v>
      </c>
      <c r="G596" s="1">
        <v>20</v>
      </c>
      <c r="H596" s="1">
        <v>38</v>
      </c>
      <c r="I596" s="1">
        <v>0.99780000000000002</v>
      </c>
      <c r="J596" s="1">
        <v>3.4</v>
      </c>
      <c r="K596" s="1">
        <v>0.53</v>
      </c>
      <c r="L596" s="1">
        <v>9.5</v>
      </c>
      <c r="M596" s="2">
        <v>5</v>
      </c>
      <c r="N596" s="2" t="str" cm="1">
        <f t="array" ref="N596">_xlfn.IFS(Table1[[#This Row],[quality]]&lt;=4,"Low",Table1[[#This Row],[quality]]&lt;=6,"Medium",Table1[[#This Row],[quality]]&gt;=7,"High")</f>
        <v>Medium</v>
      </c>
      <c r="O596" s="2" t="str">
        <f>IF(AND(Table1[[#This Row],[fixed acidity]]&gt;Sheet1!$C$4,Table1[[#This Row],[pH]]&lt;Sheet1!$K$4),"High","Normal")</f>
        <v>Normal</v>
      </c>
      <c r="P596" s="1">
        <f>(Table1[[#This Row],[alcohol]]*2)+(Table1[[#This Row],[sulphates]]*1.5)-(Table1[[#This Row],[volatile acidity]]*2)</f>
        <v>18.355</v>
      </c>
      <c r="Q596" s="1">
        <f>RANK(Table1[[#This Row],[Quality_score_index]],Table1[Quality_score_index],0)</f>
        <v>1432</v>
      </c>
      <c r="R596" s="1">
        <f>Table1[[#This Row],[total sulfur dioxide]]-Table1[[#This Row],[free sulfur dioxide]]</f>
        <v>18</v>
      </c>
      <c r="S596" s="1" t="str">
        <f>IF(AND(Table1[[#This Row],[pH]]&gt;=3.2,Table1[[#This Row],[alcohol]]&gt;=10),"White wine","Red wine")</f>
        <v>Red wine</v>
      </c>
    </row>
    <row r="597" spans="1:19" x14ac:dyDescent="0.3">
      <c r="A597" s="13">
        <v>596</v>
      </c>
      <c r="B597" s="1">
        <v>8.9</v>
      </c>
      <c r="C597" s="1">
        <v>0.59499999999999997</v>
      </c>
      <c r="D597" s="1">
        <v>0.41</v>
      </c>
      <c r="E597" s="1">
        <v>7.9</v>
      </c>
      <c r="F597" s="1">
        <v>8.5999999999999993E-2</v>
      </c>
      <c r="G597" s="1">
        <v>30</v>
      </c>
      <c r="H597" s="1">
        <v>109</v>
      </c>
      <c r="I597" s="1">
        <v>0.99980000000000002</v>
      </c>
      <c r="J597" s="1">
        <v>3.27</v>
      </c>
      <c r="K597" s="1">
        <v>0.56999999999999995</v>
      </c>
      <c r="L597" s="1">
        <v>9.3000000000000007</v>
      </c>
      <c r="M597" s="2">
        <v>5</v>
      </c>
      <c r="N597" s="2" t="str" cm="1">
        <f t="array" ref="N597">_xlfn.IFS(Table1[[#This Row],[quality]]&lt;=4,"Low",Table1[[#This Row],[quality]]&lt;=6,"Medium",Table1[[#This Row],[quality]]&gt;=7,"High")</f>
        <v>Medium</v>
      </c>
      <c r="O597" s="2" t="str">
        <f>IF(AND(Table1[[#This Row],[fixed acidity]]&gt;Sheet1!$C$4,Table1[[#This Row],[pH]]&lt;Sheet1!$K$4),"High","Normal")</f>
        <v>High</v>
      </c>
      <c r="P597" s="1">
        <f>(Table1[[#This Row],[alcohol]]*2)+(Table1[[#This Row],[sulphates]]*1.5)-(Table1[[#This Row],[volatile acidity]]*2)</f>
        <v>18.265000000000001</v>
      </c>
      <c r="Q597" s="1">
        <f>RANK(Table1[[#This Row],[Quality_score_index]],Table1[Quality_score_index],0)</f>
        <v>1461</v>
      </c>
      <c r="R597" s="1">
        <f>Table1[[#This Row],[total sulfur dioxide]]-Table1[[#This Row],[free sulfur dioxide]]</f>
        <v>79</v>
      </c>
      <c r="S597" s="1" t="str">
        <f>IF(AND(Table1[[#This Row],[pH]]&gt;=3.2,Table1[[#This Row],[alcohol]]&gt;=10),"White wine","Red wine")</f>
        <v>Red wine</v>
      </c>
    </row>
    <row r="598" spans="1:19" x14ac:dyDescent="0.3">
      <c r="A598" s="13">
        <v>597</v>
      </c>
      <c r="B598" s="1">
        <v>12.4</v>
      </c>
      <c r="C598" s="1">
        <v>0.4</v>
      </c>
      <c r="D598" s="1">
        <v>0.51</v>
      </c>
      <c r="E598" s="1">
        <v>2</v>
      </c>
      <c r="F598" s="1">
        <v>5.8999999999999997E-2</v>
      </c>
      <c r="G598" s="1">
        <v>6</v>
      </c>
      <c r="H598" s="1">
        <v>24</v>
      </c>
      <c r="I598" s="1">
        <v>0.99939999999999996</v>
      </c>
      <c r="J598" s="1">
        <v>3.04</v>
      </c>
      <c r="K598" s="1">
        <v>0.6</v>
      </c>
      <c r="L598" s="1">
        <v>9.3000000000000007</v>
      </c>
      <c r="M598" s="2">
        <v>6</v>
      </c>
      <c r="N598" s="2" t="str" cm="1">
        <f t="array" ref="N598">_xlfn.IFS(Table1[[#This Row],[quality]]&lt;=4,"Low",Table1[[#This Row],[quality]]&lt;=6,"Medium",Table1[[#This Row],[quality]]&gt;=7,"High")</f>
        <v>Medium</v>
      </c>
      <c r="O598" s="2" t="str">
        <f>IF(AND(Table1[[#This Row],[fixed acidity]]&gt;Sheet1!$C$4,Table1[[#This Row],[pH]]&lt;Sheet1!$K$4),"High","Normal")</f>
        <v>High</v>
      </c>
      <c r="P598" s="1">
        <f>(Table1[[#This Row],[alcohol]]*2)+(Table1[[#This Row],[sulphates]]*1.5)-(Table1[[#This Row],[volatile acidity]]*2)</f>
        <v>18.7</v>
      </c>
      <c r="Q598" s="1">
        <f>RANK(Table1[[#This Row],[Quality_score_index]],Table1[Quality_score_index],0)</f>
        <v>1293</v>
      </c>
      <c r="R598" s="1">
        <f>Table1[[#This Row],[total sulfur dioxide]]-Table1[[#This Row],[free sulfur dioxide]]</f>
        <v>18</v>
      </c>
      <c r="S598" s="1" t="str">
        <f>IF(AND(Table1[[#This Row],[pH]]&gt;=3.2,Table1[[#This Row],[alcohol]]&gt;=10),"White wine","Red wine")</f>
        <v>Red wine</v>
      </c>
    </row>
    <row r="599" spans="1:19" x14ac:dyDescent="0.3">
      <c r="A599" s="13">
        <v>598</v>
      </c>
      <c r="B599" s="1">
        <v>11.9</v>
      </c>
      <c r="C599" s="1">
        <v>0.57999999999999996</v>
      </c>
      <c r="D599" s="1">
        <v>0.57999999999999996</v>
      </c>
      <c r="E599" s="1">
        <v>1.9</v>
      </c>
      <c r="F599" s="1">
        <v>7.0999999999999994E-2</v>
      </c>
      <c r="G599" s="1">
        <v>5</v>
      </c>
      <c r="H599" s="1">
        <v>18</v>
      </c>
      <c r="I599" s="1">
        <v>0.998</v>
      </c>
      <c r="J599" s="1">
        <v>3.09</v>
      </c>
      <c r="K599" s="1">
        <v>0.63</v>
      </c>
      <c r="L599" s="1">
        <v>10</v>
      </c>
      <c r="M599" s="2">
        <v>6</v>
      </c>
      <c r="N599" s="2" t="str" cm="1">
        <f t="array" ref="N599">_xlfn.IFS(Table1[[#This Row],[quality]]&lt;=4,"Low",Table1[[#This Row],[quality]]&lt;=6,"Medium",Table1[[#This Row],[quality]]&gt;=7,"High")</f>
        <v>Medium</v>
      </c>
      <c r="O599" s="2" t="str">
        <f>IF(AND(Table1[[#This Row],[fixed acidity]]&gt;Sheet1!$C$4,Table1[[#This Row],[pH]]&lt;Sheet1!$K$4),"High","Normal")</f>
        <v>High</v>
      </c>
      <c r="P599" s="1">
        <f>(Table1[[#This Row],[alcohol]]*2)+(Table1[[#This Row],[sulphates]]*1.5)-(Table1[[#This Row],[volatile acidity]]*2)</f>
        <v>19.785</v>
      </c>
      <c r="Q599" s="1">
        <f>RANK(Table1[[#This Row],[Quality_score_index]],Table1[Quality_score_index],0)</f>
        <v>908</v>
      </c>
      <c r="R599" s="1">
        <f>Table1[[#This Row],[total sulfur dioxide]]-Table1[[#This Row],[free sulfur dioxide]]</f>
        <v>13</v>
      </c>
      <c r="S599" s="1" t="str">
        <f>IF(AND(Table1[[#This Row],[pH]]&gt;=3.2,Table1[[#This Row],[alcohol]]&gt;=10),"White wine","Red wine")</f>
        <v>Red wine</v>
      </c>
    </row>
    <row r="600" spans="1:19" x14ac:dyDescent="0.3">
      <c r="A600" s="13">
        <v>599</v>
      </c>
      <c r="B600" s="1">
        <v>8.5</v>
      </c>
      <c r="C600" s="1">
        <v>0.58499999999999996</v>
      </c>
      <c r="D600" s="1">
        <v>0.18</v>
      </c>
      <c r="E600" s="1">
        <v>2.1</v>
      </c>
      <c r="F600" s="1">
        <v>7.8E-2</v>
      </c>
      <c r="G600" s="1">
        <v>5</v>
      </c>
      <c r="H600" s="1">
        <v>30</v>
      </c>
      <c r="I600" s="1">
        <v>0.99670000000000003</v>
      </c>
      <c r="J600" s="1">
        <v>3.2</v>
      </c>
      <c r="K600" s="1">
        <v>0.48</v>
      </c>
      <c r="L600" s="1">
        <v>9.8000000000000007</v>
      </c>
      <c r="M600" s="2">
        <v>6</v>
      </c>
      <c r="N600" s="2" t="str" cm="1">
        <f t="array" ref="N600">_xlfn.IFS(Table1[[#This Row],[quality]]&lt;=4,"Low",Table1[[#This Row],[quality]]&lt;=6,"Medium",Table1[[#This Row],[quality]]&gt;=7,"High")</f>
        <v>Medium</v>
      </c>
      <c r="O600" s="2" t="str">
        <f>IF(AND(Table1[[#This Row],[fixed acidity]]&gt;Sheet1!$C$4,Table1[[#This Row],[pH]]&lt;Sheet1!$K$4),"High","Normal")</f>
        <v>High</v>
      </c>
      <c r="P600" s="1">
        <f>(Table1[[#This Row],[alcohol]]*2)+(Table1[[#This Row],[sulphates]]*1.5)-(Table1[[#This Row],[volatile acidity]]*2)</f>
        <v>19.149999999999999</v>
      </c>
      <c r="Q600" s="1">
        <f>RANK(Table1[[#This Row],[Quality_score_index]],Table1[Quality_score_index],0)</f>
        <v>1106</v>
      </c>
      <c r="R600" s="1">
        <f>Table1[[#This Row],[total sulfur dioxide]]-Table1[[#This Row],[free sulfur dioxide]]</f>
        <v>25</v>
      </c>
      <c r="S600" s="1" t="str">
        <f>IF(AND(Table1[[#This Row],[pH]]&gt;=3.2,Table1[[#This Row],[alcohol]]&gt;=10),"White wine","Red wine")</f>
        <v>Red wine</v>
      </c>
    </row>
    <row r="601" spans="1:19" x14ac:dyDescent="0.3">
      <c r="A601" s="13">
        <v>600</v>
      </c>
      <c r="B601" s="1">
        <v>12.7</v>
      </c>
      <c r="C601" s="1">
        <v>0.59</v>
      </c>
      <c r="D601" s="1">
        <v>0.45</v>
      </c>
      <c r="E601" s="1">
        <v>2.2999999999999998</v>
      </c>
      <c r="F601" s="1">
        <v>8.2000000000000003E-2</v>
      </c>
      <c r="G601" s="1">
        <v>11</v>
      </c>
      <c r="H601" s="1">
        <v>22</v>
      </c>
      <c r="I601" s="1">
        <v>1</v>
      </c>
      <c r="J601" s="1">
        <v>3</v>
      </c>
      <c r="K601" s="1">
        <v>0.7</v>
      </c>
      <c r="L601" s="1">
        <v>9.3000000000000007</v>
      </c>
      <c r="M601" s="2">
        <v>6</v>
      </c>
      <c r="N601" s="2" t="str" cm="1">
        <f t="array" ref="N601">_xlfn.IFS(Table1[[#This Row],[quality]]&lt;=4,"Low",Table1[[#This Row],[quality]]&lt;=6,"Medium",Table1[[#This Row],[quality]]&gt;=7,"High")</f>
        <v>Medium</v>
      </c>
      <c r="O601" s="2" t="str">
        <f>IF(AND(Table1[[#This Row],[fixed acidity]]&gt;Sheet1!$C$4,Table1[[#This Row],[pH]]&lt;Sheet1!$K$4),"High","Normal")</f>
        <v>High</v>
      </c>
      <c r="P601" s="1">
        <f>(Table1[[#This Row],[alcohol]]*2)+(Table1[[#This Row],[sulphates]]*1.5)-(Table1[[#This Row],[volatile acidity]]*2)</f>
        <v>18.470000000000002</v>
      </c>
      <c r="Q601" s="1">
        <f>RANK(Table1[[#This Row],[Quality_score_index]],Table1[Quality_score_index],0)</f>
        <v>1383</v>
      </c>
      <c r="R601" s="1">
        <f>Table1[[#This Row],[total sulfur dioxide]]-Table1[[#This Row],[free sulfur dioxide]]</f>
        <v>11</v>
      </c>
      <c r="S601" s="1" t="str">
        <f>IF(AND(Table1[[#This Row],[pH]]&gt;=3.2,Table1[[#This Row],[alcohol]]&gt;=10),"White wine","Red wine")</f>
        <v>Red wine</v>
      </c>
    </row>
    <row r="602" spans="1:19" x14ac:dyDescent="0.3">
      <c r="A602" s="13">
        <v>601</v>
      </c>
      <c r="B602" s="1">
        <v>8.1999999999999993</v>
      </c>
      <c r="C602" s="1">
        <v>0.91500000000000004</v>
      </c>
      <c r="D602" s="1">
        <v>0.27</v>
      </c>
      <c r="E602" s="1">
        <v>2.1</v>
      </c>
      <c r="F602" s="1">
        <v>8.7999999999999995E-2</v>
      </c>
      <c r="G602" s="1">
        <v>7</v>
      </c>
      <c r="H602" s="1">
        <v>23</v>
      </c>
      <c r="I602" s="1">
        <v>0.99619999999999997</v>
      </c>
      <c r="J602" s="1">
        <v>3.26</v>
      </c>
      <c r="K602" s="1">
        <v>0.47</v>
      </c>
      <c r="L602" s="1">
        <v>10</v>
      </c>
      <c r="M602" s="2">
        <v>4</v>
      </c>
      <c r="N602" s="2" t="str" cm="1">
        <f t="array" ref="N602">_xlfn.IFS(Table1[[#This Row],[quality]]&lt;=4,"Low",Table1[[#This Row],[quality]]&lt;=6,"Medium",Table1[[#This Row],[quality]]&gt;=7,"High")</f>
        <v>Low</v>
      </c>
      <c r="O602" s="2" t="str">
        <f>IF(AND(Table1[[#This Row],[fixed acidity]]&gt;Sheet1!$C$4,Table1[[#This Row],[pH]]&lt;Sheet1!$K$4),"High","Normal")</f>
        <v>Normal</v>
      </c>
      <c r="P602" s="1">
        <f>(Table1[[#This Row],[alcohol]]*2)+(Table1[[#This Row],[sulphates]]*1.5)-(Table1[[#This Row],[volatile acidity]]*2)</f>
        <v>18.875</v>
      </c>
      <c r="Q602" s="1">
        <f>RANK(Table1[[#This Row],[Quality_score_index]],Table1[Quality_score_index],0)</f>
        <v>1215</v>
      </c>
      <c r="R602" s="1">
        <f>Table1[[#This Row],[total sulfur dioxide]]-Table1[[#This Row],[free sulfur dioxide]]</f>
        <v>16</v>
      </c>
      <c r="S602" s="1" t="str">
        <f>IF(AND(Table1[[#This Row],[pH]]&gt;=3.2,Table1[[#This Row],[alcohol]]&gt;=10),"White wine","Red wine")</f>
        <v>White wine</v>
      </c>
    </row>
    <row r="603" spans="1:19" x14ac:dyDescent="0.3">
      <c r="A603" s="13">
        <v>602</v>
      </c>
      <c r="B603" s="1">
        <v>13.2</v>
      </c>
      <c r="C603" s="1">
        <v>0.46</v>
      </c>
      <c r="D603" s="1">
        <v>0.52</v>
      </c>
      <c r="E603" s="1">
        <v>2.2000000000000002</v>
      </c>
      <c r="F603" s="1">
        <v>7.0999999999999994E-2</v>
      </c>
      <c r="G603" s="1">
        <v>12</v>
      </c>
      <c r="H603" s="1">
        <v>35</v>
      </c>
      <c r="I603" s="1">
        <v>1.0005999999999999</v>
      </c>
      <c r="J603" s="1">
        <v>3.1</v>
      </c>
      <c r="K603" s="1">
        <v>0.56000000000000005</v>
      </c>
      <c r="L603" s="1">
        <v>9</v>
      </c>
      <c r="M603" s="2">
        <v>6</v>
      </c>
      <c r="N603" s="2" t="str" cm="1">
        <f t="array" ref="N603">_xlfn.IFS(Table1[[#This Row],[quality]]&lt;=4,"Low",Table1[[#This Row],[quality]]&lt;=6,"Medium",Table1[[#This Row],[quality]]&gt;=7,"High")</f>
        <v>Medium</v>
      </c>
      <c r="O603" s="2" t="str">
        <f>IF(AND(Table1[[#This Row],[fixed acidity]]&gt;Sheet1!$C$4,Table1[[#This Row],[pH]]&lt;Sheet1!$K$4),"High","Normal")</f>
        <v>High</v>
      </c>
      <c r="P603" s="1">
        <f>(Table1[[#This Row],[alcohol]]*2)+(Table1[[#This Row],[sulphates]]*1.5)-(Table1[[#This Row],[volatile acidity]]*2)</f>
        <v>17.919999999999998</v>
      </c>
      <c r="Q603" s="1">
        <f>RANK(Table1[[#This Row],[Quality_score_index]],Table1[Quality_score_index],0)</f>
        <v>1534</v>
      </c>
      <c r="R603" s="1">
        <f>Table1[[#This Row],[total sulfur dioxide]]-Table1[[#This Row],[free sulfur dioxide]]</f>
        <v>23</v>
      </c>
      <c r="S603" s="1" t="str">
        <f>IF(AND(Table1[[#This Row],[pH]]&gt;=3.2,Table1[[#This Row],[alcohol]]&gt;=10),"White wine","Red wine")</f>
        <v>Red wine</v>
      </c>
    </row>
    <row r="604" spans="1:19" x14ac:dyDescent="0.3">
      <c r="A604" s="13">
        <v>603</v>
      </c>
      <c r="B604" s="1">
        <v>7.7</v>
      </c>
      <c r="C604" s="1">
        <v>0.83499999999999996</v>
      </c>
      <c r="D604" s="1">
        <v>0</v>
      </c>
      <c r="E604" s="1">
        <v>2.6</v>
      </c>
      <c r="F604" s="1">
        <v>8.1000000000000003E-2</v>
      </c>
      <c r="G604" s="1">
        <v>6</v>
      </c>
      <c r="H604" s="1">
        <v>14</v>
      </c>
      <c r="I604" s="1">
        <v>0.99750000000000005</v>
      </c>
      <c r="J604" s="1">
        <v>3.3</v>
      </c>
      <c r="K604" s="1">
        <v>0.52</v>
      </c>
      <c r="L604" s="1">
        <v>9.3000000000000007</v>
      </c>
      <c r="M604" s="2">
        <v>5</v>
      </c>
      <c r="N604" s="2" t="str" cm="1">
        <f t="array" ref="N604">_xlfn.IFS(Table1[[#This Row],[quality]]&lt;=4,"Low",Table1[[#This Row],[quality]]&lt;=6,"Medium",Table1[[#This Row],[quality]]&gt;=7,"High")</f>
        <v>Medium</v>
      </c>
      <c r="O604" s="2" t="str">
        <f>IF(AND(Table1[[#This Row],[fixed acidity]]&gt;Sheet1!$C$4,Table1[[#This Row],[pH]]&lt;Sheet1!$K$4),"High","Normal")</f>
        <v>Normal</v>
      </c>
      <c r="P604" s="1">
        <f>(Table1[[#This Row],[alcohol]]*2)+(Table1[[#This Row],[sulphates]]*1.5)-(Table1[[#This Row],[volatile acidity]]*2)</f>
        <v>17.71</v>
      </c>
      <c r="Q604" s="1">
        <f>RANK(Table1[[#This Row],[Quality_score_index]],Table1[Quality_score_index],0)</f>
        <v>1571</v>
      </c>
      <c r="R604" s="1">
        <f>Table1[[#This Row],[total sulfur dioxide]]-Table1[[#This Row],[free sulfur dioxide]]</f>
        <v>8</v>
      </c>
      <c r="S604" s="1" t="str">
        <f>IF(AND(Table1[[#This Row],[pH]]&gt;=3.2,Table1[[#This Row],[alcohol]]&gt;=10),"White wine","Red wine")</f>
        <v>Red wine</v>
      </c>
    </row>
    <row r="605" spans="1:19" x14ac:dyDescent="0.3">
      <c r="A605" s="13">
        <v>604</v>
      </c>
      <c r="B605" s="1">
        <v>13.2</v>
      </c>
      <c r="C605" s="1">
        <v>0.46</v>
      </c>
      <c r="D605" s="1">
        <v>0.52</v>
      </c>
      <c r="E605" s="1">
        <v>2.2000000000000002</v>
      </c>
      <c r="F605" s="1">
        <v>7.0999999999999994E-2</v>
      </c>
      <c r="G605" s="1">
        <v>12</v>
      </c>
      <c r="H605" s="1">
        <v>35</v>
      </c>
      <c r="I605" s="1">
        <v>1.0005999999999999</v>
      </c>
      <c r="J605" s="1">
        <v>3.1</v>
      </c>
      <c r="K605" s="1">
        <v>0.56000000000000005</v>
      </c>
      <c r="L605" s="1">
        <v>9</v>
      </c>
      <c r="M605" s="2">
        <v>6</v>
      </c>
      <c r="N605" s="2" t="str" cm="1">
        <f t="array" ref="N605">_xlfn.IFS(Table1[[#This Row],[quality]]&lt;=4,"Low",Table1[[#This Row],[quality]]&lt;=6,"Medium",Table1[[#This Row],[quality]]&gt;=7,"High")</f>
        <v>Medium</v>
      </c>
      <c r="O605" s="2" t="str">
        <f>IF(AND(Table1[[#This Row],[fixed acidity]]&gt;Sheet1!$C$4,Table1[[#This Row],[pH]]&lt;Sheet1!$K$4),"High","Normal")</f>
        <v>High</v>
      </c>
      <c r="P605" s="1">
        <f>(Table1[[#This Row],[alcohol]]*2)+(Table1[[#This Row],[sulphates]]*1.5)-(Table1[[#This Row],[volatile acidity]]*2)</f>
        <v>17.919999999999998</v>
      </c>
      <c r="Q605" s="1">
        <f>RANK(Table1[[#This Row],[Quality_score_index]],Table1[Quality_score_index],0)</f>
        <v>1534</v>
      </c>
      <c r="R605" s="1">
        <f>Table1[[#This Row],[total sulfur dioxide]]-Table1[[#This Row],[free sulfur dioxide]]</f>
        <v>23</v>
      </c>
      <c r="S605" s="1" t="str">
        <f>IF(AND(Table1[[#This Row],[pH]]&gt;=3.2,Table1[[#This Row],[alcohol]]&gt;=10),"White wine","Red wine")</f>
        <v>Red wine</v>
      </c>
    </row>
    <row r="606" spans="1:19" x14ac:dyDescent="0.3">
      <c r="A606" s="13">
        <v>605</v>
      </c>
      <c r="B606" s="1">
        <v>8.3000000000000007</v>
      </c>
      <c r="C606" s="1">
        <v>0.57999999999999996</v>
      </c>
      <c r="D606" s="1">
        <v>0.13</v>
      </c>
      <c r="E606" s="1">
        <v>2.9</v>
      </c>
      <c r="F606" s="1">
        <v>9.6000000000000002E-2</v>
      </c>
      <c r="G606" s="1">
        <v>14</v>
      </c>
      <c r="H606" s="1">
        <v>63</v>
      </c>
      <c r="I606" s="1">
        <v>0.99839999999999995</v>
      </c>
      <c r="J606" s="1">
        <v>3.17</v>
      </c>
      <c r="K606" s="1">
        <v>0.62</v>
      </c>
      <c r="L606" s="1">
        <v>9.1</v>
      </c>
      <c r="M606" s="2">
        <v>6</v>
      </c>
      <c r="N606" s="2" t="str" cm="1">
        <f t="array" ref="N606">_xlfn.IFS(Table1[[#This Row],[quality]]&lt;=4,"Low",Table1[[#This Row],[quality]]&lt;=6,"Medium",Table1[[#This Row],[quality]]&gt;=7,"High")</f>
        <v>Medium</v>
      </c>
      <c r="O606" s="2" t="str">
        <f>IF(AND(Table1[[#This Row],[fixed acidity]]&gt;Sheet1!$C$4,Table1[[#This Row],[pH]]&lt;Sheet1!$K$4),"High","Normal")</f>
        <v>Normal</v>
      </c>
      <c r="P606" s="1">
        <f>(Table1[[#This Row],[alcohol]]*2)+(Table1[[#This Row],[sulphates]]*1.5)-(Table1[[#This Row],[volatile acidity]]*2)</f>
        <v>17.97</v>
      </c>
      <c r="Q606" s="1">
        <f>RANK(Table1[[#This Row],[Quality_score_index]],Table1[Quality_score_index],0)</f>
        <v>1526</v>
      </c>
      <c r="R606" s="1">
        <f>Table1[[#This Row],[total sulfur dioxide]]-Table1[[#This Row],[free sulfur dioxide]]</f>
        <v>49</v>
      </c>
      <c r="S606" s="1" t="str">
        <f>IF(AND(Table1[[#This Row],[pH]]&gt;=3.2,Table1[[#This Row],[alcohol]]&gt;=10),"White wine","Red wine")</f>
        <v>Red wine</v>
      </c>
    </row>
    <row r="607" spans="1:19" x14ac:dyDescent="0.3">
      <c r="A607" s="13">
        <v>606</v>
      </c>
      <c r="B607" s="1">
        <v>8.3000000000000007</v>
      </c>
      <c r="C607" s="1">
        <v>0.6</v>
      </c>
      <c r="D607" s="1">
        <v>0.13</v>
      </c>
      <c r="E607" s="1">
        <v>2.6</v>
      </c>
      <c r="F607" s="1">
        <v>8.5000000000000006E-2</v>
      </c>
      <c r="G607" s="1">
        <v>6</v>
      </c>
      <c r="H607" s="1">
        <v>24</v>
      </c>
      <c r="I607" s="1">
        <v>0.99839999999999995</v>
      </c>
      <c r="J607" s="1">
        <v>3.31</v>
      </c>
      <c r="K607" s="1">
        <v>0.59</v>
      </c>
      <c r="L607" s="1">
        <v>9.1999999999999993</v>
      </c>
      <c r="M607" s="2">
        <v>6</v>
      </c>
      <c r="N607" s="2" t="str" cm="1">
        <f t="array" ref="N607">_xlfn.IFS(Table1[[#This Row],[quality]]&lt;=4,"Low",Table1[[#This Row],[quality]]&lt;=6,"Medium",Table1[[#This Row],[quality]]&gt;=7,"High")</f>
        <v>Medium</v>
      </c>
      <c r="O607" s="2" t="str">
        <f>IF(AND(Table1[[#This Row],[fixed acidity]]&gt;Sheet1!$C$4,Table1[[#This Row],[pH]]&lt;Sheet1!$K$4),"High","Normal")</f>
        <v>Normal</v>
      </c>
      <c r="P607" s="1">
        <f>(Table1[[#This Row],[alcohol]]*2)+(Table1[[#This Row],[sulphates]]*1.5)-(Table1[[#This Row],[volatile acidity]]*2)</f>
        <v>18.085000000000001</v>
      </c>
      <c r="Q607" s="1">
        <f>RANK(Table1[[#This Row],[Quality_score_index]],Table1[Quality_score_index],0)</f>
        <v>1503</v>
      </c>
      <c r="R607" s="1">
        <f>Table1[[#This Row],[total sulfur dioxide]]-Table1[[#This Row],[free sulfur dioxide]]</f>
        <v>18</v>
      </c>
      <c r="S607" s="1" t="str">
        <f>IF(AND(Table1[[#This Row],[pH]]&gt;=3.2,Table1[[#This Row],[alcohol]]&gt;=10),"White wine","Red wine")</f>
        <v>Red wine</v>
      </c>
    </row>
    <row r="608" spans="1:19" x14ac:dyDescent="0.3">
      <c r="A608" s="13">
        <v>607</v>
      </c>
      <c r="B608" s="1">
        <v>9.4</v>
      </c>
      <c r="C608" s="1">
        <v>0.41</v>
      </c>
      <c r="D608" s="1">
        <v>0.48</v>
      </c>
      <c r="E608" s="1">
        <v>4.5999999999999996</v>
      </c>
      <c r="F608" s="1">
        <v>7.1999999999999995E-2</v>
      </c>
      <c r="G608" s="1">
        <v>10</v>
      </c>
      <c r="H608" s="1">
        <v>20</v>
      </c>
      <c r="I608" s="1">
        <v>0.99729999999999996</v>
      </c>
      <c r="J608" s="1">
        <v>3.34</v>
      </c>
      <c r="K608" s="1">
        <v>0.79</v>
      </c>
      <c r="L608" s="1">
        <v>12.2</v>
      </c>
      <c r="M608" s="2">
        <v>7</v>
      </c>
      <c r="N608" s="2" t="str" cm="1">
        <f t="array" ref="N608">_xlfn.IFS(Table1[[#This Row],[quality]]&lt;=4,"Low",Table1[[#This Row],[quality]]&lt;=6,"Medium",Table1[[#This Row],[quality]]&gt;=7,"High")</f>
        <v>High</v>
      </c>
      <c r="O608" s="2" t="str">
        <f>IF(AND(Table1[[#This Row],[fixed acidity]]&gt;Sheet1!$C$4,Table1[[#This Row],[pH]]&lt;Sheet1!$K$4),"High","Normal")</f>
        <v>Normal</v>
      </c>
      <c r="P608" s="1">
        <f>(Table1[[#This Row],[alcohol]]*2)+(Table1[[#This Row],[sulphates]]*1.5)-(Table1[[#This Row],[volatile acidity]]*2)</f>
        <v>24.764999999999997</v>
      </c>
      <c r="Q608" s="1">
        <f>RANK(Table1[[#This Row],[Quality_score_index]],Table1[Quality_score_index],0)</f>
        <v>107</v>
      </c>
      <c r="R608" s="1">
        <f>Table1[[#This Row],[total sulfur dioxide]]-Table1[[#This Row],[free sulfur dioxide]]</f>
        <v>10</v>
      </c>
      <c r="S608" s="1" t="str">
        <f>IF(AND(Table1[[#This Row],[pH]]&gt;=3.2,Table1[[#This Row],[alcohol]]&gt;=10),"White wine","Red wine")</f>
        <v>White wine</v>
      </c>
    </row>
    <row r="609" spans="1:19" x14ac:dyDescent="0.3">
      <c r="A609" s="13">
        <v>608</v>
      </c>
      <c r="B609" s="1">
        <v>8.8000000000000007</v>
      </c>
      <c r="C609" s="1">
        <v>0.48</v>
      </c>
      <c r="D609" s="1">
        <v>0.41</v>
      </c>
      <c r="E609" s="1">
        <v>3.3</v>
      </c>
      <c r="F609" s="1">
        <v>9.1999999999999998E-2</v>
      </c>
      <c r="G609" s="1">
        <v>26</v>
      </c>
      <c r="H609" s="1">
        <v>52</v>
      </c>
      <c r="I609" s="1">
        <v>0.99819999999999998</v>
      </c>
      <c r="J609" s="1">
        <v>3.31</v>
      </c>
      <c r="K609" s="1">
        <v>0.53</v>
      </c>
      <c r="L609" s="1">
        <v>10.5</v>
      </c>
      <c r="M609" s="2">
        <v>6</v>
      </c>
      <c r="N609" s="2" t="str" cm="1">
        <f t="array" ref="N609">_xlfn.IFS(Table1[[#This Row],[quality]]&lt;=4,"Low",Table1[[#This Row],[quality]]&lt;=6,"Medium",Table1[[#This Row],[quality]]&gt;=7,"High")</f>
        <v>Medium</v>
      </c>
      <c r="O609" s="2" t="str">
        <f>IF(AND(Table1[[#This Row],[fixed acidity]]&gt;Sheet1!$C$4,Table1[[#This Row],[pH]]&lt;Sheet1!$K$4),"High","Normal")</f>
        <v>High</v>
      </c>
      <c r="P609" s="1">
        <f>(Table1[[#This Row],[alcohol]]*2)+(Table1[[#This Row],[sulphates]]*1.5)-(Table1[[#This Row],[volatile acidity]]*2)</f>
        <v>20.835000000000001</v>
      </c>
      <c r="Q609" s="1">
        <f>RANK(Table1[[#This Row],[Quality_score_index]],Table1[Quality_score_index],0)</f>
        <v>693</v>
      </c>
      <c r="R609" s="1">
        <f>Table1[[#This Row],[total sulfur dioxide]]-Table1[[#This Row],[free sulfur dioxide]]</f>
        <v>26</v>
      </c>
      <c r="S609" s="1" t="str">
        <f>IF(AND(Table1[[#This Row],[pH]]&gt;=3.2,Table1[[#This Row],[alcohol]]&gt;=10),"White wine","Red wine")</f>
        <v>White wine</v>
      </c>
    </row>
    <row r="610" spans="1:19" x14ac:dyDescent="0.3">
      <c r="A610" s="13">
        <v>609</v>
      </c>
      <c r="B610" s="1">
        <v>10.1</v>
      </c>
      <c r="C610" s="1">
        <v>0.65</v>
      </c>
      <c r="D610" s="1">
        <v>0.37</v>
      </c>
      <c r="E610" s="1">
        <v>5.0999999999999996</v>
      </c>
      <c r="F610" s="1">
        <v>0.11</v>
      </c>
      <c r="G610" s="1">
        <v>11</v>
      </c>
      <c r="H610" s="1">
        <v>65</v>
      </c>
      <c r="I610" s="1">
        <v>1.0025999999999999</v>
      </c>
      <c r="J610" s="1">
        <v>3.32</v>
      </c>
      <c r="K610" s="1">
        <v>0.64</v>
      </c>
      <c r="L610" s="1">
        <v>10.4</v>
      </c>
      <c r="M610" s="2">
        <v>6</v>
      </c>
      <c r="N610" s="2" t="str" cm="1">
        <f t="array" ref="N610">_xlfn.IFS(Table1[[#This Row],[quality]]&lt;=4,"Low",Table1[[#This Row],[quality]]&lt;=6,"Medium",Table1[[#This Row],[quality]]&gt;=7,"High")</f>
        <v>Medium</v>
      </c>
      <c r="O610" s="2" t="str">
        <f>IF(AND(Table1[[#This Row],[fixed acidity]]&gt;Sheet1!$C$4,Table1[[#This Row],[pH]]&lt;Sheet1!$K$4),"High","Normal")</f>
        <v>Normal</v>
      </c>
      <c r="P610" s="1">
        <f>(Table1[[#This Row],[alcohol]]*2)+(Table1[[#This Row],[sulphates]]*1.5)-(Table1[[#This Row],[volatile acidity]]*2)</f>
        <v>20.46</v>
      </c>
      <c r="Q610" s="1">
        <f>RANK(Table1[[#This Row],[Quality_score_index]],Table1[Quality_score_index],0)</f>
        <v>759</v>
      </c>
      <c r="R610" s="1">
        <f>Table1[[#This Row],[total sulfur dioxide]]-Table1[[#This Row],[free sulfur dioxide]]</f>
        <v>54</v>
      </c>
      <c r="S610" s="1" t="str">
        <f>IF(AND(Table1[[#This Row],[pH]]&gt;=3.2,Table1[[#This Row],[alcohol]]&gt;=10),"White wine","Red wine")</f>
        <v>White wine</v>
      </c>
    </row>
    <row r="611" spans="1:19" x14ac:dyDescent="0.3">
      <c r="A611" s="13">
        <v>610</v>
      </c>
      <c r="B611" s="1">
        <v>6.3</v>
      </c>
      <c r="C611" s="1">
        <v>0.36</v>
      </c>
      <c r="D611" s="1">
        <v>0.19</v>
      </c>
      <c r="E611" s="1">
        <v>3.2</v>
      </c>
      <c r="F611" s="1">
        <v>7.4999999999999997E-2</v>
      </c>
      <c r="G611" s="1">
        <v>15</v>
      </c>
      <c r="H611" s="1">
        <v>39</v>
      </c>
      <c r="I611" s="1">
        <v>0.99560000000000004</v>
      </c>
      <c r="J611" s="1">
        <v>3.56</v>
      </c>
      <c r="K611" s="1">
        <v>0.52</v>
      </c>
      <c r="L611" s="1">
        <v>12.7</v>
      </c>
      <c r="M611" s="2">
        <v>6</v>
      </c>
      <c r="N611" s="2" t="str" cm="1">
        <f t="array" ref="N611">_xlfn.IFS(Table1[[#This Row],[quality]]&lt;=4,"Low",Table1[[#This Row],[quality]]&lt;=6,"Medium",Table1[[#This Row],[quality]]&gt;=7,"High")</f>
        <v>Medium</v>
      </c>
      <c r="O611" s="2" t="str">
        <f>IF(AND(Table1[[#This Row],[fixed acidity]]&gt;Sheet1!$C$4,Table1[[#This Row],[pH]]&lt;Sheet1!$K$4),"High","Normal")</f>
        <v>Normal</v>
      </c>
      <c r="P611" s="1">
        <f>(Table1[[#This Row],[alcohol]]*2)+(Table1[[#This Row],[sulphates]]*1.5)-(Table1[[#This Row],[volatile acidity]]*2)</f>
        <v>25.46</v>
      </c>
      <c r="Q611" s="1">
        <f>RANK(Table1[[#This Row],[Quality_score_index]],Table1[Quality_score_index],0)</f>
        <v>59</v>
      </c>
      <c r="R611" s="1">
        <f>Table1[[#This Row],[total sulfur dioxide]]-Table1[[#This Row],[free sulfur dioxide]]</f>
        <v>24</v>
      </c>
      <c r="S611" s="1" t="str">
        <f>IF(AND(Table1[[#This Row],[pH]]&gt;=3.2,Table1[[#This Row],[alcohol]]&gt;=10),"White wine","Red wine")</f>
        <v>White wine</v>
      </c>
    </row>
    <row r="612" spans="1:19" x14ac:dyDescent="0.3">
      <c r="A612" s="13">
        <v>611</v>
      </c>
      <c r="B612" s="1">
        <v>8.8000000000000007</v>
      </c>
      <c r="C612" s="1">
        <v>0.24</v>
      </c>
      <c r="D612" s="1">
        <v>0.54</v>
      </c>
      <c r="E612" s="1">
        <v>2.5</v>
      </c>
      <c r="F612" s="1">
        <v>8.3000000000000004E-2</v>
      </c>
      <c r="G612" s="1">
        <v>25</v>
      </c>
      <c r="H612" s="1">
        <v>57</v>
      </c>
      <c r="I612" s="1">
        <v>0.99829999999999997</v>
      </c>
      <c r="J612" s="1">
        <v>3.39</v>
      </c>
      <c r="K612" s="1">
        <v>0.54</v>
      </c>
      <c r="L612" s="1">
        <v>9.1999999999999993</v>
      </c>
      <c r="M612" s="2">
        <v>5</v>
      </c>
      <c r="N612" s="2" t="str" cm="1">
        <f t="array" ref="N612">_xlfn.IFS(Table1[[#This Row],[quality]]&lt;=4,"Low",Table1[[#This Row],[quality]]&lt;=6,"Medium",Table1[[#This Row],[quality]]&gt;=7,"High")</f>
        <v>Medium</v>
      </c>
      <c r="O612" s="2" t="str">
        <f>IF(AND(Table1[[#This Row],[fixed acidity]]&gt;Sheet1!$C$4,Table1[[#This Row],[pH]]&lt;Sheet1!$K$4),"High","Normal")</f>
        <v>Normal</v>
      </c>
      <c r="P612" s="1">
        <f>(Table1[[#This Row],[alcohol]]*2)+(Table1[[#This Row],[sulphates]]*1.5)-(Table1[[#This Row],[volatile acidity]]*2)</f>
        <v>18.729999999999997</v>
      </c>
      <c r="Q612" s="1">
        <f>RANK(Table1[[#This Row],[Quality_score_index]],Table1[Quality_score_index],0)</f>
        <v>1272</v>
      </c>
      <c r="R612" s="1">
        <f>Table1[[#This Row],[total sulfur dioxide]]-Table1[[#This Row],[free sulfur dioxide]]</f>
        <v>32</v>
      </c>
      <c r="S612" s="1" t="str">
        <f>IF(AND(Table1[[#This Row],[pH]]&gt;=3.2,Table1[[#This Row],[alcohol]]&gt;=10),"White wine","Red wine")</f>
        <v>Red wine</v>
      </c>
    </row>
    <row r="613" spans="1:19" x14ac:dyDescent="0.3">
      <c r="A613" s="13">
        <v>612</v>
      </c>
      <c r="B613" s="1">
        <v>13.2</v>
      </c>
      <c r="C613" s="1">
        <v>0.38</v>
      </c>
      <c r="D613" s="1">
        <v>0.55000000000000004</v>
      </c>
      <c r="E613" s="1">
        <v>2.7</v>
      </c>
      <c r="F613" s="1">
        <v>8.1000000000000003E-2</v>
      </c>
      <c r="G613" s="1">
        <v>5</v>
      </c>
      <c r="H613" s="1">
        <v>16</v>
      </c>
      <c r="I613" s="1">
        <v>1.0005999999999999</v>
      </c>
      <c r="J613" s="1">
        <v>2.98</v>
      </c>
      <c r="K613" s="1">
        <v>0.54</v>
      </c>
      <c r="L613" s="1">
        <v>9.4</v>
      </c>
      <c r="M613" s="2">
        <v>5</v>
      </c>
      <c r="N613" s="2" t="str" cm="1">
        <f t="array" ref="N613">_xlfn.IFS(Table1[[#This Row],[quality]]&lt;=4,"Low",Table1[[#This Row],[quality]]&lt;=6,"Medium",Table1[[#This Row],[quality]]&gt;=7,"High")</f>
        <v>Medium</v>
      </c>
      <c r="O613" s="2" t="str">
        <f>IF(AND(Table1[[#This Row],[fixed acidity]]&gt;Sheet1!$C$4,Table1[[#This Row],[pH]]&lt;Sheet1!$K$4),"High","Normal")</f>
        <v>High</v>
      </c>
      <c r="P613" s="1">
        <f>(Table1[[#This Row],[alcohol]]*2)+(Table1[[#This Row],[sulphates]]*1.5)-(Table1[[#This Row],[volatile acidity]]*2)</f>
        <v>18.849999999999998</v>
      </c>
      <c r="Q613" s="1">
        <f>RANK(Table1[[#This Row],[Quality_score_index]],Table1[Quality_score_index],0)</f>
        <v>1227</v>
      </c>
      <c r="R613" s="1">
        <f>Table1[[#This Row],[total sulfur dioxide]]-Table1[[#This Row],[free sulfur dioxide]]</f>
        <v>11</v>
      </c>
      <c r="S613" s="1" t="str">
        <f>IF(AND(Table1[[#This Row],[pH]]&gt;=3.2,Table1[[#This Row],[alcohol]]&gt;=10),"White wine","Red wine")</f>
        <v>Red wine</v>
      </c>
    </row>
    <row r="614" spans="1:19" x14ac:dyDescent="0.3">
      <c r="A614" s="13">
        <v>613</v>
      </c>
      <c r="B614" s="1">
        <v>7.5</v>
      </c>
      <c r="C614" s="1">
        <v>0.64</v>
      </c>
      <c r="D614" s="1">
        <v>0</v>
      </c>
      <c r="E614" s="1">
        <v>2.4</v>
      </c>
      <c r="F614" s="1">
        <v>7.6999999999999999E-2</v>
      </c>
      <c r="G614" s="1">
        <v>18</v>
      </c>
      <c r="H614" s="1">
        <v>29</v>
      </c>
      <c r="I614" s="1">
        <v>0.99650000000000005</v>
      </c>
      <c r="J614" s="1">
        <v>3.32</v>
      </c>
      <c r="K614" s="1">
        <v>0.6</v>
      </c>
      <c r="L614" s="1">
        <v>10</v>
      </c>
      <c r="M614" s="2">
        <v>6</v>
      </c>
      <c r="N614" s="2" t="str" cm="1">
        <f t="array" ref="N614">_xlfn.IFS(Table1[[#This Row],[quality]]&lt;=4,"Low",Table1[[#This Row],[quality]]&lt;=6,"Medium",Table1[[#This Row],[quality]]&gt;=7,"High")</f>
        <v>Medium</v>
      </c>
      <c r="O614" s="2" t="str">
        <f>IF(AND(Table1[[#This Row],[fixed acidity]]&gt;Sheet1!$C$4,Table1[[#This Row],[pH]]&lt;Sheet1!$K$4),"High","Normal")</f>
        <v>Normal</v>
      </c>
      <c r="P614" s="1">
        <f>(Table1[[#This Row],[alcohol]]*2)+(Table1[[#This Row],[sulphates]]*1.5)-(Table1[[#This Row],[volatile acidity]]*2)</f>
        <v>19.619999999999997</v>
      </c>
      <c r="Q614" s="1">
        <f>RANK(Table1[[#This Row],[Quality_score_index]],Table1[Quality_score_index],0)</f>
        <v>944</v>
      </c>
      <c r="R614" s="1">
        <f>Table1[[#This Row],[total sulfur dioxide]]-Table1[[#This Row],[free sulfur dioxide]]</f>
        <v>11</v>
      </c>
      <c r="S614" s="1" t="str">
        <f>IF(AND(Table1[[#This Row],[pH]]&gt;=3.2,Table1[[#This Row],[alcohol]]&gt;=10),"White wine","Red wine")</f>
        <v>White wine</v>
      </c>
    </row>
    <row r="615" spans="1:19" x14ac:dyDescent="0.3">
      <c r="A615" s="13">
        <v>614</v>
      </c>
      <c r="B615" s="1">
        <v>8.1999999999999993</v>
      </c>
      <c r="C615" s="1">
        <v>0.39</v>
      </c>
      <c r="D615" s="1">
        <v>0.38</v>
      </c>
      <c r="E615" s="1">
        <v>1.5</v>
      </c>
      <c r="F615" s="1">
        <v>5.8000000000000003E-2</v>
      </c>
      <c r="G615" s="1">
        <v>10</v>
      </c>
      <c r="H615" s="1">
        <v>29</v>
      </c>
      <c r="I615" s="1">
        <v>0.99619999999999997</v>
      </c>
      <c r="J615" s="1">
        <v>3.26</v>
      </c>
      <c r="K615" s="1">
        <v>0.74</v>
      </c>
      <c r="L615" s="1">
        <v>9.8000000000000007</v>
      </c>
      <c r="M615" s="2">
        <v>5</v>
      </c>
      <c r="N615" s="2" t="str" cm="1">
        <f t="array" ref="N615">_xlfn.IFS(Table1[[#This Row],[quality]]&lt;=4,"Low",Table1[[#This Row],[quality]]&lt;=6,"Medium",Table1[[#This Row],[quality]]&gt;=7,"High")</f>
        <v>Medium</v>
      </c>
      <c r="O615" s="2" t="str">
        <f>IF(AND(Table1[[#This Row],[fixed acidity]]&gt;Sheet1!$C$4,Table1[[#This Row],[pH]]&lt;Sheet1!$K$4),"High","Normal")</f>
        <v>Normal</v>
      </c>
      <c r="P615" s="1">
        <f>(Table1[[#This Row],[alcohol]]*2)+(Table1[[#This Row],[sulphates]]*1.5)-(Table1[[#This Row],[volatile acidity]]*2)</f>
        <v>19.93</v>
      </c>
      <c r="Q615" s="1">
        <f>RANK(Table1[[#This Row],[Quality_score_index]],Table1[Quality_score_index],0)</f>
        <v>868</v>
      </c>
      <c r="R615" s="1">
        <f>Table1[[#This Row],[total sulfur dioxide]]-Table1[[#This Row],[free sulfur dioxide]]</f>
        <v>19</v>
      </c>
      <c r="S615" s="1" t="str">
        <f>IF(AND(Table1[[#This Row],[pH]]&gt;=3.2,Table1[[#This Row],[alcohol]]&gt;=10),"White wine","Red wine")</f>
        <v>Red wine</v>
      </c>
    </row>
    <row r="616" spans="1:19" x14ac:dyDescent="0.3">
      <c r="A616" s="13">
        <v>615</v>
      </c>
      <c r="B616" s="1">
        <v>9.1999999999999993</v>
      </c>
      <c r="C616" s="1">
        <v>0.755</v>
      </c>
      <c r="D616" s="1">
        <v>0.18</v>
      </c>
      <c r="E616" s="1">
        <v>2.2000000000000002</v>
      </c>
      <c r="F616" s="1">
        <v>0.14799999999999999</v>
      </c>
      <c r="G616" s="1">
        <v>10</v>
      </c>
      <c r="H616" s="1">
        <v>103</v>
      </c>
      <c r="I616" s="1">
        <v>0.99690000000000001</v>
      </c>
      <c r="J616" s="1">
        <v>2.87</v>
      </c>
      <c r="K616" s="1">
        <v>1.36</v>
      </c>
      <c r="L616" s="1">
        <v>10.199999999999999</v>
      </c>
      <c r="M616" s="2">
        <v>6</v>
      </c>
      <c r="N616" s="2" t="str" cm="1">
        <f t="array" ref="N616">_xlfn.IFS(Table1[[#This Row],[quality]]&lt;=4,"Low",Table1[[#This Row],[quality]]&lt;=6,"Medium",Table1[[#This Row],[quality]]&gt;=7,"High")</f>
        <v>Medium</v>
      </c>
      <c r="O616" s="2" t="str">
        <f>IF(AND(Table1[[#This Row],[fixed acidity]]&gt;Sheet1!$C$4,Table1[[#This Row],[pH]]&lt;Sheet1!$K$4),"High","Normal")</f>
        <v>High</v>
      </c>
      <c r="P616" s="1">
        <f>(Table1[[#This Row],[alcohol]]*2)+(Table1[[#This Row],[sulphates]]*1.5)-(Table1[[#This Row],[volatile acidity]]*2)</f>
        <v>20.929999999999996</v>
      </c>
      <c r="Q616" s="1">
        <f>RANK(Table1[[#This Row],[Quality_score_index]],Table1[Quality_score_index],0)</f>
        <v>668</v>
      </c>
      <c r="R616" s="1">
        <f>Table1[[#This Row],[total sulfur dioxide]]-Table1[[#This Row],[free sulfur dioxide]]</f>
        <v>93</v>
      </c>
      <c r="S616" s="1" t="str">
        <f>IF(AND(Table1[[#This Row],[pH]]&gt;=3.2,Table1[[#This Row],[alcohol]]&gt;=10),"White wine","Red wine")</f>
        <v>Red wine</v>
      </c>
    </row>
    <row r="617" spans="1:19" x14ac:dyDescent="0.3">
      <c r="A617" s="13">
        <v>616</v>
      </c>
      <c r="B617" s="1">
        <v>9.6</v>
      </c>
      <c r="C617" s="1">
        <v>0.6</v>
      </c>
      <c r="D617" s="1">
        <v>0.5</v>
      </c>
      <c r="E617" s="1">
        <v>2.2999999999999998</v>
      </c>
      <c r="F617" s="1">
        <v>7.9000000000000001E-2</v>
      </c>
      <c r="G617" s="1">
        <v>28</v>
      </c>
      <c r="H617" s="1">
        <v>71</v>
      </c>
      <c r="I617" s="1">
        <v>0.99970000000000003</v>
      </c>
      <c r="J617" s="1">
        <v>3.5</v>
      </c>
      <c r="K617" s="1">
        <v>0.56999999999999995</v>
      </c>
      <c r="L617" s="1">
        <v>9.6999999999999993</v>
      </c>
      <c r="M617" s="2">
        <v>5</v>
      </c>
      <c r="N617" s="2" t="str" cm="1">
        <f t="array" ref="N617">_xlfn.IFS(Table1[[#This Row],[quality]]&lt;=4,"Low",Table1[[#This Row],[quality]]&lt;=6,"Medium",Table1[[#This Row],[quality]]&gt;=7,"High")</f>
        <v>Medium</v>
      </c>
      <c r="O617" s="2" t="str">
        <f>IF(AND(Table1[[#This Row],[fixed acidity]]&gt;Sheet1!$C$4,Table1[[#This Row],[pH]]&lt;Sheet1!$K$4),"High","Normal")</f>
        <v>Normal</v>
      </c>
      <c r="P617" s="1">
        <f>(Table1[[#This Row],[alcohol]]*2)+(Table1[[#This Row],[sulphates]]*1.5)-(Table1[[#This Row],[volatile acidity]]*2)</f>
        <v>19.055</v>
      </c>
      <c r="Q617" s="1">
        <f>RANK(Table1[[#This Row],[Quality_score_index]],Table1[Quality_score_index],0)</f>
        <v>1145</v>
      </c>
      <c r="R617" s="1">
        <f>Table1[[#This Row],[total sulfur dioxide]]-Table1[[#This Row],[free sulfur dioxide]]</f>
        <v>43</v>
      </c>
      <c r="S617" s="1" t="str">
        <f>IF(AND(Table1[[#This Row],[pH]]&gt;=3.2,Table1[[#This Row],[alcohol]]&gt;=10),"White wine","Red wine")</f>
        <v>Red wine</v>
      </c>
    </row>
    <row r="618" spans="1:19" x14ac:dyDescent="0.3">
      <c r="A618" s="13">
        <v>617</v>
      </c>
      <c r="B618" s="1">
        <v>9.6</v>
      </c>
      <c r="C618" s="1">
        <v>0.6</v>
      </c>
      <c r="D618" s="1">
        <v>0.5</v>
      </c>
      <c r="E618" s="1">
        <v>2.2999999999999998</v>
      </c>
      <c r="F618" s="1">
        <v>7.9000000000000001E-2</v>
      </c>
      <c r="G618" s="1">
        <v>28</v>
      </c>
      <c r="H618" s="1">
        <v>71</v>
      </c>
      <c r="I618" s="1">
        <v>0.99970000000000003</v>
      </c>
      <c r="J618" s="1">
        <v>3.5</v>
      </c>
      <c r="K618" s="1">
        <v>0.56999999999999995</v>
      </c>
      <c r="L618" s="1">
        <v>9.6999999999999993</v>
      </c>
      <c r="M618" s="2">
        <v>5</v>
      </c>
      <c r="N618" s="2" t="str" cm="1">
        <f t="array" ref="N618">_xlfn.IFS(Table1[[#This Row],[quality]]&lt;=4,"Low",Table1[[#This Row],[quality]]&lt;=6,"Medium",Table1[[#This Row],[quality]]&gt;=7,"High")</f>
        <v>Medium</v>
      </c>
      <c r="O618" s="2" t="str">
        <f>IF(AND(Table1[[#This Row],[fixed acidity]]&gt;Sheet1!$C$4,Table1[[#This Row],[pH]]&lt;Sheet1!$K$4),"High","Normal")</f>
        <v>Normal</v>
      </c>
      <c r="P618" s="1">
        <f>(Table1[[#This Row],[alcohol]]*2)+(Table1[[#This Row],[sulphates]]*1.5)-(Table1[[#This Row],[volatile acidity]]*2)</f>
        <v>19.055</v>
      </c>
      <c r="Q618" s="1">
        <f>RANK(Table1[[#This Row],[Quality_score_index]],Table1[Quality_score_index],0)</f>
        <v>1145</v>
      </c>
      <c r="R618" s="1">
        <f>Table1[[#This Row],[total sulfur dioxide]]-Table1[[#This Row],[free sulfur dioxide]]</f>
        <v>43</v>
      </c>
      <c r="S618" s="1" t="str">
        <f>IF(AND(Table1[[#This Row],[pH]]&gt;=3.2,Table1[[#This Row],[alcohol]]&gt;=10),"White wine","Red wine")</f>
        <v>Red wine</v>
      </c>
    </row>
    <row r="619" spans="1:19" x14ac:dyDescent="0.3">
      <c r="A619" s="13">
        <v>618</v>
      </c>
      <c r="B619" s="1">
        <v>11.5</v>
      </c>
      <c r="C619" s="1">
        <v>0.31</v>
      </c>
      <c r="D619" s="1">
        <v>0.51</v>
      </c>
      <c r="E619" s="1">
        <v>2.2000000000000002</v>
      </c>
      <c r="F619" s="1">
        <v>7.9000000000000001E-2</v>
      </c>
      <c r="G619" s="1">
        <v>14</v>
      </c>
      <c r="H619" s="1">
        <v>28</v>
      </c>
      <c r="I619" s="1">
        <v>0.99819999999999998</v>
      </c>
      <c r="J619" s="1">
        <v>3.03</v>
      </c>
      <c r="K619" s="1">
        <v>0.93</v>
      </c>
      <c r="L619" s="1">
        <v>9.8000000000000007</v>
      </c>
      <c r="M619" s="2">
        <v>6</v>
      </c>
      <c r="N619" s="2" t="str" cm="1">
        <f t="array" ref="N619">_xlfn.IFS(Table1[[#This Row],[quality]]&lt;=4,"Low",Table1[[#This Row],[quality]]&lt;=6,"Medium",Table1[[#This Row],[quality]]&gt;=7,"High")</f>
        <v>Medium</v>
      </c>
      <c r="O619" s="2" t="str">
        <f>IF(AND(Table1[[#This Row],[fixed acidity]]&gt;Sheet1!$C$4,Table1[[#This Row],[pH]]&lt;Sheet1!$K$4),"High","Normal")</f>
        <v>High</v>
      </c>
      <c r="P619" s="1">
        <f>(Table1[[#This Row],[alcohol]]*2)+(Table1[[#This Row],[sulphates]]*1.5)-(Table1[[#This Row],[volatile acidity]]*2)</f>
        <v>20.375</v>
      </c>
      <c r="Q619" s="1">
        <f>RANK(Table1[[#This Row],[Quality_score_index]],Table1[Quality_score_index],0)</f>
        <v>774</v>
      </c>
      <c r="R619" s="1">
        <f>Table1[[#This Row],[total sulfur dioxide]]-Table1[[#This Row],[free sulfur dioxide]]</f>
        <v>14</v>
      </c>
      <c r="S619" s="1" t="str">
        <f>IF(AND(Table1[[#This Row],[pH]]&gt;=3.2,Table1[[#This Row],[alcohol]]&gt;=10),"White wine","Red wine")</f>
        <v>Red wine</v>
      </c>
    </row>
    <row r="620" spans="1:19" x14ac:dyDescent="0.3">
      <c r="A620" s="13">
        <v>619</v>
      </c>
      <c r="B620" s="1">
        <v>11.4</v>
      </c>
      <c r="C620" s="1">
        <v>0.46</v>
      </c>
      <c r="D620" s="1">
        <v>0.5</v>
      </c>
      <c r="E620" s="1">
        <v>2.7</v>
      </c>
      <c r="F620" s="1">
        <v>0.122</v>
      </c>
      <c r="G620" s="1">
        <v>4</v>
      </c>
      <c r="H620" s="1">
        <v>17</v>
      </c>
      <c r="I620" s="1">
        <v>1.0005999999999999</v>
      </c>
      <c r="J620" s="1">
        <v>3.13</v>
      </c>
      <c r="K620" s="1">
        <v>0.7</v>
      </c>
      <c r="L620" s="1">
        <v>10.199999999999999</v>
      </c>
      <c r="M620" s="2">
        <v>5</v>
      </c>
      <c r="N620" s="2" t="str" cm="1">
        <f t="array" ref="N620">_xlfn.IFS(Table1[[#This Row],[quality]]&lt;=4,"Low",Table1[[#This Row],[quality]]&lt;=6,"Medium",Table1[[#This Row],[quality]]&gt;=7,"High")</f>
        <v>Medium</v>
      </c>
      <c r="O620" s="2" t="str">
        <f>IF(AND(Table1[[#This Row],[fixed acidity]]&gt;Sheet1!$C$4,Table1[[#This Row],[pH]]&lt;Sheet1!$K$4),"High","Normal")</f>
        <v>High</v>
      </c>
      <c r="P620" s="1">
        <f>(Table1[[#This Row],[alcohol]]*2)+(Table1[[#This Row],[sulphates]]*1.5)-(Table1[[#This Row],[volatile acidity]]*2)</f>
        <v>20.529999999999998</v>
      </c>
      <c r="Q620" s="1">
        <f>RANK(Table1[[#This Row],[Quality_score_index]],Table1[Quality_score_index],0)</f>
        <v>752</v>
      </c>
      <c r="R620" s="1">
        <f>Table1[[#This Row],[total sulfur dioxide]]-Table1[[#This Row],[free sulfur dioxide]]</f>
        <v>13</v>
      </c>
      <c r="S620" s="1" t="str">
        <f>IF(AND(Table1[[#This Row],[pH]]&gt;=3.2,Table1[[#This Row],[alcohol]]&gt;=10),"White wine","Red wine")</f>
        <v>Red wine</v>
      </c>
    </row>
    <row r="621" spans="1:19" x14ac:dyDescent="0.3">
      <c r="A621" s="13">
        <v>620</v>
      </c>
      <c r="B621" s="1">
        <v>11.3</v>
      </c>
      <c r="C621" s="1">
        <v>0.37</v>
      </c>
      <c r="D621" s="1">
        <v>0.41</v>
      </c>
      <c r="E621" s="1">
        <v>2.2999999999999998</v>
      </c>
      <c r="F621" s="1">
        <v>8.7999999999999995E-2</v>
      </c>
      <c r="G621" s="1">
        <v>6</v>
      </c>
      <c r="H621" s="1">
        <v>16</v>
      </c>
      <c r="I621" s="1">
        <v>0.99880000000000002</v>
      </c>
      <c r="J621" s="1">
        <v>3.09</v>
      </c>
      <c r="K621" s="1">
        <v>0.8</v>
      </c>
      <c r="L621" s="1">
        <v>9.3000000000000007</v>
      </c>
      <c r="M621" s="2">
        <v>5</v>
      </c>
      <c r="N621" s="2" t="str" cm="1">
        <f t="array" ref="N621">_xlfn.IFS(Table1[[#This Row],[quality]]&lt;=4,"Low",Table1[[#This Row],[quality]]&lt;=6,"Medium",Table1[[#This Row],[quality]]&gt;=7,"High")</f>
        <v>Medium</v>
      </c>
      <c r="O621" s="2" t="str">
        <f>IF(AND(Table1[[#This Row],[fixed acidity]]&gt;Sheet1!$C$4,Table1[[#This Row],[pH]]&lt;Sheet1!$K$4),"High","Normal")</f>
        <v>High</v>
      </c>
      <c r="P621" s="1">
        <f>(Table1[[#This Row],[alcohol]]*2)+(Table1[[#This Row],[sulphates]]*1.5)-(Table1[[#This Row],[volatile acidity]]*2)</f>
        <v>19.060000000000002</v>
      </c>
      <c r="Q621" s="1">
        <f>RANK(Table1[[#This Row],[Quality_score_index]],Table1[Quality_score_index],0)</f>
        <v>1141</v>
      </c>
      <c r="R621" s="1">
        <f>Table1[[#This Row],[total sulfur dioxide]]-Table1[[#This Row],[free sulfur dioxide]]</f>
        <v>10</v>
      </c>
      <c r="S621" s="1" t="str">
        <f>IF(AND(Table1[[#This Row],[pH]]&gt;=3.2,Table1[[#This Row],[alcohol]]&gt;=10),"White wine","Red wine")</f>
        <v>Red wine</v>
      </c>
    </row>
    <row r="622" spans="1:19" x14ac:dyDescent="0.3">
      <c r="A622" s="13">
        <v>621</v>
      </c>
      <c r="B622" s="1">
        <v>8.3000000000000007</v>
      </c>
      <c r="C622" s="1">
        <v>0.54</v>
      </c>
      <c r="D622" s="1">
        <v>0.24</v>
      </c>
      <c r="E622" s="1">
        <v>3.4</v>
      </c>
      <c r="F622" s="1">
        <v>7.5999999999999998E-2</v>
      </c>
      <c r="G622" s="1">
        <v>16</v>
      </c>
      <c r="H622" s="1">
        <v>112</v>
      </c>
      <c r="I622" s="1">
        <v>0.99760000000000004</v>
      </c>
      <c r="J622" s="1">
        <v>3.27</v>
      </c>
      <c r="K622" s="1">
        <v>0.61</v>
      </c>
      <c r="L622" s="1">
        <v>9.4</v>
      </c>
      <c r="M622" s="2">
        <v>5</v>
      </c>
      <c r="N622" s="2" t="str" cm="1">
        <f t="array" ref="N622">_xlfn.IFS(Table1[[#This Row],[quality]]&lt;=4,"Low",Table1[[#This Row],[quality]]&lt;=6,"Medium",Table1[[#This Row],[quality]]&gt;=7,"High")</f>
        <v>Medium</v>
      </c>
      <c r="O622" s="2" t="str">
        <f>IF(AND(Table1[[#This Row],[fixed acidity]]&gt;Sheet1!$C$4,Table1[[#This Row],[pH]]&lt;Sheet1!$K$4),"High","Normal")</f>
        <v>Normal</v>
      </c>
      <c r="P622" s="1">
        <f>(Table1[[#This Row],[alcohol]]*2)+(Table1[[#This Row],[sulphates]]*1.5)-(Table1[[#This Row],[volatile acidity]]*2)</f>
        <v>18.634999999999998</v>
      </c>
      <c r="Q622" s="1">
        <f>RANK(Table1[[#This Row],[Quality_score_index]],Table1[Quality_score_index],0)</f>
        <v>1328</v>
      </c>
      <c r="R622" s="1">
        <f>Table1[[#This Row],[total sulfur dioxide]]-Table1[[#This Row],[free sulfur dioxide]]</f>
        <v>96</v>
      </c>
      <c r="S622" s="1" t="str">
        <f>IF(AND(Table1[[#This Row],[pH]]&gt;=3.2,Table1[[#This Row],[alcohol]]&gt;=10),"White wine","Red wine")</f>
        <v>Red wine</v>
      </c>
    </row>
    <row r="623" spans="1:19" x14ac:dyDescent="0.3">
      <c r="A623" s="13">
        <v>622</v>
      </c>
      <c r="B623" s="1">
        <v>8.1999999999999993</v>
      </c>
      <c r="C623" s="1">
        <v>0.56000000000000005</v>
      </c>
      <c r="D623" s="1">
        <v>0.23</v>
      </c>
      <c r="E623" s="1">
        <v>3.4</v>
      </c>
      <c r="F623" s="1">
        <v>7.8E-2</v>
      </c>
      <c r="G623" s="1">
        <v>14</v>
      </c>
      <c r="H623" s="1">
        <v>104</v>
      </c>
      <c r="I623" s="1">
        <v>0.99760000000000004</v>
      </c>
      <c r="J623" s="1">
        <v>3.28</v>
      </c>
      <c r="K623" s="1">
        <v>0.62</v>
      </c>
      <c r="L623" s="1">
        <v>9.4</v>
      </c>
      <c r="M623" s="2">
        <v>5</v>
      </c>
      <c r="N623" s="2" t="str" cm="1">
        <f t="array" ref="N623">_xlfn.IFS(Table1[[#This Row],[quality]]&lt;=4,"Low",Table1[[#This Row],[quality]]&lt;=6,"Medium",Table1[[#This Row],[quality]]&gt;=7,"High")</f>
        <v>Medium</v>
      </c>
      <c r="O623" s="2" t="str">
        <f>IF(AND(Table1[[#This Row],[fixed acidity]]&gt;Sheet1!$C$4,Table1[[#This Row],[pH]]&lt;Sheet1!$K$4),"High","Normal")</f>
        <v>Normal</v>
      </c>
      <c r="P623" s="1">
        <f>(Table1[[#This Row],[alcohol]]*2)+(Table1[[#This Row],[sulphates]]*1.5)-(Table1[[#This Row],[volatile acidity]]*2)</f>
        <v>18.61</v>
      </c>
      <c r="Q623" s="1">
        <f>RANK(Table1[[#This Row],[Quality_score_index]],Table1[Quality_score_index],0)</f>
        <v>1343</v>
      </c>
      <c r="R623" s="1">
        <f>Table1[[#This Row],[total sulfur dioxide]]-Table1[[#This Row],[free sulfur dioxide]]</f>
        <v>90</v>
      </c>
      <c r="S623" s="1" t="str">
        <f>IF(AND(Table1[[#This Row],[pH]]&gt;=3.2,Table1[[#This Row],[alcohol]]&gt;=10),"White wine","Red wine")</f>
        <v>Red wine</v>
      </c>
    </row>
    <row r="624" spans="1:19" x14ac:dyDescent="0.3">
      <c r="A624" s="13">
        <v>623</v>
      </c>
      <c r="B624" s="1">
        <v>10</v>
      </c>
      <c r="C624" s="1">
        <v>0.57999999999999996</v>
      </c>
      <c r="D624" s="1">
        <v>0.22</v>
      </c>
      <c r="E624" s="1">
        <v>1.9</v>
      </c>
      <c r="F624" s="1">
        <v>0.08</v>
      </c>
      <c r="G624" s="1">
        <v>9</v>
      </c>
      <c r="H624" s="1">
        <v>32</v>
      </c>
      <c r="I624" s="1">
        <v>0.99739999999999995</v>
      </c>
      <c r="J624" s="1">
        <v>3.13</v>
      </c>
      <c r="K624" s="1">
        <v>0.55000000000000004</v>
      </c>
      <c r="L624" s="1">
        <v>9.5</v>
      </c>
      <c r="M624" s="2">
        <v>5</v>
      </c>
      <c r="N624" s="2" t="str" cm="1">
        <f t="array" ref="N624">_xlfn.IFS(Table1[[#This Row],[quality]]&lt;=4,"Low",Table1[[#This Row],[quality]]&lt;=6,"Medium",Table1[[#This Row],[quality]]&gt;=7,"High")</f>
        <v>Medium</v>
      </c>
      <c r="O624" s="2" t="str">
        <f>IF(AND(Table1[[#This Row],[fixed acidity]]&gt;Sheet1!$C$4,Table1[[#This Row],[pH]]&lt;Sheet1!$K$4),"High","Normal")</f>
        <v>High</v>
      </c>
      <c r="P624" s="1">
        <f>(Table1[[#This Row],[alcohol]]*2)+(Table1[[#This Row],[sulphates]]*1.5)-(Table1[[#This Row],[volatile acidity]]*2)</f>
        <v>18.664999999999999</v>
      </c>
      <c r="Q624" s="1">
        <f>RANK(Table1[[#This Row],[Quality_score_index]],Table1[Quality_score_index],0)</f>
        <v>1311</v>
      </c>
      <c r="R624" s="1">
        <f>Table1[[#This Row],[total sulfur dioxide]]-Table1[[#This Row],[free sulfur dioxide]]</f>
        <v>23</v>
      </c>
      <c r="S624" s="1" t="str">
        <f>IF(AND(Table1[[#This Row],[pH]]&gt;=3.2,Table1[[#This Row],[alcohol]]&gt;=10),"White wine","Red wine")</f>
        <v>Red wine</v>
      </c>
    </row>
    <row r="625" spans="1:19" x14ac:dyDescent="0.3">
      <c r="A625" s="13">
        <v>624</v>
      </c>
      <c r="B625" s="1">
        <v>7.9</v>
      </c>
      <c r="C625" s="1">
        <v>0.51</v>
      </c>
      <c r="D625" s="1">
        <v>0.25</v>
      </c>
      <c r="E625" s="1">
        <v>2.9</v>
      </c>
      <c r="F625" s="1">
        <v>7.6999999999999999E-2</v>
      </c>
      <c r="G625" s="1">
        <v>21</v>
      </c>
      <c r="H625" s="1">
        <v>45</v>
      </c>
      <c r="I625" s="1">
        <v>0.99739999999999995</v>
      </c>
      <c r="J625" s="1">
        <v>3.49</v>
      </c>
      <c r="K625" s="1">
        <v>0.96</v>
      </c>
      <c r="L625" s="1">
        <v>12.1</v>
      </c>
      <c r="M625" s="2">
        <v>6</v>
      </c>
      <c r="N625" s="2" t="str" cm="1">
        <f t="array" ref="N625">_xlfn.IFS(Table1[[#This Row],[quality]]&lt;=4,"Low",Table1[[#This Row],[quality]]&lt;=6,"Medium",Table1[[#This Row],[quality]]&gt;=7,"High")</f>
        <v>Medium</v>
      </c>
      <c r="O625" s="2" t="str">
        <f>IF(AND(Table1[[#This Row],[fixed acidity]]&gt;Sheet1!$C$4,Table1[[#This Row],[pH]]&lt;Sheet1!$K$4),"High","Normal")</f>
        <v>Normal</v>
      </c>
      <c r="P625" s="1">
        <f>(Table1[[#This Row],[alcohol]]*2)+(Table1[[#This Row],[sulphates]]*1.5)-(Table1[[#This Row],[volatile acidity]]*2)</f>
        <v>24.62</v>
      </c>
      <c r="Q625" s="1">
        <f>RANK(Table1[[#This Row],[Quality_score_index]],Table1[Quality_score_index],0)</f>
        <v>117</v>
      </c>
      <c r="R625" s="1">
        <f>Table1[[#This Row],[total sulfur dioxide]]-Table1[[#This Row],[free sulfur dioxide]]</f>
        <v>24</v>
      </c>
      <c r="S625" s="1" t="str">
        <f>IF(AND(Table1[[#This Row],[pH]]&gt;=3.2,Table1[[#This Row],[alcohol]]&gt;=10),"White wine","Red wine")</f>
        <v>White wine</v>
      </c>
    </row>
    <row r="626" spans="1:19" x14ac:dyDescent="0.3">
      <c r="A626" s="13">
        <v>625</v>
      </c>
      <c r="B626" s="1">
        <v>6.8</v>
      </c>
      <c r="C626" s="1">
        <v>0.69</v>
      </c>
      <c r="D626" s="1">
        <v>0</v>
      </c>
      <c r="E626" s="1">
        <v>5.6</v>
      </c>
      <c r="F626" s="1">
        <v>0.124</v>
      </c>
      <c r="G626" s="1">
        <v>21</v>
      </c>
      <c r="H626" s="1">
        <v>58</v>
      </c>
      <c r="I626" s="1">
        <v>0.99970000000000003</v>
      </c>
      <c r="J626" s="1">
        <v>3.46</v>
      </c>
      <c r="K626" s="1">
        <v>0.72</v>
      </c>
      <c r="L626" s="1">
        <v>10.199999999999999</v>
      </c>
      <c r="M626" s="2">
        <v>5</v>
      </c>
      <c r="N626" s="2" t="str" cm="1">
        <f t="array" ref="N626">_xlfn.IFS(Table1[[#This Row],[quality]]&lt;=4,"Low",Table1[[#This Row],[quality]]&lt;=6,"Medium",Table1[[#This Row],[quality]]&gt;=7,"High")</f>
        <v>Medium</v>
      </c>
      <c r="O626" s="2" t="str">
        <f>IF(AND(Table1[[#This Row],[fixed acidity]]&gt;Sheet1!$C$4,Table1[[#This Row],[pH]]&lt;Sheet1!$K$4),"High","Normal")</f>
        <v>Normal</v>
      </c>
      <c r="P626" s="1">
        <f>(Table1[[#This Row],[alcohol]]*2)+(Table1[[#This Row],[sulphates]]*1.5)-(Table1[[#This Row],[volatile acidity]]*2)</f>
        <v>20.099999999999998</v>
      </c>
      <c r="Q626" s="1">
        <f>RANK(Table1[[#This Row],[Quality_score_index]],Table1[Quality_score_index],0)</f>
        <v>838</v>
      </c>
      <c r="R626" s="1">
        <f>Table1[[#This Row],[total sulfur dioxide]]-Table1[[#This Row],[free sulfur dioxide]]</f>
        <v>37</v>
      </c>
      <c r="S626" s="1" t="str">
        <f>IF(AND(Table1[[#This Row],[pH]]&gt;=3.2,Table1[[#This Row],[alcohol]]&gt;=10),"White wine","Red wine")</f>
        <v>White wine</v>
      </c>
    </row>
    <row r="627" spans="1:19" x14ac:dyDescent="0.3">
      <c r="A627" s="13">
        <v>626</v>
      </c>
      <c r="B627" s="1">
        <v>6.8</v>
      </c>
      <c r="C627" s="1">
        <v>0.69</v>
      </c>
      <c r="D627" s="1">
        <v>0</v>
      </c>
      <c r="E627" s="1">
        <v>5.6</v>
      </c>
      <c r="F627" s="1">
        <v>0.124</v>
      </c>
      <c r="G627" s="1">
        <v>21</v>
      </c>
      <c r="H627" s="1">
        <v>58</v>
      </c>
      <c r="I627" s="1">
        <v>0.99970000000000003</v>
      </c>
      <c r="J627" s="1">
        <v>3.46</v>
      </c>
      <c r="K627" s="1">
        <v>0.72</v>
      </c>
      <c r="L627" s="1">
        <v>10.199999999999999</v>
      </c>
      <c r="M627" s="2">
        <v>5</v>
      </c>
      <c r="N627" s="2" t="str" cm="1">
        <f t="array" ref="N627">_xlfn.IFS(Table1[[#This Row],[quality]]&lt;=4,"Low",Table1[[#This Row],[quality]]&lt;=6,"Medium",Table1[[#This Row],[quality]]&gt;=7,"High")</f>
        <v>Medium</v>
      </c>
      <c r="O627" s="2" t="str">
        <f>IF(AND(Table1[[#This Row],[fixed acidity]]&gt;Sheet1!$C$4,Table1[[#This Row],[pH]]&lt;Sheet1!$K$4),"High","Normal")</f>
        <v>Normal</v>
      </c>
      <c r="P627" s="1">
        <f>(Table1[[#This Row],[alcohol]]*2)+(Table1[[#This Row],[sulphates]]*1.5)-(Table1[[#This Row],[volatile acidity]]*2)</f>
        <v>20.099999999999998</v>
      </c>
      <c r="Q627" s="1">
        <f>RANK(Table1[[#This Row],[Quality_score_index]],Table1[Quality_score_index],0)</f>
        <v>838</v>
      </c>
      <c r="R627" s="1">
        <f>Table1[[#This Row],[total sulfur dioxide]]-Table1[[#This Row],[free sulfur dioxide]]</f>
        <v>37</v>
      </c>
      <c r="S627" s="1" t="str">
        <f>IF(AND(Table1[[#This Row],[pH]]&gt;=3.2,Table1[[#This Row],[alcohol]]&gt;=10),"White wine","Red wine")</f>
        <v>White wine</v>
      </c>
    </row>
    <row r="628" spans="1:19" x14ac:dyDescent="0.3">
      <c r="A628" s="13">
        <v>627</v>
      </c>
      <c r="B628" s="1">
        <v>8.8000000000000007</v>
      </c>
      <c r="C628" s="1">
        <v>0.6</v>
      </c>
      <c r="D628" s="1">
        <v>0.28999999999999998</v>
      </c>
      <c r="E628" s="1">
        <v>2.2000000000000002</v>
      </c>
      <c r="F628" s="1">
        <v>9.8000000000000004E-2</v>
      </c>
      <c r="G628" s="1">
        <v>5</v>
      </c>
      <c r="H628" s="1">
        <v>15</v>
      </c>
      <c r="I628" s="1">
        <v>0.99880000000000002</v>
      </c>
      <c r="J628" s="1">
        <v>3.36</v>
      </c>
      <c r="K628" s="1">
        <v>0.49</v>
      </c>
      <c r="L628" s="1">
        <v>9.1</v>
      </c>
      <c r="M628" s="2">
        <v>5</v>
      </c>
      <c r="N628" s="2" t="str" cm="1">
        <f t="array" ref="N628">_xlfn.IFS(Table1[[#This Row],[quality]]&lt;=4,"Low",Table1[[#This Row],[quality]]&lt;=6,"Medium",Table1[[#This Row],[quality]]&gt;=7,"High")</f>
        <v>Medium</v>
      </c>
      <c r="O628" s="2" t="str">
        <f>IF(AND(Table1[[#This Row],[fixed acidity]]&gt;Sheet1!$C$4,Table1[[#This Row],[pH]]&lt;Sheet1!$K$4),"High","Normal")</f>
        <v>Normal</v>
      </c>
      <c r="P628" s="1">
        <f>(Table1[[#This Row],[alcohol]]*2)+(Table1[[#This Row],[sulphates]]*1.5)-(Table1[[#This Row],[volatile acidity]]*2)</f>
        <v>17.734999999999999</v>
      </c>
      <c r="Q628" s="1">
        <f>RANK(Table1[[#This Row],[Quality_score_index]],Table1[Quality_score_index],0)</f>
        <v>1564</v>
      </c>
      <c r="R628" s="1">
        <f>Table1[[#This Row],[total sulfur dioxide]]-Table1[[#This Row],[free sulfur dioxide]]</f>
        <v>10</v>
      </c>
      <c r="S628" s="1" t="str">
        <f>IF(AND(Table1[[#This Row],[pH]]&gt;=3.2,Table1[[#This Row],[alcohol]]&gt;=10),"White wine","Red wine")</f>
        <v>Red wine</v>
      </c>
    </row>
    <row r="629" spans="1:19" x14ac:dyDescent="0.3">
      <c r="A629" s="13">
        <v>628</v>
      </c>
      <c r="B629" s="1">
        <v>8.8000000000000007</v>
      </c>
      <c r="C629" s="1">
        <v>0.6</v>
      </c>
      <c r="D629" s="1">
        <v>0.28999999999999998</v>
      </c>
      <c r="E629" s="1">
        <v>2.2000000000000002</v>
      </c>
      <c r="F629" s="1">
        <v>9.8000000000000004E-2</v>
      </c>
      <c r="G629" s="1">
        <v>5</v>
      </c>
      <c r="H629" s="1">
        <v>15</v>
      </c>
      <c r="I629" s="1">
        <v>0.99880000000000002</v>
      </c>
      <c r="J629" s="1">
        <v>3.36</v>
      </c>
      <c r="K629" s="1">
        <v>0.49</v>
      </c>
      <c r="L629" s="1">
        <v>9.1</v>
      </c>
      <c r="M629" s="2">
        <v>5</v>
      </c>
      <c r="N629" s="2" t="str" cm="1">
        <f t="array" ref="N629">_xlfn.IFS(Table1[[#This Row],[quality]]&lt;=4,"Low",Table1[[#This Row],[quality]]&lt;=6,"Medium",Table1[[#This Row],[quality]]&gt;=7,"High")</f>
        <v>Medium</v>
      </c>
      <c r="O629" s="2" t="str">
        <f>IF(AND(Table1[[#This Row],[fixed acidity]]&gt;Sheet1!$C$4,Table1[[#This Row],[pH]]&lt;Sheet1!$K$4),"High","Normal")</f>
        <v>Normal</v>
      </c>
      <c r="P629" s="1">
        <f>(Table1[[#This Row],[alcohol]]*2)+(Table1[[#This Row],[sulphates]]*1.5)-(Table1[[#This Row],[volatile acidity]]*2)</f>
        <v>17.734999999999999</v>
      </c>
      <c r="Q629" s="1">
        <f>RANK(Table1[[#This Row],[Quality_score_index]],Table1[Quality_score_index],0)</f>
        <v>1564</v>
      </c>
      <c r="R629" s="1">
        <f>Table1[[#This Row],[total sulfur dioxide]]-Table1[[#This Row],[free sulfur dioxide]]</f>
        <v>10</v>
      </c>
      <c r="S629" s="1" t="str">
        <f>IF(AND(Table1[[#This Row],[pH]]&gt;=3.2,Table1[[#This Row],[alcohol]]&gt;=10),"White wine","Red wine")</f>
        <v>Red wine</v>
      </c>
    </row>
    <row r="630" spans="1:19" x14ac:dyDescent="0.3">
      <c r="A630" s="13">
        <v>629</v>
      </c>
      <c r="B630" s="1">
        <v>8.6999999999999993</v>
      </c>
      <c r="C630" s="1">
        <v>0.54</v>
      </c>
      <c r="D630" s="1">
        <v>0.26</v>
      </c>
      <c r="E630" s="1">
        <v>2.5</v>
      </c>
      <c r="F630" s="1">
        <v>9.7000000000000003E-2</v>
      </c>
      <c r="G630" s="1">
        <v>7</v>
      </c>
      <c r="H630" s="1">
        <v>31</v>
      </c>
      <c r="I630" s="1">
        <v>0.99760000000000004</v>
      </c>
      <c r="J630" s="1">
        <v>3.27</v>
      </c>
      <c r="K630" s="1">
        <v>0.6</v>
      </c>
      <c r="L630" s="1">
        <v>9.3000000000000007</v>
      </c>
      <c r="M630" s="2">
        <v>6</v>
      </c>
      <c r="N630" s="2" t="str" cm="1">
        <f t="array" ref="N630">_xlfn.IFS(Table1[[#This Row],[quality]]&lt;=4,"Low",Table1[[#This Row],[quality]]&lt;=6,"Medium",Table1[[#This Row],[quality]]&gt;=7,"High")</f>
        <v>Medium</v>
      </c>
      <c r="O630" s="2" t="str">
        <f>IF(AND(Table1[[#This Row],[fixed acidity]]&gt;Sheet1!$C$4,Table1[[#This Row],[pH]]&lt;Sheet1!$K$4),"High","Normal")</f>
        <v>High</v>
      </c>
      <c r="P630" s="1">
        <f>(Table1[[#This Row],[alcohol]]*2)+(Table1[[#This Row],[sulphates]]*1.5)-(Table1[[#This Row],[volatile acidity]]*2)</f>
        <v>18.420000000000002</v>
      </c>
      <c r="Q630" s="1">
        <f>RANK(Table1[[#This Row],[Quality_score_index]],Table1[Quality_score_index],0)</f>
        <v>1407</v>
      </c>
      <c r="R630" s="1">
        <f>Table1[[#This Row],[total sulfur dioxide]]-Table1[[#This Row],[free sulfur dioxide]]</f>
        <v>24</v>
      </c>
      <c r="S630" s="1" t="str">
        <f>IF(AND(Table1[[#This Row],[pH]]&gt;=3.2,Table1[[#This Row],[alcohol]]&gt;=10),"White wine","Red wine")</f>
        <v>Red wine</v>
      </c>
    </row>
    <row r="631" spans="1:19" x14ac:dyDescent="0.3">
      <c r="A631" s="13">
        <v>630</v>
      </c>
      <c r="B631" s="1">
        <v>7.6</v>
      </c>
      <c r="C631" s="1">
        <v>0.68500000000000005</v>
      </c>
      <c r="D631" s="1">
        <v>0.23</v>
      </c>
      <c r="E631" s="1">
        <v>2.2999999999999998</v>
      </c>
      <c r="F631" s="1">
        <v>0.111</v>
      </c>
      <c r="G631" s="1">
        <v>20</v>
      </c>
      <c r="H631" s="1">
        <v>84</v>
      </c>
      <c r="I631" s="1">
        <v>0.99639999999999995</v>
      </c>
      <c r="J631" s="1">
        <v>3.21</v>
      </c>
      <c r="K631" s="1">
        <v>0.61</v>
      </c>
      <c r="L631" s="1">
        <v>9.3000000000000007</v>
      </c>
      <c r="M631" s="2">
        <v>5</v>
      </c>
      <c r="N631" s="2" t="str" cm="1">
        <f t="array" ref="N631">_xlfn.IFS(Table1[[#This Row],[quality]]&lt;=4,"Low",Table1[[#This Row],[quality]]&lt;=6,"Medium",Table1[[#This Row],[quality]]&gt;=7,"High")</f>
        <v>Medium</v>
      </c>
      <c r="O631" s="2" t="str">
        <f>IF(AND(Table1[[#This Row],[fixed acidity]]&gt;Sheet1!$C$4,Table1[[#This Row],[pH]]&lt;Sheet1!$K$4),"High","Normal")</f>
        <v>Normal</v>
      </c>
      <c r="P631" s="1">
        <f>(Table1[[#This Row],[alcohol]]*2)+(Table1[[#This Row],[sulphates]]*1.5)-(Table1[[#This Row],[volatile acidity]]*2)</f>
        <v>18.145</v>
      </c>
      <c r="Q631" s="1">
        <f>RANK(Table1[[#This Row],[Quality_score_index]],Table1[Quality_score_index],0)</f>
        <v>1488</v>
      </c>
      <c r="R631" s="1">
        <f>Table1[[#This Row],[total sulfur dioxide]]-Table1[[#This Row],[free sulfur dioxide]]</f>
        <v>64</v>
      </c>
      <c r="S631" s="1" t="str">
        <f>IF(AND(Table1[[#This Row],[pH]]&gt;=3.2,Table1[[#This Row],[alcohol]]&gt;=10),"White wine","Red wine")</f>
        <v>Red wine</v>
      </c>
    </row>
    <row r="632" spans="1:19" x14ac:dyDescent="0.3">
      <c r="A632" s="13">
        <v>631</v>
      </c>
      <c r="B632" s="1">
        <v>8.6999999999999993</v>
      </c>
      <c r="C632" s="1">
        <v>0.54</v>
      </c>
      <c r="D632" s="1">
        <v>0.26</v>
      </c>
      <c r="E632" s="1">
        <v>2.5</v>
      </c>
      <c r="F632" s="1">
        <v>9.7000000000000003E-2</v>
      </c>
      <c r="G632" s="1">
        <v>7</v>
      </c>
      <c r="H632" s="1">
        <v>31</v>
      </c>
      <c r="I632" s="1">
        <v>0.99760000000000004</v>
      </c>
      <c r="J632" s="1">
        <v>3.27</v>
      </c>
      <c r="K632" s="1">
        <v>0.6</v>
      </c>
      <c r="L632" s="1">
        <v>9.3000000000000007</v>
      </c>
      <c r="M632" s="2">
        <v>6</v>
      </c>
      <c r="N632" s="2" t="str" cm="1">
        <f t="array" ref="N632">_xlfn.IFS(Table1[[#This Row],[quality]]&lt;=4,"Low",Table1[[#This Row],[quality]]&lt;=6,"Medium",Table1[[#This Row],[quality]]&gt;=7,"High")</f>
        <v>Medium</v>
      </c>
      <c r="O632" s="2" t="str">
        <f>IF(AND(Table1[[#This Row],[fixed acidity]]&gt;Sheet1!$C$4,Table1[[#This Row],[pH]]&lt;Sheet1!$K$4),"High","Normal")</f>
        <v>High</v>
      </c>
      <c r="P632" s="1">
        <f>(Table1[[#This Row],[alcohol]]*2)+(Table1[[#This Row],[sulphates]]*1.5)-(Table1[[#This Row],[volatile acidity]]*2)</f>
        <v>18.420000000000002</v>
      </c>
      <c r="Q632" s="1">
        <f>RANK(Table1[[#This Row],[Quality_score_index]],Table1[Quality_score_index],0)</f>
        <v>1407</v>
      </c>
      <c r="R632" s="1">
        <f>Table1[[#This Row],[total sulfur dioxide]]-Table1[[#This Row],[free sulfur dioxide]]</f>
        <v>24</v>
      </c>
      <c r="S632" s="1" t="str">
        <f>IF(AND(Table1[[#This Row],[pH]]&gt;=3.2,Table1[[#This Row],[alcohol]]&gt;=10),"White wine","Red wine")</f>
        <v>Red wine</v>
      </c>
    </row>
    <row r="633" spans="1:19" x14ac:dyDescent="0.3">
      <c r="A633" s="13">
        <v>632</v>
      </c>
      <c r="B633" s="1">
        <v>10.4</v>
      </c>
      <c r="C633" s="1">
        <v>0.28000000000000003</v>
      </c>
      <c r="D633" s="1">
        <v>0.54</v>
      </c>
      <c r="E633" s="1">
        <v>2.7</v>
      </c>
      <c r="F633" s="1">
        <v>0.105</v>
      </c>
      <c r="G633" s="1">
        <v>5</v>
      </c>
      <c r="H633" s="1">
        <v>19</v>
      </c>
      <c r="I633" s="1">
        <v>0.99880000000000002</v>
      </c>
      <c r="J633" s="1">
        <v>3.25</v>
      </c>
      <c r="K633" s="1">
        <v>0.63</v>
      </c>
      <c r="L633" s="1">
        <v>9.5</v>
      </c>
      <c r="M633" s="2">
        <v>5</v>
      </c>
      <c r="N633" s="2" t="str" cm="1">
        <f t="array" ref="N633">_xlfn.IFS(Table1[[#This Row],[quality]]&lt;=4,"Low",Table1[[#This Row],[quality]]&lt;=6,"Medium",Table1[[#This Row],[quality]]&gt;=7,"High")</f>
        <v>Medium</v>
      </c>
      <c r="O633" s="2" t="str">
        <f>IF(AND(Table1[[#This Row],[fixed acidity]]&gt;Sheet1!$C$4,Table1[[#This Row],[pH]]&lt;Sheet1!$K$4),"High","Normal")</f>
        <v>High</v>
      </c>
      <c r="P633" s="1">
        <f>(Table1[[#This Row],[alcohol]]*2)+(Table1[[#This Row],[sulphates]]*1.5)-(Table1[[#This Row],[volatile acidity]]*2)</f>
        <v>19.385000000000002</v>
      </c>
      <c r="Q633" s="1">
        <f>RANK(Table1[[#This Row],[Quality_score_index]],Table1[Quality_score_index],0)</f>
        <v>1011</v>
      </c>
      <c r="R633" s="1">
        <f>Table1[[#This Row],[total sulfur dioxide]]-Table1[[#This Row],[free sulfur dioxide]]</f>
        <v>14</v>
      </c>
      <c r="S633" s="1" t="str">
        <f>IF(AND(Table1[[#This Row],[pH]]&gt;=3.2,Table1[[#This Row],[alcohol]]&gt;=10),"White wine","Red wine")</f>
        <v>Red wine</v>
      </c>
    </row>
    <row r="634" spans="1:19" x14ac:dyDescent="0.3">
      <c r="A634" s="13">
        <v>633</v>
      </c>
      <c r="B634" s="1">
        <v>7.6</v>
      </c>
      <c r="C634" s="1">
        <v>0.41</v>
      </c>
      <c r="D634" s="1">
        <v>0.14000000000000001</v>
      </c>
      <c r="E634" s="1">
        <v>3</v>
      </c>
      <c r="F634" s="1">
        <v>8.6999999999999994E-2</v>
      </c>
      <c r="G634" s="1">
        <v>21</v>
      </c>
      <c r="H634" s="1">
        <v>43</v>
      </c>
      <c r="I634" s="1">
        <v>0.99639999999999995</v>
      </c>
      <c r="J634" s="1">
        <v>3.32</v>
      </c>
      <c r="K634" s="1">
        <v>0.56999999999999995</v>
      </c>
      <c r="L634" s="1">
        <v>10.5</v>
      </c>
      <c r="M634" s="2">
        <v>6</v>
      </c>
      <c r="N634" s="2" t="str" cm="1">
        <f t="array" ref="N634">_xlfn.IFS(Table1[[#This Row],[quality]]&lt;=4,"Low",Table1[[#This Row],[quality]]&lt;=6,"Medium",Table1[[#This Row],[quality]]&gt;=7,"High")</f>
        <v>Medium</v>
      </c>
      <c r="O634" s="2" t="str">
        <f>IF(AND(Table1[[#This Row],[fixed acidity]]&gt;Sheet1!$C$4,Table1[[#This Row],[pH]]&lt;Sheet1!$K$4),"High","Normal")</f>
        <v>Normal</v>
      </c>
      <c r="P634" s="1">
        <f>(Table1[[#This Row],[alcohol]]*2)+(Table1[[#This Row],[sulphates]]*1.5)-(Table1[[#This Row],[volatile acidity]]*2)</f>
        <v>21.035</v>
      </c>
      <c r="Q634" s="1">
        <f>RANK(Table1[[#This Row],[Quality_score_index]],Table1[Quality_score_index],0)</f>
        <v>644</v>
      </c>
      <c r="R634" s="1">
        <f>Table1[[#This Row],[total sulfur dioxide]]-Table1[[#This Row],[free sulfur dioxide]]</f>
        <v>22</v>
      </c>
      <c r="S634" s="1" t="str">
        <f>IF(AND(Table1[[#This Row],[pH]]&gt;=3.2,Table1[[#This Row],[alcohol]]&gt;=10),"White wine","Red wine")</f>
        <v>White wine</v>
      </c>
    </row>
    <row r="635" spans="1:19" x14ac:dyDescent="0.3">
      <c r="A635" s="13">
        <v>634</v>
      </c>
      <c r="B635" s="1">
        <v>10.1</v>
      </c>
      <c r="C635" s="1">
        <v>0.93500000000000005</v>
      </c>
      <c r="D635" s="1">
        <v>0.22</v>
      </c>
      <c r="E635" s="1">
        <v>3.4</v>
      </c>
      <c r="F635" s="1">
        <v>0.105</v>
      </c>
      <c r="G635" s="1">
        <v>11</v>
      </c>
      <c r="H635" s="1">
        <v>86</v>
      </c>
      <c r="I635" s="1">
        <v>1.0009999999999999</v>
      </c>
      <c r="J635" s="1">
        <v>3.43</v>
      </c>
      <c r="K635" s="1">
        <v>0.64</v>
      </c>
      <c r="L635" s="1">
        <v>11.3</v>
      </c>
      <c r="M635" s="2">
        <v>4</v>
      </c>
      <c r="N635" s="2" t="str" cm="1">
        <f t="array" ref="N635">_xlfn.IFS(Table1[[#This Row],[quality]]&lt;=4,"Low",Table1[[#This Row],[quality]]&lt;=6,"Medium",Table1[[#This Row],[quality]]&gt;=7,"High")</f>
        <v>Low</v>
      </c>
      <c r="O635" s="2" t="str">
        <f>IF(AND(Table1[[#This Row],[fixed acidity]]&gt;Sheet1!$C$4,Table1[[#This Row],[pH]]&lt;Sheet1!$K$4),"High","Normal")</f>
        <v>Normal</v>
      </c>
      <c r="P635" s="1">
        <f>(Table1[[#This Row],[alcohol]]*2)+(Table1[[#This Row],[sulphates]]*1.5)-(Table1[[#This Row],[volatile acidity]]*2)</f>
        <v>21.69</v>
      </c>
      <c r="Q635" s="1">
        <f>RANK(Table1[[#This Row],[Quality_score_index]],Table1[Quality_score_index],0)</f>
        <v>506</v>
      </c>
      <c r="R635" s="1">
        <f>Table1[[#This Row],[total sulfur dioxide]]-Table1[[#This Row],[free sulfur dioxide]]</f>
        <v>75</v>
      </c>
      <c r="S635" s="1" t="str">
        <f>IF(AND(Table1[[#This Row],[pH]]&gt;=3.2,Table1[[#This Row],[alcohol]]&gt;=10),"White wine","Red wine")</f>
        <v>White wine</v>
      </c>
    </row>
    <row r="636" spans="1:19" x14ac:dyDescent="0.3">
      <c r="A636" s="13">
        <v>635</v>
      </c>
      <c r="B636" s="1">
        <v>7.9</v>
      </c>
      <c r="C636" s="1">
        <v>0.35</v>
      </c>
      <c r="D636" s="1">
        <v>0.21</v>
      </c>
      <c r="E636" s="1">
        <v>1.9</v>
      </c>
      <c r="F636" s="1">
        <v>7.2999999999999995E-2</v>
      </c>
      <c r="G636" s="1">
        <v>46</v>
      </c>
      <c r="H636" s="1">
        <v>102</v>
      </c>
      <c r="I636" s="1">
        <v>0.99639999999999995</v>
      </c>
      <c r="J636" s="1">
        <v>3.27</v>
      </c>
      <c r="K636" s="1">
        <v>0.57999999999999996</v>
      </c>
      <c r="L636" s="1">
        <v>9.5</v>
      </c>
      <c r="M636" s="2">
        <v>5</v>
      </c>
      <c r="N636" s="2" t="str" cm="1">
        <f t="array" ref="N636">_xlfn.IFS(Table1[[#This Row],[quality]]&lt;=4,"Low",Table1[[#This Row],[quality]]&lt;=6,"Medium",Table1[[#This Row],[quality]]&gt;=7,"High")</f>
        <v>Medium</v>
      </c>
      <c r="O636" s="2" t="str">
        <f>IF(AND(Table1[[#This Row],[fixed acidity]]&gt;Sheet1!$C$4,Table1[[#This Row],[pH]]&lt;Sheet1!$K$4),"High","Normal")</f>
        <v>Normal</v>
      </c>
      <c r="P636" s="1">
        <f>(Table1[[#This Row],[alcohol]]*2)+(Table1[[#This Row],[sulphates]]*1.5)-(Table1[[#This Row],[volatile acidity]]*2)</f>
        <v>19.170000000000002</v>
      </c>
      <c r="Q636" s="1">
        <f>RANK(Table1[[#This Row],[Quality_score_index]],Table1[Quality_score_index],0)</f>
        <v>1098</v>
      </c>
      <c r="R636" s="1">
        <f>Table1[[#This Row],[total sulfur dioxide]]-Table1[[#This Row],[free sulfur dioxide]]</f>
        <v>56</v>
      </c>
      <c r="S636" s="1" t="str">
        <f>IF(AND(Table1[[#This Row],[pH]]&gt;=3.2,Table1[[#This Row],[alcohol]]&gt;=10),"White wine","Red wine")</f>
        <v>Red wine</v>
      </c>
    </row>
    <row r="637" spans="1:19" x14ac:dyDescent="0.3">
      <c r="A637" s="13">
        <v>636</v>
      </c>
      <c r="B637" s="1">
        <v>8.6999999999999993</v>
      </c>
      <c r="C637" s="1">
        <v>0.84</v>
      </c>
      <c r="D637" s="1">
        <v>0</v>
      </c>
      <c r="E637" s="1">
        <v>1.4</v>
      </c>
      <c r="F637" s="1">
        <v>6.5000000000000002E-2</v>
      </c>
      <c r="G637" s="1">
        <v>24</v>
      </c>
      <c r="H637" s="1">
        <v>33</v>
      </c>
      <c r="I637" s="1">
        <v>0.99539999999999995</v>
      </c>
      <c r="J637" s="1">
        <v>3.27</v>
      </c>
      <c r="K637" s="1">
        <v>0.55000000000000004</v>
      </c>
      <c r="L637" s="1">
        <v>9.6999999999999993</v>
      </c>
      <c r="M637" s="2">
        <v>5</v>
      </c>
      <c r="N637" s="2" t="str" cm="1">
        <f t="array" ref="N637">_xlfn.IFS(Table1[[#This Row],[quality]]&lt;=4,"Low",Table1[[#This Row],[quality]]&lt;=6,"Medium",Table1[[#This Row],[quality]]&gt;=7,"High")</f>
        <v>Medium</v>
      </c>
      <c r="O637" s="2" t="str">
        <f>IF(AND(Table1[[#This Row],[fixed acidity]]&gt;Sheet1!$C$4,Table1[[#This Row],[pH]]&lt;Sheet1!$K$4),"High","Normal")</f>
        <v>High</v>
      </c>
      <c r="P637" s="1">
        <f>(Table1[[#This Row],[alcohol]]*2)+(Table1[[#This Row],[sulphates]]*1.5)-(Table1[[#This Row],[volatile acidity]]*2)</f>
        <v>18.544999999999998</v>
      </c>
      <c r="Q637" s="1">
        <f>RANK(Table1[[#This Row],[Quality_score_index]],Table1[Quality_score_index],0)</f>
        <v>1364</v>
      </c>
      <c r="R637" s="1">
        <f>Table1[[#This Row],[total sulfur dioxide]]-Table1[[#This Row],[free sulfur dioxide]]</f>
        <v>9</v>
      </c>
      <c r="S637" s="1" t="str">
        <f>IF(AND(Table1[[#This Row],[pH]]&gt;=3.2,Table1[[#This Row],[alcohol]]&gt;=10),"White wine","Red wine")</f>
        <v>Red wine</v>
      </c>
    </row>
    <row r="638" spans="1:19" x14ac:dyDescent="0.3">
      <c r="A638" s="13">
        <v>637</v>
      </c>
      <c r="B638" s="1">
        <v>9.6</v>
      </c>
      <c r="C638" s="1">
        <v>0.88</v>
      </c>
      <c r="D638" s="1">
        <v>0.28000000000000003</v>
      </c>
      <c r="E638" s="1">
        <v>2.4</v>
      </c>
      <c r="F638" s="1">
        <v>8.5999999999999993E-2</v>
      </c>
      <c r="G638" s="1">
        <v>30</v>
      </c>
      <c r="H638" s="1">
        <v>147</v>
      </c>
      <c r="I638" s="1">
        <v>0.99790000000000001</v>
      </c>
      <c r="J638" s="1">
        <v>3.24</v>
      </c>
      <c r="K638" s="1">
        <v>0.53</v>
      </c>
      <c r="L638" s="1">
        <v>9.4</v>
      </c>
      <c r="M638" s="2">
        <v>5</v>
      </c>
      <c r="N638" s="2" t="str" cm="1">
        <f t="array" ref="N638">_xlfn.IFS(Table1[[#This Row],[quality]]&lt;=4,"Low",Table1[[#This Row],[quality]]&lt;=6,"Medium",Table1[[#This Row],[quality]]&gt;=7,"High")</f>
        <v>Medium</v>
      </c>
      <c r="O638" s="2" t="str">
        <f>IF(AND(Table1[[#This Row],[fixed acidity]]&gt;Sheet1!$C$4,Table1[[#This Row],[pH]]&lt;Sheet1!$K$4),"High","Normal")</f>
        <v>High</v>
      </c>
      <c r="P638" s="1">
        <f>(Table1[[#This Row],[alcohol]]*2)+(Table1[[#This Row],[sulphates]]*1.5)-(Table1[[#This Row],[volatile acidity]]*2)</f>
        <v>17.835000000000001</v>
      </c>
      <c r="Q638" s="1">
        <f>RANK(Table1[[#This Row],[Quality_score_index]],Table1[Quality_score_index],0)</f>
        <v>1548</v>
      </c>
      <c r="R638" s="1">
        <f>Table1[[#This Row],[total sulfur dioxide]]-Table1[[#This Row],[free sulfur dioxide]]</f>
        <v>117</v>
      </c>
      <c r="S638" s="1" t="str">
        <f>IF(AND(Table1[[#This Row],[pH]]&gt;=3.2,Table1[[#This Row],[alcohol]]&gt;=10),"White wine","Red wine")</f>
        <v>Red wine</v>
      </c>
    </row>
    <row r="639" spans="1:19" x14ac:dyDescent="0.3">
      <c r="A639" s="13">
        <v>638</v>
      </c>
      <c r="B639" s="1">
        <v>9.5</v>
      </c>
      <c r="C639" s="1">
        <v>0.88500000000000001</v>
      </c>
      <c r="D639" s="1">
        <v>0.27</v>
      </c>
      <c r="E639" s="1">
        <v>2.2999999999999998</v>
      </c>
      <c r="F639" s="1">
        <v>8.4000000000000005E-2</v>
      </c>
      <c r="G639" s="1">
        <v>31</v>
      </c>
      <c r="H639" s="1">
        <v>145</v>
      </c>
      <c r="I639" s="1">
        <v>0.99780000000000002</v>
      </c>
      <c r="J639" s="1">
        <v>3.24</v>
      </c>
      <c r="K639" s="1">
        <v>0.53</v>
      </c>
      <c r="L639" s="1">
        <v>9.4</v>
      </c>
      <c r="M639" s="2">
        <v>5</v>
      </c>
      <c r="N639" s="2" t="str" cm="1">
        <f t="array" ref="N639">_xlfn.IFS(Table1[[#This Row],[quality]]&lt;=4,"Low",Table1[[#This Row],[quality]]&lt;=6,"Medium",Table1[[#This Row],[quality]]&gt;=7,"High")</f>
        <v>Medium</v>
      </c>
      <c r="O639" s="2" t="str">
        <f>IF(AND(Table1[[#This Row],[fixed acidity]]&gt;Sheet1!$C$4,Table1[[#This Row],[pH]]&lt;Sheet1!$K$4),"High","Normal")</f>
        <v>High</v>
      </c>
      <c r="P639" s="1">
        <f>(Table1[[#This Row],[alcohol]]*2)+(Table1[[#This Row],[sulphates]]*1.5)-(Table1[[#This Row],[volatile acidity]]*2)</f>
        <v>17.825000000000003</v>
      </c>
      <c r="Q639" s="1">
        <f>RANK(Table1[[#This Row],[Quality_score_index]],Table1[Quality_score_index],0)</f>
        <v>1550</v>
      </c>
      <c r="R639" s="1">
        <f>Table1[[#This Row],[total sulfur dioxide]]-Table1[[#This Row],[free sulfur dioxide]]</f>
        <v>114</v>
      </c>
      <c r="S639" s="1" t="str">
        <f>IF(AND(Table1[[#This Row],[pH]]&gt;=3.2,Table1[[#This Row],[alcohol]]&gt;=10),"White wine","Red wine")</f>
        <v>Red wine</v>
      </c>
    </row>
    <row r="640" spans="1:19" x14ac:dyDescent="0.3">
      <c r="A640" s="13">
        <v>639</v>
      </c>
      <c r="B640" s="1">
        <v>7.7</v>
      </c>
      <c r="C640" s="1">
        <v>0.91500000000000004</v>
      </c>
      <c r="D640" s="1">
        <v>0.12</v>
      </c>
      <c r="E640" s="1">
        <v>2.2000000000000002</v>
      </c>
      <c r="F640" s="1">
        <v>0.14299999999999999</v>
      </c>
      <c r="G640" s="1">
        <v>7</v>
      </c>
      <c r="H640" s="1">
        <v>23</v>
      </c>
      <c r="I640" s="1">
        <v>0.99639999999999995</v>
      </c>
      <c r="J640" s="1">
        <v>3.35</v>
      </c>
      <c r="K640" s="1">
        <v>0.65</v>
      </c>
      <c r="L640" s="1">
        <v>10.199999999999999</v>
      </c>
      <c r="M640" s="2">
        <v>7</v>
      </c>
      <c r="N640" s="2" t="str" cm="1">
        <f t="array" ref="N640">_xlfn.IFS(Table1[[#This Row],[quality]]&lt;=4,"Low",Table1[[#This Row],[quality]]&lt;=6,"Medium",Table1[[#This Row],[quality]]&gt;=7,"High")</f>
        <v>High</v>
      </c>
      <c r="O640" s="2" t="str">
        <f>IF(AND(Table1[[#This Row],[fixed acidity]]&gt;Sheet1!$C$4,Table1[[#This Row],[pH]]&lt;Sheet1!$K$4),"High","Normal")</f>
        <v>Normal</v>
      </c>
      <c r="P640" s="1">
        <f>(Table1[[#This Row],[alcohol]]*2)+(Table1[[#This Row],[sulphates]]*1.5)-(Table1[[#This Row],[volatile acidity]]*2)</f>
        <v>19.545000000000002</v>
      </c>
      <c r="Q640" s="1">
        <f>RANK(Table1[[#This Row],[Quality_score_index]],Table1[Quality_score_index],0)</f>
        <v>964</v>
      </c>
      <c r="R640" s="1">
        <f>Table1[[#This Row],[total sulfur dioxide]]-Table1[[#This Row],[free sulfur dioxide]]</f>
        <v>16</v>
      </c>
      <c r="S640" s="1" t="str">
        <f>IF(AND(Table1[[#This Row],[pH]]&gt;=3.2,Table1[[#This Row],[alcohol]]&gt;=10),"White wine","Red wine")</f>
        <v>White wine</v>
      </c>
    </row>
    <row r="641" spans="1:19" x14ac:dyDescent="0.3">
      <c r="A641" s="13">
        <v>640</v>
      </c>
      <c r="B641" s="1">
        <v>8.9</v>
      </c>
      <c r="C641" s="1">
        <v>0.28999999999999998</v>
      </c>
      <c r="D641" s="1">
        <v>0.35</v>
      </c>
      <c r="E641" s="1">
        <v>1.9</v>
      </c>
      <c r="F641" s="1">
        <v>6.7000000000000004E-2</v>
      </c>
      <c r="G641" s="1">
        <v>25</v>
      </c>
      <c r="H641" s="1">
        <v>57</v>
      </c>
      <c r="I641" s="1">
        <v>0.997</v>
      </c>
      <c r="J641" s="1">
        <v>3.18</v>
      </c>
      <c r="K641" s="1">
        <v>1.36</v>
      </c>
      <c r="L641" s="1">
        <v>10.3</v>
      </c>
      <c r="M641" s="2">
        <v>6</v>
      </c>
      <c r="N641" s="2" t="str" cm="1">
        <f t="array" ref="N641">_xlfn.IFS(Table1[[#This Row],[quality]]&lt;=4,"Low",Table1[[#This Row],[quality]]&lt;=6,"Medium",Table1[[#This Row],[quality]]&gt;=7,"High")</f>
        <v>Medium</v>
      </c>
      <c r="O641" s="2" t="str">
        <f>IF(AND(Table1[[#This Row],[fixed acidity]]&gt;Sheet1!$C$4,Table1[[#This Row],[pH]]&lt;Sheet1!$K$4),"High","Normal")</f>
        <v>High</v>
      </c>
      <c r="P641" s="1">
        <f>(Table1[[#This Row],[alcohol]]*2)+(Table1[[#This Row],[sulphates]]*1.5)-(Table1[[#This Row],[volatile acidity]]*2)</f>
        <v>22.060000000000002</v>
      </c>
      <c r="Q641" s="1">
        <f>RANK(Table1[[#This Row],[Quality_score_index]],Table1[Quality_score_index],0)</f>
        <v>447</v>
      </c>
      <c r="R641" s="1">
        <f>Table1[[#This Row],[total sulfur dioxide]]-Table1[[#This Row],[free sulfur dioxide]]</f>
        <v>32</v>
      </c>
      <c r="S641" s="1" t="str">
        <f>IF(AND(Table1[[#This Row],[pH]]&gt;=3.2,Table1[[#This Row],[alcohol]]&gt;=10),"White wine","Red wine")</f>
        <v>Red wine</v>
      </c>
    </row>
    <row r="642" spans="1:19" x14ac:dyDescent="0.3">
      <c r="A642" s="13">
        <v>641</v>
      </c>
      <c r="B642" s="1">
        <v>9.9</v>
      </c>
      <c r="C642" s="1">
        <v>0.54</v>
      </c>
      <c r="D642" s="1">
        <v>0.45</v>
      </c>
      <c r="E642" s="1">
        <v>2.2999999999999998</v>
      </c>
      <c r="F642" s="1">
        <v>7.0999999999999994E-2</v>
      </c>
      <c r="G642" s="1">
        <v>16</v>
      </c>
      <c r="H642" s="1">
        <v>40</v>
      </c>
      <c r="I642" s="1">
        <v>0.99909999999999999</v>
      </c>
      <c r="J642" s="1">
        <v>3.39</v>
      </c>
      <c r="K642" s="1">
        <v>0.62</v>
      </c>
      <c r="L642" s="1">
        <v>9.4</v>
      </c>
      <c r="M642" s="2">
        <v>5</v>
      </c>
      <c r="N642" s="2" t="str" cm="1">
        <f t="array" ref="N642">_xlfn.IFS(Table1[[#This Row],[quality]]&lt;=4,"Low",Table1[[#This Row],[quality]]&lt;=6,"Medium",Table1[[#This Row],[quality]]&gt;=7,"High")</f>
        <v>Medium</v>
      </c>
      <c r="O642" s="2" t="str">
        <f>IF(AND(Table1[[#This Row],[fixed acidity]]&gt;Sheet1!$C$4,Table1[[#This Row],[pH]]&lt;Sheet1!$K$4),"High","Normal")</f>
        <v>Normal</v>
      </c>
      <c r="P642" s="1">
        <f>(Table1[[#This Row],[alcohol]]*2)+(Table1[[#This Row],[sulphates]]*1.5)-(Table1[[#This Row],[volatile acidity]]*2)</f>
        <v>18.649999999999999</v>
      </c>
      <c r="Q642" s="1">
        <f>RANK(Table1[[#This Row],[Quality_score_index]],Table1[Quality_score_index],0)</f>
        <v>1321</v>
      </c>
      <c r="R642" s="1">
        <f>Table1[[#This Row],[total sulfur dioxide]]-Table1[[#This Row],[free sulfur dioxide]]</f>
        <v>24</v>
      </c>
      <c r="S642" s="1" t="str">
        <f>IF(AND(Table1[[#This Row],[pH]]&gt;=3.2,Table1[[#This Row],[alcohol]]&gt;=10),"White wine","Red wine")</f>
        <v>Red wine</v>
      </c>
    </row>
    <row r="643" spans="1:19" x14ac:dyDescent="0.3">
      <c r="A643" s="13">
        <v>642</v>
      </c>
      <c r="B643" s="1">
        <v>9.5</v>
      </c>
      <c r="C643" s="1">
        <v>0.59</v>
      </c>
      <c r="D643" s="1">
        <v>0.44</v>
      </c>
      <c r="E643" s="1">
        <v>2.2999999999999998</v>
      </c>
      <c r="F643" s="1">
        <v>7.0999999999999994E-2</v>
      </c>
      <c r="G643" s="1">
        <v>21</v>
      </c>
      <c r="H643" s="1">
        <v>68</v>
      </c>
      <c r="I643" s="1">
        <v>0.99919999999999998</v>
      </c>
      <c r="J643" s="1">
        <v>3.46</v>
      </c>
      <c r="K643" s="1">
        <v>0.63</v>
      </c>
      <c r="L643" s="1">
        <v>9.5</v>
      </c>
      <c r="M643" s="2">
        <v>5</v>
      </c>
      <c r="N643" s="2" t="str" cm="1">
        <f t="array" ref="N643">_xlfn.IFS(Table1[[#This Row],[quality]]&lt;=4,"Low",Table1[[#This Row],[quality]]&lt;=6,"Medium",Table1[[#This Row],[quality]]&gt;=7,"High")</f>
        <v>Medium</v>
      </c>
      <c r="O643" s="2" t="str">
        <f>IF(AND(Table1[[#This Row],[fixed acidity]]&gt;Sheet1!$C$4,Table1[[#This Row],[pH]]&lt;Sheet1!$K$4),"High","Normal")</f>
        <v>Normal</v>
      </c>
      <c r="P643" s="1">
        <f>(Table1[[#This Row],[alcohol]]*2)+(Table1[[#This Row],[sulphates]]*1.5)-(Table1[[#This Row],[volatile acidity]]*2)</f>
        <v>18.765000000000001</v>
      </c>
      <c r="Q643" s="1">
        <f>RANK(Table1[[#This Row],[Quality_score_index]],Table1[Quality_score_index],0)</f>
        <v>1256</v>
      </c>
      <c r="R643" s="1">
        <f>Table1[[#This Row],[total sulfur dioxide]]-Table1[[#This Row],[free sulfur dioxide]]</f>
        <v>47</v>
      </c>
      <c r="S643" s="1" t="str">
        <f>IF(AND(Table1[[#This Row],[pH]]&gt;=3.2,Table1[[#This Row],[alcohol]]&gt;=10),"White wine","Red wine")</f>
        <v>Red wine</v>
      </c>
    </row>
    <row r="644" spans="1:19" x14ac:dyDescent="0.3">
      <c r="A644" s="13">
        <v>643</v>
      </c>
      <c r="B644" s="1">
        <v>9.9</v>
      </c>
      <c r="C644" s="1">
        <v>0.54</v>
      </c>
      <c r="D644" s="1">
        <v>0.45</v>
      </c>
      <c r="E644" s="1">
        <v>2.2999999999999998</v>
      </c>
      <c r="F644" s="1">
        <v>7.0999999999999994E-2</v>
      </c>
      <c r="G644" s="1">
        <v>16</v>
      </c>
      <c r="H644" s="1">
        <v>40</v>
      </c>
      <c r="I644" s="1">
        <v>0.99909999999999999</v>
      </c>
      <c r="J644" s="1">
        <v>3.39</v>
      </c>
      <c r="K644" s="1">
        <v>0.62</v>
      </c>
      <c r="L644" s="1">
        <v>9.4</v>
      </c>
      <c r="M644" s="2">
        <v>5</v>
      </c>
      <c r="N644" s="2" t="str" cm="1">
        <f t="array" ref="N644">_xlfn.IFS(Table1[[#This Row],[quality]]&lt;=4,"Low",Table1[[#This Row],[quality]]&lt;=6,"Medium",Table1[[#This Row],[quality]]&gt;=7,"High")</f>
        <v>Medium</v>
      </c>
      <c r="O644" s="2" t="str">
        <f>IF(AND(Table1[[#This Row],[fixed acidity]]&gt;Sheet1!$C$4,Table1[[#This Row],[pH]]&lt;Sheet1!$K$4),"High","Normal")</f>
        <v>Normal</v>
      </c>
      <c r="P644" s="1">
        <f>(Table1[[#This Row],[alcohol]]*2)+(Table1[[#This Row],[sulphates]]*1.5)-(Table1[[#This Row],[volatile acidity]]*2)</f>
        <v>18.649999999999999</v>
      </c>
      <c r="Q644" s="1">
        <f>RANK(Table1[[#This Row],[Quality_score_index]],Table1[Quality_score_index],0)</f>
        <v>1321</v>
      </c>
      <c r="R644" s="1">
        <f>Table1[[#This Row],[total sulfur dioxide]]-Table1[[#This Row],[free sulfur dioxide]]</f>
        <v>24</v>
      </c>
      <c r="S644" s="1" t="str">
        <f>IF(AND(Table1[[#This Row],[pH]]&gt;=3.2,Table1[[#This Row],[alcohol]]&gt;=10),"White wine","Red wine")</f>
        <v>Red wine</v>
      </c>
    </row>
    <row r="645" spans="1:19" x14ac:dyDescent="0.3">
      <c r="A645" s="13">
        <v>644</v>
      </c>
      <c r="B645" s="1">
        <v>9.5</v>
      </c>
      <c r="C645" s="1">
        <v>0.59</v>
      </c>
      <c r="D645" s="1">
        <v>0.44</v>
      </c>
      <c r="E645" s="1">
        <v>2.2999999999999998</v>
      </c>
      <c r="F645" s="1">
        <v>7.0999999999999994E-2</v>
      </c>
      <c r="G645" s="1">
        <v>21</v>
      </c>
      <c r="H645" s="1">
        <v>68</v>
      </c>
      <c r="I645" s="1">
        <v>0.99919999999999998</v>
      </c>
      <c r="J645" s="1">
        <v>3.46</v>
      </c>
      <c r="K645" s="1">
        <v>0.63</v>
      </c>
      <c r="L645" s="1">
        <v>9.5</v>
      </c>
      <c r="M645" s="2">
        <v>5</v>
      </c>
      <c r="N645" s="2" t="str" cm="1">
        <f t="array" ref="N645">_xlfn.IFS(Table1[[#This Row],[quality]]&lt;=4,"Low",Table1[[#This Row],[quality]]&lt;=6,"Medium",Table1[[#This Row],[quality]]&gt;=7,"High")</f>
        <v>Medium</v>
      </c>
      <c r="O645" s="2" t="str">
        <f>IF(AND(Table1[[#This Row],[fixed acidity]]&gt;Sheet1!$C$4,Table1[[#This Row],[pH]]&lt;Sheet1!$K$4),"High","Normal")</f>
        <v>Normal</v>
      </c>
      <c r="P645" s="1">
        <f>(Table1[[#This Row],[alcohol]]*2)+(Table1[[#This Row],[sulphates]]*1.5)-(Table1[[#This Row],[volatile acidity]]*2)</f>
        <v>18.765000000000001</v>
      </c>
      <c r="Q645" s="1">
        <f>RANK(Table1[[#This Row],[Quality_score_index]],Table1[Quality_score_index],0)</f>
        <v>1256</v>
      </c>
      <c r="R645" s="1">
        <f>Table1[[#This Row],[total sulfur dioxide]]-Table1[[#This Row],[free sulfur dioxide]]</f>
        <v>47</v>
      </c>
      <c r="S645" s="1" t="str">
        <f>IF(AND(Table1[[#This Row],[pH]]&gt;=3.2,Table1[[#This Row],[alcohol]]&gt;=10),"White wine","Red wine")</f>
        <v>Red wine</v>
      </c>
    </row>
    <row r="646" spans="1:19" x14ac:dyDescent="0.3">
      <c r="A646" s="13">
        <v>645</v>
      </c>
      <c r="B646" s="1">
        <v>9.9</v>
      </c>
      <c r="C646" s="1">
        <v>0.54</v>
      </c>
      <c r="D646" s="1">
        <v>0.45</v>
      </c>
      <c r="E646" s="1">
        <v>2.2999999999999998</v>
      </c>
      <c r="F646" s="1">
        <v>7.0999999999999994E-2</v>
      </c>
      <c r="G646" s="1">
        <v>16</v>
      </c>
      <c r="H646" s="1">
        <v>40</v>
      </c>
      <c r="I646" s="1">
        <v>0.99909999999999999</v>
      </c>
      <c r="J646" s="1">
        <v>3.39</v>
      </c>
      <c r="K646" s="1">
        <v>0.62</v>
      </c>
      <c r="L646" s="1">
        <v>9.4</v>
      </c>
      <c r="M646" s="2">
        <v>5</v>
      </c>
      <c r="N646" s="2" t="str" cm="1">
        <f t="array" ref="N646">_xlfn.IFS(Table1[[#This Row],[quality]]&lt;=4,"Low",Table1[[#This Row],[quality]]&lt;=6,"Medium",Table1[[#This Row],[quality]]&gt;=7,"High")</f>
        <v>Medium</v>
      </c>
      <c r="O646" s="2" t="str">
        <f>IF(AND(Table1[[#This Row],[fixed acidity]]&gt;Sheet1!$C$4,Table1[[#This Row],[pH]]&lt;Sheet1!$K$4),"High","Normal")</f>
        <v>Normal</v>
      </c>
      <c r="P646" s="1">
        <f>(Table1[[#This Row],[alcohol]]*2)+(Table1[[#This Row],[sulphates]]*1.5)-(Table1[[#This Row],[volatile acidity]]*2)</f>
        <v>18.649999999999999</v>
      </c>
      <c r="Q646" s="1">
        <f>RANK(Table1[[#This Row],[Quality_score_index]],Table1[Quality_score_index],0)</f>
        <v>1321</v>
      </c>
      <c r="R646" s="1">
        <f>Table1[[#This Row],[total sulfur dioxide]]-Table1[[#This Row],[free sulfur dioxide]]</f>
        <v>24</v>
      </c>
      <c r="S646" s="1" t="str">
        <f>IF(AND(Table1[[#This Row],[pH]]&gt;=3.2,Table1[[#This Row],[alcohol]]&gt;=10),"White wine","Red wine")</f>
        <v>Red wine</v>
      </c>
    </row>
    <row r="647" spans="1:19" x14ac:dyDescent="0.3">
      <c r="A647" s="13">
        <v>646</v>
      </c>
      <c r="B647" s="1">
        <v>7.8</v>
      </c>
      <c r="C647" s="1">
        <v>0.64</v>
      </c>
      <c r="D647" s="1">
        <v>0.1</v>
      </c>
      <c r="E647" s="1">
        <v>6</v>
      </c>
      <c r="F647" s="1">
        <v>0.115</v>
      </c>
      <c r="G647" s="1">
        <v>5</v>
      </c>
      <c r="H647" s="1">
        <v>11</v>
      </c>
      <c r="I647" s="1">
        <v>0.99839999999999995</v>
      </c>
      <c r="J647" s="1">
        <v>3.37</v>
      </c>
      <c r="K647" s="1">
        <v>0.69</v>
      </c>
      <c r="L647" s="1">
        <v>10.1</v>
      </c>
      <c r="M647" s="2">
        <v>7</v>
      </c>
      <c r="N647" s="2" t="str" cm="1">
        <f t="array" ref="N647">_xlfn.IFS(Table1[[#This Row],[quality]]&lt;=4,"Low",Table1[[#This Row],[quality]]&lt;=6,"Medium",Table1[[#This Row],[quality]]&gt;=7,"High")</f>
        <v>High</v>
      </c>
      <c r="O647" s="2" t="str">
        <f>IF(AND(Table1[[#This Row],[fixed acidity]]&gt;Sheet1!$C$4,Table1[[#This Row],[pH]]&lt;Sheet1!$K$4),"High","Normal")</f>
        <v>Normal</v>
      </c>
      <c r="P647" s="1">
        <f>(Table1[[#This Row],[alcohol]]*2)+(Table1[[#This Row],[sulphates]]*1.5)-(Table1[[#This Row],[volatile acidity]]*2)</f>
        <v>19.954999999999998</v>
      </c>
      <c r="Q647" s="1">
        <f>RANK(Table1[[#This Row],[Quality_score_index]],Table1[Quality_score_index],0)</f>
        <v>862</v>
      </c>
      <c r="R647" s="1">
        <f>Table1[[#This Row],[total sulfur dioxide]]-Table1[[#This Row],[free sulfur dioxide]]</f>
        <v>6</v>
      </c>
      <c r="S647" s="1" t="str">
        <f>IF(AND(Table1[[#This Row],[pH]]&gt;=3.2,Table1[[#This Row],[alcohol]]&gt;=10),"White wine","Red wine")</f>
        <v>White wine</v>
      </c>
    </row>
    <row r="648" spans="1:19" x14ac:dyDescent="0.3">
      <c r="A648" s="13">
        <v>647</v>
      </c>
      <c r="B648" s="1">
        <v>7.3</v>
      </c>
      <c r="C648" s="1">
        <v>0.67</v>
      </c>
      <c r="D648" s="1">
        <v>0.05</v>
      </c>
      <c r="E648" s="1">
        <v>3.6</v>
      </c>
      <c r="F648" s="1">
        <v>0.107</v>
      </c>
      <c r="G648" s="1">
        <v>6</v>
      </c>
      <c r="H648" s="1">
        <v>20</v>
      </c>
      <c r="I648" s="1">
        <v>0.99719999999999998</v>
      </c>
      <c r="J648" s="1">
        <v>3.4</v>
      </c>
      <c r="K648" s="1">
        <v>0.63</v>
      </c>
      <c r="L648" s="1">
        <v>10.1</v>
      </c>
      <c r="M648" s="2">
        <v>5</v>
      </c>
      <c r="N648" s="2" t="str" cm="1">
        <f t="array" ref="N648">_xlfn.IFS(Table1[[#This Row],[quality]]&lt;=4,"Low",Table1[[#This Row],[quality]]&lt;=6,"Medium",Table1[[#This Row],[quality]]&gt;=7,"High")</f>
        <v>Medium</v>
      </c>
      <c r="O648" s="2" t="str">
        <f>IF(AND(Table1[[#This Row],[fixed acidity]]&gt;Sheet1!$C$4,Table1[[#This Row],[pH]]&lt;Sheet1!$K$4),"High","Normal")</f>
        <v>Normal</v>
      </c>
      <c r="P648" s="1">
        <f>(Table1[[#This Row],[alcohol]]*2)+(Table1[[#This Row],[sulphates]]*1.5)-(Table1[[#This Row],[volatile acidity]]*2)</f>
        <v>19.805</v>
      </c>
      <c r="Q648" s="1">
        <f>RANK(Table1[[#This Row],[Quality_score_index]],Table1[Quality_score_index],0)</f>
        <v>905</v>
      </c>
      <c r="R648" s="1">
        <f>Table1[[#This Row],[total sulfur dioxide]]-Table1[[#This Row],[free sulfur dioxide]]</f>
        <v>14</v>
      </c>
      <c r="S648" s="1" t="str">
        <f>IF(AND(Table1[[#This Row],[pH]]&gt;=3.2,Table1[[#This Row],[alcohol]]&gt;=10),"White wine","Red wine")</f>
        <v>White wine</v>
      </c>
    </row>
    <row r="649" spans="1:19" x14ac:dyDescent="0.3">
      <c r="A649" s="13">
        <v>648</v>
      </c>
      <c r="B649" s="1">
        <v>8.3000000000000007</v>
      </c>
      <c r="C649" s="1">
        <v>0.84499999999999997</v>
      </c>
      <c r="D649" s="1">
        <v>0.01</v>
      </c>
      <c r="E649" s="1">
        <v>2.2000000000000002</v>
      </c>
      <c r="F649" s="1">
        <v>7.0000000000000007E-2</v>
      </c>
      <c r="G649" s="1">
        <v>5</v>
      </c>
      <c r="H649" s="1">
        <v>14</v>
      </c>
      <c r="I649" s="1">
        <v>0.99670000000000003</v>
      </c>
      <c r="J649" s="1">
        <v>3.32</v>
      </c>
      <c r="K649" s="1">
        <v>0.57999999999999996</v>
      </c>
      <c r="L649" s="1">
        <v>11</v>
      </c>
      <c r="M649" s="2">
        <v>4</v>
      </c>
      <c r="N649" s="2" t="str" cm="1">
        <f t="array" ref="N649">_xlfn.IFS(Table1[[#This Row],[quality]]&lt;=4,"Low",Table1[[#This Row],[quality]]&lt;=6,"Medium",Table1[[#This Row],[quality]]&gt;=7,"High")</f>
        <v>Low</v>
      </c>
      <c r="O649" s="2" t="str">
        <f>IF(AND(Table1[[#This Row],[fixed acidity]]&gt;Sheet1!$C$4,Table1[[#This Row],[pH]]&lt;Sheet1!$K$4),"High","Normal")</f>
        <v>Normal</v>
      </c>
      <c r="P649" s="1">
        <f>(Table1[[#This Row],[alcohol]]*2)+(Table1[[#This Row],[sulphates]]*1.5)-(Table1[[#This Row],[volatile acidity]]*2)</f>
        <v>21.18</v>
      </c>
      <c r="Q649" s="1">
        <f>RANK(Table1[[#This Row],[Quality_score_index]],Table1[Quality_score_index],0)</f>
        <v>610</v>
      </c>
      <c r="R649" s="1">
        <f>Table1[[#This Row],[total sulfur dioxide]]-Table1[[#This Row],[free sulfur dioxide]]</f>
        <v>9</v>
      </c>
      <c r="S649" s="1" t="str">
        <f>IF(AND(Table1[[#This Row],[pH]]&gt;=3.2,Table1[[#This Row],[alcohol]]&gt;=10),"White wine","Red wine")</f>
        <v>White wine</v>
      </c>
    </row>
    <row r="650" spans="1:19" x14ac:dyDescent="0.3">
      <c r="A650" s="13">
        <v>649</v>
      </c>
      <c r="B650" s="1">
        <v>8.6999999999999993</v>
      </c>
      <c r="C650" s="1">
        <v>0.48</v>
      </c>
      <c r="D650" s="1">
        <v>0.3</v>
      </c>
      <c r="E650" s="1">
        <v>2.8</v>
      </c>
      <c r="F650" s="1">
        <v>6.6000000000000003E-2</v>
      </c>
      <c r="G650" s="1">
        <v>10</v>
      </c>
      <c r="H650" s="1">
        <v>28</v>
      </c>
      <c r="I650" s="1">
        <v>0.99639999999999995</v>
      </c>
      <c r="J650" s="1">
        <v>3.33</v>
      </c>
      <c r="K650" s="1">
        <v>0.67</v>
      </c>
      <c r="L650" s="1">
        <v>11.2</v>
      </c>
      <c r="M650" s="2">
        <v>7</v>
      </c>
      <c r="N650" s="2" t="str" cm="1">
        <f t="array" ref="N650">_xlfn.IFS(Table1[[#This Row],[quality]]&lt;=4,"Low",Table1[[#This Row],[quality]]&lt;=6,"Medium",Table1[[#This Row],[quality]]&gt;=7,"High")</f>
        <v>High</v>
      </c>
      <c r="O650" s="2" t="str">
        <f>IF(AND(Table1[[#This Row],[fixed acidity]]&gt;Sheet1!$C$4,Table1[[#This Row],[pH]]&lt;Sheet1!$K$4),"High","Normal")</f>
        <v>Normal</v>
      </c>
      <c r="P650" s="1">
        <f>(Table1[[#This Row],[alcohol]]*2)+(Table1[[#This Row],[sulphates]]*1.5)-(Table1[[#This Row],[volatile acidity]]*2)</f>
        <v>22.444999999999997</v>
      </c>
      <c r="Q650" s="1">
        <f>RANK(Table1[[#This Row],[Quality_score_index]],Table1[Quality_score_index],0)</f>
        <v>383</v>
      </c>
      <c r="R650" s="1">
        <f>Table1[[#This Row],[total sulfur dioxide]]-Table1[[#This Row],[free sulfur dioxide]]</f>
        <v>18</v>
      </c>
      <c r="S650" s="1" t="str">
        <f>IF(AND(Table1[[#This Row],[pH]]&gt;=3.2,Table1[[#This Row],[alcohol]]&gt;=10),"White wine","Red wine")</f>
        <v>White wine</v>
      </c>
    </row>
    <row r="651" spans="1:19" x14ac:dyDescent="0.3">
      <c r="A651" s="13">
        <v>650</v>
      </c>
      <c r="B651" s="1">
        <v>6.7</v>
      </c>
      <c r="C651" s="1">
        <v>0.42</v>
      </c>
      <c r="D651" s="1">
        <v>0.27</v>
      </c>
      <c r="E651" s="1">
        <v>8.6</v>
      </c>
      <c r="F651" s="1">
        <v>6.8000000000000005E-2</v>
      </c>
      <c r="G651" s="1">
        <v>24</v>
      </c>
      <c r="H651" s="1">
        <v>148</v>
      </c>
      <c r="I651" s="1">
        <v>0.99480000000000002</v>
      </c>
      <c r="J651" s="1">
        <v>3.16</v>
      </c>
      <c r="K651" s="1">
        <v>0.56999999999999995</v>
      </c>
      <c r="L651" s="1">
        <v>11.3</v>
      </c>
      <c r="M651" s="2">
        <v>6</v>
      </c>
      <c r="N651" s="2" t="str" cm="1">
        <f t="array" ref="N651">_xlfn.IFS(Table1[[#This Row],[quality]]&lt;=4,"Low",Table1[[#This Row],[quality]]&lt;=6,"Medium",Table1[[#This Row],[quality]]&gt;=7,"High")</f>
        <v>Medium</v>
      </c>
      <c r="O651" s="2" t="str">
        <f>IF(AND(Table1[[#This Row],[fixed acidity]]&gt;Sheet1!$C$4,Table1[[#This Row],[pH]]&lt;Sheet1!$K$4),"High","Normal")</f>
        <v>Normal</v>
      </c>
      <c r="P651" s="1">
        <f>(Table1[[#This Row],[alcohol]]*2)+(Table1[[#This Row],[sulphates]]*1.5)-(Table1[[#This Row],[volatile acidity]]*2)</f>
        <v>22.615000000000002</v>
      </c>
      <c r="Q651" s="1">
        <f>RANK(Table1[[#This Row],[Quality_score_index]],Table1[Quality_score_index],0)</f>
        <v>340</v>
      </c>
      <c r="R651" s="1">
        <f>Table1[[#This Row],[total sulfur dioxide]]-Table1[[#This Row],[free sulfur dioxide]]</f>
        <v>124</v>
      </c>
      <c r="S651" s="1" t="str">
        <f>IF(AND(Table1[[#This Row],[pH]]&gt;=3.2,Table1[[#This Row],[alcohol]]&gt;=10),"White wine","Red wine")</f>
        <v>Red wine</v>
      </c>
    </row>
    <row r="652" spans="1:19" x14ac:dyDescent="0.3">
      <c r="A652" s="13">
        <v>651</v>
      </c>
      <c r="B652" s="1">
        <v>10.7</v>
      </c>
      <c r="C652" s="1">
        <v>0.43</v>
      </c>
      <c r="D652" s="1">
        <v>0.39</v>
      </c>
      <c r="E652" s="1">
        <v>2.2000000000000002</v>
      </c>
      <c r="F652" s="1">
        <v>0.106</v>
      </c>
      <c r="G652" s="1">
        <v>8</v>
      </c>
      <c r="H652" s="1">
        <v>32</v>
      </c>
      <c r="I652" s="1">
        <v>0.99860000000000004</v>
      </c>
      <c r="J652" s="1">
        <v>2.89</v>
      </c>
      <c r="K652" s="1">
        <v>0.5</v>
      </c>
      <c r="L652" s="1">
        <v>9.6</v>
      </c>
      <c r="M652" s="2">
        <v>5</v>
      </c>
      <c r="N652" s="2" t="str" cm="1">
        <f t="array" ref="N652">_xlfn.IFS(Table1[[#This Row],[quality]]&lt;=4,"Low",Table1[[#This Row],[quality]]&lt;=6,"Medium",Table1[[#This Row],[quality]]&gt;=7,"High")</f>
        <v>Medium</v>
      </c>
      <c r="O652" s="2" t="str">
        <f>IF(AND(Table1[[#This Row],[fixed acidity]]&gt;Sheet1!$C$4,Table1[[#This Row],[pH]]&lt;Sheet1!$K$4),"High","Normal")</f>
        <v>High</v>
      </c>
      <c r="P652" s="1">
        <f>(Table1[[#This Row],[alcohol]]*2)+(Table1[[#This Row],[sulphates]]*1.5)-(Table1[[#This Row],[volatile acidity]]*2)</f>
        <v>19.09</v>
      </c>
      <c r="Q652" s="1">
        <f>RANK(Table1[[#This Row],[Quality_score_index]],Table1[Quality_score_index],0)</f>
        <v>1125</v>
      </c>
      <c r="R652" s="1">
        <f>Table1[[#This Row],[total sulfur dioxide]]-Table1[[#This Row],[free sulfur dioxide]]</f>
        <v>24</v>
      </c>
      <c r="S652" s="1" t="str">
        <f>IF(AND(Table1[[#This Row],[pH]]&gt;=3.2,Table1[[#This Row],[alcohol]]&gt;=10),"White wine","Red wine")</f>
        <v>Red wine</v>
      </c>
    </row>
    <row r="653" spans="1:19" x14ac:dyDescent="0.3">
      <c r="A653" s="13">
        <v>652</v>
      </c>
      <c r="B653" s="1">
        <v>9.8000000000000007</v>
      </c>
      <c r="C653" s="1">
        <v>0.88</v>
      </c>
      <c r="D653" s="1">
        <v>0.25</v>
      </c>
      <c r="E653" s="1">
        <v>2.5</v>
      </c>
      <c r="F653" s="1">
        <v>0.104</v>
      </c>
      <c r="G653" s="1">
        <v>35</v>
      </c>
      <c r="H653" s="1">
        <v>155</v>
      </c>
      <c r="I653" s="1">
        <v>1.0009999999999999</v>
      </c>
      <c r="J653" s="1">
        <v>3.41</v>
      </c>
      <c r="K653" s="1">
        <v>0.67</v>
      </c>
      <c r="L653" s="1">
        <v>11.2</v>
      </c>
      <c r="M653" s="2">
        <v>5</v>
      </c>
      <c r="N653" s="2" t="str" cm="1">
        <f t="array" ref="N653">_xlfn.IFS(Table1[[#This Row],[quality]]&lt;=4,"Low",Table1[[#This Row],[quality]]&lt;=6,"Medium",Table1[[#This Row],[quality]]&gt;=7,"High")</f>
        <v>Medium</v>
      </c>
      <c r="O653" s="2" t="str">
        <f>IF(AND(Table1[[#This Row],[fixed acidity]]&gt;Sheet1!$C$4,Table1[[#This Row],[pH]]&lt;Sheet1!$K$4),"High","Normal")</f>
        <v>Normal</v>
      </c>
      <c r="P653" s="1">
        <f>(Table1[[#This Row],[alcohol]]*2)+(Table1[[#This Row],[sulphates]]*1.5)-(Table1[[#This Row],[volatile acidity]]*2)</f>
        <v>21.644999999999996</v>
      </c>
      <c r="Q653" s="1">
        <f>RANK(Table1[[#This Row],[Quality_score_index]],Table1[Quality_score_index],0)</f>
        <v>520</v>
      </c>
      <c r="R653" s="1">
        <f>Table1[[#This Row],[total sulfur dioxide]]-Table1[[#This Row],[free sulfur dioxide]]</f>
        <v>120</v>
      </c>
      <c r="S653" s="1" t="str">
        <f>IF(AND(Table1[[#This Row],[pH]]&gt;=3.2,Table1[[#This Row],[alcohol]]&gt;=10),"White wine","Red wine")</f>
        <v>White wine</v>
      </c>
    </row>
    <row r="654" spans="1:19" x14ac:dyDescent="0.3">
      <c r="A654" s="13">
        <v>653</v>
      </c>
      <c r="B654" s="1">
        <v>15.9</v>
      </c>
      <c r="C654" s="1">
        <v>0.36</v>
      </c>
      <c r="D654" s="1">
        <v>0.65</v>
      </c>
      <c r="E654" s="1">
        <v>7.5</v>
      </c>
      <c r="F654" s="1">
        <v>9.6000000000000002E-2</v>
      </c>
      <c r="G654" s="1">
        <v>22</v>
      </c>
      <c r="H654" s="1">
        <v>71</v>
      </c>
      <c r="I654" s="1">
        <v>0.99760000000000004</v>
      </c>
      <c r="J654" s="1">
        <v>2.98</v>
      </c>
      <c r="K654" s="1">
        <v>0.84</v>
      </c>
      <c r="L654" s="1">
        <v>14.9</v>
      </c>
      <c r="M654" s="2">
        <v>5</v>
      </c>
      <c r="N654" s="2" t="str" cm="1">
        <f t="array" ref="N654">_xlfn.IFS(Table1[[#This Row],[quality]]&lt;=4,"Low",Table1[[#This Row],[quality]]&lt;=6,"Medium",Table1[[#This Row],[quality]]&gt;=7,"High")</f>
        <v>Medium</v>
      </c>
      <c r="O654" s="2" t="str">
        <f>IF(AND(Table1[[#This Row],[fixed acidity]]&gt;Sheet1!$C$4,Table1[[#This Row],[pH]]&lt;Sheet1!$K$4),"High","Normal")</f>
        <v>High</v>
      </c>
      <c r="P654" s="1">
        <f>(Table1[[#This Row],[alcohol]]*2)+(Table1[[#This Row],[sulphates]]*1.5)-(Table1[[#This Row],[volatile acidity]]*2)</f>
        <v>30.340000000000003</v>
      </c>
      <c r="Q654" s="1">
        <f>RANK(Table1[[#This Row],[Quality_score_index]],Table1[Quality_score_index],0)</f>
        <v>1</v>
      </c>
      <c r="R654" s="1">
        <f>Table1[[#This Row],[total sulfur dioxide]]-Table1[[#This Row],[free sulfur dioxide]]</f>
        <v>49</v>
      </c>
      <c r="S654" s="1" t="str">
        <f>IF(AND(Table1[[#This Row],[pH]]&gt;=3.2,Table1[[#This Row],[alcohol]]&gt;=10),"White wine","Red wine")</f>
        <v>Red wine</v>
      </c>
    </row>
    <row r="655" spans="1:19" x14ac:dyDescent="0.3">
      <c r="A655" s="13">
        <v>654</v>
      </c>
      <c r="B655" s="1">
        <v>9.4</v>
      </c>
      <c r="C655" s="1">
        <v>0.33</v>
      </c>
      <c r="D655" s="1">
        <v>0.59</v>
      </c>
      <c r="E655" s="1">
        <v>2.8</v>
      </c>
      <c r="F655" s="1">
        <v>7.9000000000000001E-2</v>
      </c>
      <c r="G655" s="1">
        <v>9</v>
      </c>
      <c r="H655" s="1">
        <v>30</v>
      </c>
      <c r="I655" s="1">
        <v>0.99760000000000004</v>
      </c>
      <c r="J655" s="1">
        <v>3.12</v>
      </c>
      <c r="K655" s="1">
        <v>0.54</v>
      </c>
      <c r="L655" s="1">
        <v>12</v>
      </c>
      <c r="M655" s="2">
        <v>6</v>
      </c>
      <c r="N655" s="2" t="str" cm="1">
        <f t="array" ref="N655">_xlfn.IFS(Table1[[#This Row],[quality]]&lt;=4,"Low",Table1[[#This Row],[quality]]&lt;=6,"Medium",Table1[[#This Row],[quality]]&gt;=7,"High")</f>
        <v>Medium</v>
      </c>
      <c r="O655" s="2" t="str">
        <f>IF(AND(Table1[[#This Row],[fixed acidity]]&gt;Sheet1!$C$4,Table1[[#This Row],[pH]]&lt;Sheet1!$K$4),"High","Normal")</f>
        <v>High</v>
      </c>
      <c r="P655" s="1">
        <f>(Table1[[#This Row],[alcohol]]*2)+(Table1[[#This Row],[sulphates]]*1.5)-(Table1[[#This Row],[volatile acidity]]*2)</f>
        <v>24.15</v>
      </c>
      <c r="Q655" s="1">
        <f>RANK(Table1[[#This Row],[Quality_score_index]],Table1[Quality_score_index],0)</f>
        <v>164</v>
      </c>
      <c r="R655" s="1">
        <f>Table1[[#This Row],[total sulfur dioxide]]-Table1[[#This Row],[free sulfur dioxide]]</f>
        <v>21</v>
      </c>
      <c r="S655" s="1" t="str">
        <f>IF(AND(Table1[[#This Row],[pH]]&gt;=3.2,Table1[[#This Row],[alcohol]]&gt;=10),"White wine","Red wine")</f>
        <v>Red wine</v>
      </c>
    </row>
    <row r="656" spans="1:19" x14ac:dyDescent="0.3">
      <c r="A656" s="13">
        <v>655</v>
      </c>
      <c r="B656" s="1">
        <v>8.6</v>
      </c>
      <c r="C656" s="1">
        <v>0.47</v>
      </c>
      <c r="D656" s="1">
        <v>0.47</v>
      </c>
      <c r="E656" s="1">
        <v>2.4</v>
      </c>
      <c r="F656" s="1">
        <v>7.3999999999999996E-2</v>
      </c>
      <c r="G656" s="1">
        <v>7</v>
      </c>
      <c r="H656" s="1">
        <v>29</v>
      </c>
      <c r="I656" s="1">
        <v>0.99790000000000001</v>
      </c>
      <c r="J656" s="1">
        <v>3.08</v>
      </c>
      <c r="K656" s="1">
        <v>0.46</v>
      </c>
      <c r="L656" s="1">
        <v>9.5</v>
      </c>
      <c r="M656" s="2">
        <v>5</v>
      </c>
      <c r="N656" s="2" t="str" cm="1">
        <f t="array" ref="N656">_xlfn.IFS(Table1[[#This Row],[quality]]&lt;=4,"Low",Table1[[#This Row],[quality]]&lt;=6,"Medium",Table1[[#This Row],[quality]]&gt;=7,"High")</f>
        <v>Medium</v>
      </c>
      <c r="O656" s="2" t="str">
        <f>IF(AND(Table1[[#This Row],[fixed acidity]]&gt;Sheet1!$C$4,Table1[[#This Row],[pH]]&lt;Sheet1!$K$4),"High","Normal")</f>
        <v>High</v>
      </c>
      <c r="P656" s="1">
        <f>(Table1[[#This Row],[alcohol]]*2)+(Table1[[#This Row],[sulphates]]*1.5)-(Table1[[#This Row],[volatile acidity]]*2)</f>
        <v>18.75</v>
      </c>
      <c r="Q656" s="1">
        <f>RANK(Table1[[#This Row],[Quality_score_index]],Table1[Quality_score_index],0)</f>
        <v>1264</v>
      </c>
      <c r="R656" s="1">
        <f>Table1[[#This Row],[total sulfur dioxide]]-Table1[[#This Row],[free sulfur dioxide]]</f>
        <v>22</v>
      </c>
      <c r="S656" s="1" t="str">
        <f>IF(AND(Table1[[#This Row],[pH]]&gt;=3.2,Table1[[#This Row],[alcohol]]&gt;=10),"White wine","Red wine")</f>
        <v>Red wine</v>
      </c>
    </row>
    <row r="657" spans="1:19" x14ac:dyDescent="0.3">
      <c r="A657" s="13">
        <v>656</v>
      </c>
      <c r="B657" s="1">
        <v>9.6999999999999993</v>
      </c>
      <c r="C657" s="1">
        <v>0.55000000000000004</v>
      </c>
      <c r="D657" s="1">
        <v>0.17</v>
      </c>
      <c r="E657" s="1">
        <v>2.9</v>
      </c>
      <c r="F657" s="1">
        <v>8.6999999999999994E-2</v>
      </c>
      <c r="G657" s="1">
        <v>20</v>
      </c>
      <c r="H657" s="1">
        <v>53</v>
      </c>
      <c r="I657" s="1">
        <v>1.0004</v>
      </c>
      <c r="J657" s="1">
        <v>3.14</v>
      </c>
      <c r="K657" s="1">
        <v>0.61</v>
      </c>
      <c r="L657" s="1">
        <v>9.4</v>
      </c>
      <c r="M657" s="2">
        <v>5</v>
      </c>
      <c r="N657" s="2" t="str" cm="1">
        <f t="array" ref="N657">_xlfn.IFS(Table1[[#This Row],[quality]]&lt;=4,"Low",Table1[[#This Row],[quality]]&lt;=6,"Medium",Table1[[#This Row],[quality]]&gt;=7,"High")</f>
        <v>Medium</v>
      </c>
      <c r="O657" s="2" t="str">
        <f>IF(AND(Table1[[#This Row],[fixed acidity]]&gt;Sheet1!$C$4,Table1[[#This Row],[pH]]&lt;Sheet1!$K$4),"High","Normal")</f>
        <v>High</v>
      </c>
      <c r="P657" s="1">
        <f>(Table1[[#This Row],[alcohol]]*2)+(Table1[[#This Row],[sulphates]]*1.5)-(Table1[[#This Row],[volatile acidity]]*2)</f>
        <v>18.614999999999998</v>
      </c>
      <c r="Q657" s="1">
        <f>RANK(Table1[[#This Row],[Quality_score_index]],Table1[Quality_score_index],0)</f>
        <v>1338</v>
      </c>
      <c r="R657" s="1">
        <f>Table1[[#This Row],[total sulfur dioxide]]-Table1[[#This Row],[free sulfur dioxide]]</f>
        <v>33</v>
      </c>
      <c r="S657" s="1" t="str">
        <f>IF(AND(Table1[[#This Row],[pH]]&gt;=3.2,Table1[[#This Row],[alcohol]]&gt;=10),"White wine","Red wine")</f>
        <v>Red wine</v>
      </c>
    </row>
    <row r="658" spans="1:19" x14ac:dyDescent="0.3">
      <c r="A658" s="13">
        <v>657</v>
      </c>
      <c r="B658" s="1">
        <v>10.7</v>
      </c>
      <c r="C658" s="1">
        <v>0.43</v>
      </c>
      <c r="D658" s="1">
        <v>0.39</v>
      </c>
      <c r="E658" s="1">
        <v>2.2000000000000002</v>
      </c>
      <c r="F658" s="1">
        <v>0.106</v>
      </c>
      <c r="G658" s="1">
        <v>8</v>
      </c>
      <c r="H658" s="1">
        <v>32</v>
      </c>
      <c r="I658" s="1">
        <v>0.99860000000000004</v>
      </c>
      <c r="J658" s="1">
        <v>2.89</v>
      </c>
      <c r="K658" s="1">
        <v>0.5</v>
      </c>
      <c r="L658" s="1">
        <v>9.6</v>
      </c>
      <c r="M658" s="2">
        <v>5</v>
      </c>
      <c r="N658" s="2" t="str" cm="1">
        <f t="array" ref="N658">_xlfn.IFS(Table1[[#This Row],[quality]]&lt;=4,"Low",Table1[[#This Row],[quality]]&lt;=6,"Medium",Table1[[#This Row],[quality]]&gt;=7,"High")</f>
        <v>Medium</v>
      </c>
      <c r="O658" s="2" t="str">
        <f>IF(AND(Table1[[#This Row],[fixed acidity]]&gt;Sheet1!$C$4,Table1[[#This Row],[pH]]&lt;Sheet1!$K$4),"High","Normal")</f>
        <v>High</v>
      </c>
      <c r="P658" s="1">
        <f>(Table1[[#This Row],[alcohol]]*2)+(Table1[[#This Row],[sulphates]]*1.5)-(Table1[[#This Row],[volatile acidity]]*2)</f>
        <v>19.09</v>
      </c>
      <c r="Q658" s="1">
        <f>RANK(Table1[[#This Row],[Quality_score_index]],Table1[Quality_score_index],0)</f>
        <v>1125</v>
      </c>
      <c r="R658" s="1">
        <f>Table1[[#This Row],[total sulfur dioxide]]-Table1[[#This Row],[free sulfur dioxide]]</f>
        <v>24</v>
      </c>
      <c r="S658" s="1" t="str">
        <f>IF(AND(Table1[[#This Row],[pH]]&gt;=3.2,Table1[[#This Row],[alcohol]]&gt;=10),"White wine","Red wine")</f>
        <v>Red wine</v>
      </c>
    </row>
    <row r="659" spans="1:19" x14ac:dyDescent="0.3">
      <c r="A659" s="13">
        <v>658</v>
      </c>
      <c r="B659" s="1">
        <v>12</v>
      </c>
      <c r="C659" s="1">
        <v>0.5</v>
      </c>
      <c r="D659" s="1">
        <v>0.59</v>
      </c>
      <c r="E659" s="1">
        <v>1.4</v>
      </c>
      <c r="F659" s="1">
        <v>7.2999999999999995E-2</v>
      </c>
      <c r="G659" s="1">
        <v>23</v>
      </c>
      <c r="H659" s="1">
        <v>42</v>
      </c>
      <c r="I659" s="1">
        <v>0.998</v>
      </c>
      <c r="J659" s="1">
        <v>2.92</v>
      </c>
      <c r="K659" s="1">
        <v>0.68</v>
      </c>
      <c r="L659" s="1">
        <v>10.5</v>
      </c>
      <c r="M659" s="2">
        <v>7</v>
      </c>
      <c r="N659" s="2" t="str" cm="1">
        <f t="array" ref="N659">_xlfn.IFS(Table1[[#This Row],[quality]]&lt;=4,"Low",Table1[[#This Row],[quality]]&lt;=6,"Medium",Table1[[#This Row],[quality]]&gt;=7,"High")</f>
        <v>High</v>
      </c>
      <c r="O659" s="2" t="str">
        <f>IF(AND(Table1[[#This Row],[fixed acidity]]&gt;Sheet1!$C$4,Table1[[#This Row],[pH]]&lt;Sheet1!$K$4),"High","Normal")</f>
        <v>High</v>
      </c>
      <c r="P659" s="1">
        <f>(Table1[[#This Row],[alcohol]]*2)+(Table1[[#This Row],[sulphates]]*1.5)-(Table1[[#This Row],[volatile acidity]]*2)</f>
        <v>21.02</v>
      </c>
      <c r="Q659" s="1">
        <f>RANK(Table1[[#This Row],[Quality_score_index]],Table1[Quality_score_index],0)</f>
        <v>647</v>
      </c>
      <c r="R659" s="1">
        <f>Table1[[#This Row],[total sulfur dioxide]]-Table1[[#This Row],[free sulfur dioxide]]</f>
        <v>19</v>
      </c>
      <c r="S659" s="1" t="str">
        <f>IF(AND(Table1[[#This Row],[pH]]&gt;=3.2,Table1[[#This Row],[alcohol]]&gt;=10),"White wine","Red wine")</f>
        <v>Red wine</v>
      </c>
    </row>
    <row r="660" spans="1:19" x14ac:dyDescent="0.3">
      <c r="A660" s="13">
        <v>659</v>
      </c>
      <c r="B660" s="1">
        <v>7.2</v>
      </c>
      <c r="C660" s="1">
        <v>0.52</v>
      </c>
      <c r="D660" s="1">
        <v>7.0000000000000007E-2</v>
      </c>
      <c r="E660" s="1">
        <v>1.4</v>
      </c>
      <c r="F660" s="1">
        <v>7.3999999999999996E-2</v>
      </c>
      <c r="G660" s="1">
        <v>5</v>
      </c>
      <c r="H660" s="1">
        <v>20</v>
      </c>
      <c r="I660" s="1">
        <v>0.99729999999999996</v>
      </c>
      <c r="J660" s="1">
        <v>3.32</v>
      </c>
      <c r="K660" s="1">
        <v>0.81</v>
      </c>
      <c r="L660" s="1">
        <v>9.6</v>
      </c>
      <c r="M660" s="2">
        <v>6</v>
      </c>
      <c r="N660" s="2" t="str" cm="1">
        <f t="array" ref="N660">_xlfn.IFS(Table1[[#This Row],[quality]]&lt;=4,"Low",Table1[[#This Row],[quality]]&lt;=6,"Medium",Table1[[#This Row],[quality]]&gt;=7,"High")</f>
        <v>Medium</v>
      </c>
      <c r="O660" s="2" t="str">
        <f>IF(AND(Table1[[#This Row],[fixed acidity]]&gt;Sheet1!$C$4,Table1[[#This Row],[pH]]&lt;Sheet1!$K$4),"High","Normal")</f>
        <v>Normal</v>
      </c>
      <c r="P660" s="1">
        <f>(Table1[[#This Row],[alcohol]]*2)+(Table1[[#This Row],[sulphates]]*1.5)-(Table1[[#This Row],[volatile acidity]]*2)</f>
        <v>19.375</v>
      </c>
      <c r="Q660" s="1">
        <f>RANK(Table1[[#This Row],[Quality_score_index]],Table1[Quality_score_index],0)</f>
        <v>1016</v>
      </c>
      <c r="R660" s="1">
        <f>Table1[[#This Row],[total sulfur dioxide]]-Table1[[#This Row],[free sulfur dioxide]]</f>
        <v>15</v>
      </c>
      <c r="S660" s="1" t="str">
        <f>IF(AND(Table1[[#This Row],[pH]]&gt;=3.2,Table1[[#This Row],[alcohol]]&gt;=10),"White wine","Red wine")</f>
        <v>Red wine</v>
      </c>
    </row>
    <row r="661" spans="1:19" x14ac:dyDescent="0.3">
      <c r="A661" s="13">
        <v>660</v>
      </c>
      <c r="B661" s="1">
        <v>7.1</v>
      </c>
      <c r="C661" s="1">
        <v>0.84</v>
      </c>
      <c r="D661" s="1">
        <v>0.02</v>
      </c>
      <c r="E661" s="1">
        <v>4.4000000000000004</v>
      </c>
      <c r="F661" s="1">
        <v>9.6000000000000002E-2</v>
      </c>
      <c r="G661" s="1">
        <v>5</v>
      </c>
      <c r="H661" s="1">
        <v>13</v>
      </c>
      <c r="I661" s="1">
        <v>0.997</v>
      </c>
      <c r="J661" s="1">
        <v>3.41</v>
      </c>
      <c r="K661" s="1">
        <v>0.56999999999999995</v>
      </c>
      <c r="L661" s="1">
        <v>11</v>
      </c>
      <c r="M661" s="2">
        <v>4</v>
      </c>
      <c r="N661" s="2" t="str" cm="1">
        <f t="array" ref="N661">_xlfn.IFS(Table1[[#This Row],[quality]]&lt;=4,"Low",Table1[[#This Row],[quality]]&lt;=6,"Medium",Table1[[#This Row],[quality]]&gt;=7,"High")</f>
        <v>Low</v>
      </c>
      <c r="O661" s="2" t="str">
        <f>IF(AND(Table1[[#This Row],[fixed acidity]]&gt;Sheet1!$C$4,Table1[[#This Row],[pH]]&lt;Sheet1!$K$4),"High","Normal")</f>
        <v>Normal</v>
      </c>
      <c r="P661" s="1">
        <f>(Table1[[#This Row],[alcohol]]*2)+(Table1[[#This Row],[sulphates]]*1.5)-(Table1[[#This Row],[volatile acidity]]*2)</f>
        <v>21.175000000000001</v>
      </c>
      <c r="Q661" s="1">
        <f>RANK(Table1[[#This Row],[Quality_score_index]],Table1[Quality_score_index],0)</f>
        <v>619</v>
      </c>
      <c r="R661" s="1">
        <f>Table1[[#This Row],[total sulfur dioxide]]-Table1[[#This Row],[free sulfur dioxide]]</f>
        <v>8</v>
      </c>
      <c r="S661" s="1" t="str">
        <f>IF(AND(Table1[[#This Row],[pH]]&gt;=3.2,Table1[[#This Row],[alcohol]]&gt;=10),"White wine","Red wine")</f>
        <v>White wine</v>
      </c>
    </row>
    <row r="662" spans="1:19" x14ac:dyDescent="0.3">
      <c r="A662" s="13">
        <v>661</v>
      </c>
      <c r="B662" s="1">
        <v>7.2</v>
      </c>
      <c r="C662" s="1">
        <v>0.52</v>
      </c>
      <c r="D662" s="1">
        <v>7.0000000000000007E-2</v>
      </c>
      <c r="E662" s="1">
        <v>1.4</v>
      </c>
      <c r="F662" s="1">
        <v>7.3999999999999996E-2</v>
      </c>
      <c r="G662" s="1">
        <v>5</v>
      </c>
      <c r="H662" s="1">
        <v>20</v>
      </c>
      <c r="I662" s="1">
        <v>0.99729999999999996</v>
      </c>
      <c r="J662" s="1">
        <v>3.32</v>
      </c>
      <c r="K662" s="1">
        <v>0.81</v>
      </c>
      <c r="L662" s="1">
        <v>9.6</v>
      </c>
      <c r="M662" s="2">
        <v>6</v>
      </c>
      <c r="N662" s="2" t="str" cm="1">
        <f t="array" ref="N662">_xlfn.IFS(Table1[[#This Row],[quality]]&lt;=4,"Low",Table1[[#This Row],[quality]]&lt;=6,"Medium",Table1[[#This Row],[quality]]&gt;=7,"High")</f>
        <v>Medium</v>
      </c>
      <c r="O662" s="2" t="str">
        <f>IF(AND(Table1[[#This Row],[fixed acidity]]&gt;Sheet1!$C$4,Table1[[#This Row],[pH]]&lt;Sheet1!$K$4),"High","Normal")</f>
        <v>Normal</v>
      </c>
      <c r="P662" s="1">
        <f>(Table1[[#This Row],[alcohol]]*2)+(Table1[[#This Row],[sulphates]]*1.5)-(Table1[[#This Row],[volatile acidity]]*2)</f>
        <v>19.375</v>
      </c>
      <c r="Q662" s="1">
        <f>RANK(Table1[[#This Row],[Quality_score_index]],Table1[Quality_score_index],0)</f>
        <v>1016</v>
      </c>
      <c r="R662" s="1">
        <f>Table1[[#This Row],[total sulfur dioxide]]-Table1[[#This Row],[free sulfur dioxide]]</f>
        <v>15</v>
      </c>
      <c r="S662" s="1" t="str">
        <f>IF(AND(Table1[[#This Row],[pH]]&gt;=3.2,Table1[[#This Row],[alcohol]]&gt;=10),"White wine","Red wine")</f>
        <v>Red wine</v>
      </c>
    </row>
    <row r="663" spans="1:19" x14ac:dyDescent="0.3">
      <c r="A663" s="13">
        <v>662</v>
      </c>
      <c r="B663" s="1">
        <v>7.5</v>
      </c>
      <c r="C663" s="1">
        <v>0.42</v>
      </c>
      <c r="D663" s="1">
        <v>0.31</v>
      </c>
      <c r="E663" s="1">
        <v>1.6</v>
      </c>
      <c r="F663" s="1">
        <v>0.08</v>
      </c>
      <c r="G663" s="1">
        <v>15</v>
      </c>
      <c r="H663" s="1">
        <v>42</v>
      </c>
      <c r="I663" s="1">
        <v>0.99780000000000002</v>
      </c>
      <c r="J663" s="1">
        <v>3.31</v>
      </c>
      <c r="K663" s="1">
        <v>0.64</v>
      </c>
      <c r="L663" s="1">
        <v>9</v>
      </c>
      <c r="M663" s="2">
        <v>5</v>
      </c>
      <c r="N663" s="2" t="str" cm="1">
        <f t="array" ref="N663">_xlfn.IFS(Table1[[#This Row],[quality]]&lt;=4,"Low",Table1[[#This Row],[quality]]&lt;=6,"Medium",Table1[[#This Row],[quality]]&gt;=7,"High")</f>
        <v>Medium</v>
      </c>
      <c r="O663" s="2" t="str">
        <f>IF(AND(Table1[[#This Row],[fixed acidity]]&gt;Sheet1!$C$4,Table1[[#This Row],[pH]]&lt;Sheet1!$K$4),"High","Normal")</f>
        <v>Normal</v>
      </c>
      <c r="P663" s="1">
        <f>(Table1[[#This Row],[alcohol]]*2)+(Table1[[#This Row],[sulphates]]*1.5)-(Table1[[#This Row],[volatile acidity]]*2)</f>
        <v>18.12</v>
      </c>
      <c r="Q663" s="1">
        <f>RANK(Table1[[#This Row],[Quality_score_index]],Table1[Quality_score_index],0)</f>
        <v>1497</v>
      </c>
      <c r="R663" s="1">
        <f>Table1[[#This Row],[total sulfur dioxide]]-Table1[[#This Row],[free sulfur dioxide]]</f>
        <v>27</v>
      </c>
      <c r="S663" s="1" t="str">
        <f>IF(AND(Table1[[#This Row],[pH]]&gt;=3.2,Table1[[#This Row],[alcohol]]&gt;=10),"White wine","Red wine")</f>
        <v>Red wine</v>
      </c>
    </row>
    <row r="664" spans="1:19" x14ac:dyDescent="0.3">
      <c r="A664" s="13">
        <v>663</v>
      </c>
      <c r="B664" s="1">
        <v>7.2</v>
      </c>
      <c r="C664" s="1">
        <v>0.56999999999999995</v>
      </c>
      <c r="D664" s="1">
        <v>0.06</v>
      </c>
      <c r="E664" s="1">
        <v>1.6</v>
      </c>
      <c r="F664" s="1">
        <v>7.5999999999999998E-2</v>
      </c>
      <c r="G664" s="1">
        <v>9</v>
      </c>
      <c r="H664" s="1">
        <v>27</v>
      </c>
      <c r="I664" s="1">
        <v>0.99719999999999998</v>
      </c>
      <c r="J664" s="1">
        <v>3.36</v>
      </c>
      <c r="K664" s="1">
        <v>0.7</v>
      </c>
      <c r="L664" s="1">
        <v>9.6</v>
      </c>
      <c r="M664" s="2">
        <v>6</v>
      </c>
      <c r="N664" s="2" t="str" cm="1">
        <f t="array" ref="N664">_xlfn.IFS(Table1[[#This Row],[quality]]&lt;=4,"Low",Table1[[#This Row],[quality]]&lt;=6,"Medium",Table1[[#This Row],[quality]]&gt;=7,"High")</f>
        <v>Medium</v>
      </c>
      <c r="O664" s="2" t="str">
        <f>IF(AND(Table1[[#This Row],[fixed acidity]]&gt;Sheet1!$C$4,Table1[[#This Row],[pH]]&lt;Sheet1!$K$4),"High","Normal")</f>
        <v>Normal</v>
      </c>
      <c r="P664" s="1">
        <f>(Table1[[#This Row],[alcohol]]*2)+(Table1[[#This Row],[sulphates]]*1.5)-(Table1[[#This Row],[volatile acidity]]*2)</f>
        <v>19.11</v>
      </c>
      <c r="Q664" s="1">
        <f>RANK(Table1[[#This Row],[Quality_score_index]],Table1[Quality_score_index],0)</f>
        <v>1116</v>
      </c>
      <c r="R664" s="1">
        <f>Table1[[#This Row],[total sulfur dioxide]]-Table1[[#This Row],[free sulfur dioxide]]</f>
        <v>18</v>
      </c>
      <c r="S664" s="1" t="str">
        <f>IF(AND(Table1[[#This Row],[pH]]&gt;=3.2,Table1[[#This Row],[alcohol]]&gt;=10),"White wine","Red wine")</f>
        <v>Red wine</v>
      </c>
    </row>
    <row r="665" spans="1:19" x14ac:dyDescent="0.3">
      <c r="A665" s="13">
        <v>664</v>
      </c>
      <c r="B665" s="1">
        <v>10.1</v>
      </c>
      <c r="C665" s="1">
        <v>0.28000000000000003</v>
      </c>
      <c r="D665" s="1">
        <v>0.46</v>
      </c>
      <c r="E665" s="1">
        <v>1.8</v>
      </c>
      <c r="F665" s="1">
        <v>0.05</v>
      </c>
      <c r="G665" s="1">
        <v>5</v>
      </c>
      <c r="H665" s="1">
        <v>13</v>
      </c>
      <c r="I665" s="1">
        <v>0.99739999999999995</v>
      </c>
      <c r="J665" s="1">
        <v>3.04</v>
      </c>
      <c r="K665" s="1">
        <v>0.79</v>
      </c>
      <c r="L665" s="1">
        <v>10.199999999999999</v>
      </c>
      <c r="M665" s="2">
        <v>6</v>
      </c>
      <c r="N665" s="2" t="str" cm="1">
        <f t="array" ref="N665">_xlfn.IFS(Table1[[#This Row],[quality]]&lt;=4,"Low",Table1[[#This Row],[quality]]&lt;=6,"Medium",Table1[[#This Row],[quality]]&gt;=7,"High")</f>
        <v>Medium</v>
      </c>
      <c r="O665" s="2" t="str">
        <f>IF(AND(Table1[[#This Row],[fixed acidity]]&gt;Sheet1!$C$4,Table1[[#This Row],[pH]]&lt;Sheet1!$K$4),"High","Normal")</f>
        <v>High</v>
      </c>
      <c r="P665" s="1">
        <f>(Table1[[#This Row],[alcohol]]*2)+(Table1[[#This Row],[sulphates]]*1.5)-(Table1[[#This Row],[volatile acidity]]*2)</f>
        <v>21.024999999999999</v>
      </c>
      <c r="Q665" s="1">
        <f>RANK(Table1[[#This Row],[Quality_score_index]],Table1[Quality_score_index],0)</f>
        <v>646</v>
      </c>
      <c r="R665" s="1">
        <f>Table1[[#This Row],[total sulfur dioxide]]-Table1[[#This Row],[free sulfur dioxide]]</f>
        <v>8</v>
      </c>
      <c r="S665" s="1" t="str">
        <f>IF(AND(Table1[[#This Row],[pH]]&gt;=3.2,Table1[[#This Row],[alcohol]]&gt;=10),"White wine","Red wine")</f>
        <v>Red wine</v>
      </c>
    </row>
    <row r="666" spans="1:19" x14ac:dyDescent="0.3">
      <c r="A666" s="13">
        <v>665</v>
      </c>
      <c r="B666" s="1">
        <v>12.1</v>
      </c>
      <c r="C666" s="1">
        <v>0.4</v>
      </c>
      <c r="D666" s="1">
        <v>0.52</v>
      </c>
      <c r="E666" s="1">
        <v>2</v>
      </c>
      <c r="F666" s="1">
        <v>9.1999999999999998E-2</v>
      </c>
      <c r="G666" s="1">
        <v>15</v>
      </c>
      <c r="H666" s="1">
        <v>54</v>
      </c>
      <c r="I666" s="1">
        <v>1</v>
      </c>
      <c r="J666" s="1">
        <v>3.03</v>
      </c>
      <c r="K666" s="1">
        <v>0.66</v>
      </c>
      <c r="L666" s="1">
        <v>10.199999999999999</v>
      </c>
      <c r="M666" s="2">
        <v>5</v>
      </c>
      <c r="N666" s="2" t="str" cm="1">
        <f t="array" ref="N666">_xlfn.IFS(Table1[[#This Row],[quality]]&lt;=4,"Low",Table1[[#This Row],[quality]]&lt;=6,"Medium",Table1[[#This Row],[quality]]&gt;=7,"High")</f>
        <v>Medium</v>
      </c>
      <c r="O666" s="2" t="str">
        <f>IF(AND(Table1[[#This Row],[fixed acidity]]&gt;Sheet1!$C$4,Table1[[#This Row],[pH]]&lt;Sheet1!$K$4),"High","Normal")</f>
        <v>High</v>
      </c>
      <c r="P666" s="1">
        <f>(Table1[[#This Row],[alcohol]]*2)+(Table1[[#This Row],[sulphates]]*1.5)-(Table1[[#This Row],[volatile acidity]]*2)</f>
        <v>20.589999999999996</v>
      </c>
      <c r="Q666" s="1">
        <f>RANK(Table1[[#This Row],[Quality_score_index]],Table1[Quality_score_index],0)</f>
        <v>741</v>
      </c>
      <c r="R666" s="1">
        <f>Table1[[#This Row],[total sulfur dioxide]]-Table1[[#This Row],[free sulfur dioxide]]</f>
        <v>39</v>
      </c>
      <c r="S666" s="1" t="str">
        <f>IF(AND(Table1[[#This Row],[pH]]&gt;=3.2,Table1[[#This Row],[alcohol]]&gt;=10),"White wine","Red wine")</f>
        <v>Red wine</v>
      </c>
    </row>
    <row r="667" spans="1:19" x14ac:dyDescent="0.3">
      <c r="A667" s="13">
        <v>666</v>
      </c>
      <c r="B667" s="1">
        <v>9.4</v>
      </c>
      <c r="C667" s="1">
        <v>0.59</v>
      </c>
      <c r="D667" s="1">
        <v>0.14000000000000001</v>
      </c>
      <c r="E667" s="1">
        <v>2</v>
      </c>
      <c r="F667" s="1">
        <v>8.4000000000000005E-2</v>
      </c>
      <c r="G667" s="1">
        <v>25</v>
      </c>
      <c r="H667" s="1">
        <v>48</v>
      </c>
      <c r="I667" s="1">
        <v>0.99809999999999999</v>
      </c>
      <c r="J667" s="1">
        <v>3.14</v>
      </c>
      <c r="K667" s="1">
        <v>0.56000000000000005</v>
      </c>
      <c r="L667" s="1">
        <v>9.6999999999999993</v>
      </c>
      <c r="M667" s="2">
        <v>5</v>
      </c>
      <c r="N667" s="2" t="str" cm="1">
        <f t="array" ref="N667">_xlfn.IFS(Table1[[#This Row],[quality]]&lt;=4,"Low",Table1[[#This Row],[quality]]&lt;=6,"Medium",Table1[[#This Row],[quality]]&gt;=7,"High")</f>
        <v>Medium</v>
      </c>
      <c r="O667" s="2" t="str">
        <f>IF(AND(Table1[[#This Row],[fixed acidity]]&gt;Sheet1!$C$4,Table1[[#This Row],[pH]]&lt;Sheet1!$K$4),"High","Normal")</f>
        <v>High</v>
      </c>
      <c r="P667" s="1">
        <f>(Table1[[#This Row],[alcohol]]*2)+(Table1[[#This Row],[sulphates]]*1.5)-(Table1[[#This Row],[volatile acidity]]*2)</f>
        <v>19.059999999999999</v>
      </c>
      <c r="Q667" s="1">
        <f>RANK(Table1[[#This Row],[Quality_score_index]],Table1[Quality_score_index],0)</f>
        <v>1142</v>
      </c>
      <c r="R667" s="1">
        <f>Table1[[#This Row],[total sulfur dioxide]]-Table1[[#This Row],[free sulfur dioxide]]</f>
        <v>23</v>
      </c>
      <c r="S667" s="1" t="str">
        <f>IF(AND(Table1[[#This Row],[pH]]&gt;=3.2,Table1[[#This Row],[alcohol]]&gt;=10),"White wine","Red wine")</f>
        <v>Red wine</v>
      </c>
    </row>
    <row r="668" spans="1:19" x14ac:dyDescent="0.3">
      <c r="A668" s="13">
        <v>667</v>
      </c>
      <c r="B668" s="1">
        <v>8.3000000000000007</v>
      </c>
      <c r="C668" s="1">
        <v>0.49</v>
      </c>
      <c r="D668" s="1">
        <v>0.36</v>
      </c>
      <c r="E668" s="1">
        <v>1.8</v>
      </c>
      <c r="F668" s="1">
        <v>0.222</v>
      </c>
      <c r="G668" s="1">
        <v>6</v>
      </c>
      <c r="H668" s="1">
        <v>16</v>
      </c>
      <c r="I668" s="1">
        <v>0.998</v>
      </c>
      <c r="J668" s="1">
        <v>3.18</v>
      </c>
      <c r="K668" s="1">
        <v>0.6</v>
      </c>
      <c r="L668" s="1">
        <v>9.5</v>
      </c>
      <c r="M668" s="2">
        <v>6</v>
      </c>
      <c r="N668" s="2" t="str" cm="1">
        <f t="array" ref="N668">_xlfn.IFS(Table1[[#This Row],[quality]]&lt;=4,"Low",Table1[[#This Row],[quality]]&lt;=6,"Medium",Table1[[#This Row],[quality]]&gt;=7,"High")</f>
        <v>Medium</v>
      </c>
      <c r="O668" s="2" t="str">
        <f>IF(AND(Table1[[#This Row],[fixed acidity]]&gt;Sheet1!$C$4,Table1[[#This Row],[pH]]&lt;Sheet1!$K$4),"High","Normal")</f>
        <v>Normal</v>
      </c>
      <c r="P668" s="1">
        <f>(Table1[[#This Row],[alcohol]]*2)+(Table1[[#This Row],[sulphates]]*1.5)-(Table1[[#This Row],[volatile acidity]]*2)</f>
        <v>18.919999999999998</v>
      </c>
      <c r="Q668" s="1">
        <f>RANK(Table1[[#This Row],[Quality_score_index]],Table1[Quality_score_index],0)</f>
        <v>1197</v>
      </c>
      <c r="R668" s="1">
        <f>Table1[[#This Row],[total sulfur dioxide]]-Table1[[#This Row],[free sulfur dioxide]]</f>
        <v>10</v>
      </c>
      <c r="S668" s="1" t="str">
        <f>IF(AND(Table1[[#This Row],[pH]]&gt;=3.2,Table1[[#This Row],[alcohol]]&gt;=10),"White wine","Red wine")</f>
        <v>Red wine</v>
      </c>
    </row>
    <row r="669" spans="1:19" x14ac:dyDescent="0.3">
      <c r="A669" s="13">
        <v>668</v>
      </c>
      <c r="B669" s="1">
        <v>11.3</v>
      </c>
      <c r="C669" s="1">
        <v>0.34</v>
      </c>
      <c r="D669" s="1">
        <v>0.45</v>
      </c>
      <c r="E669" s="1">
        <v>2</v>
      </c>
      <c r="F669" s="1">
        <v>8.2000000000000003E-2</v>
      </c>
      <c r="G669" s="1">
        <v>6</v>
      </c>
      <c r="H669" s="1">
        <v>15</v>
      </c>
      <c r="I669" s="1">
        <v>0.99880000000000002</v>
      </c>
      <c r="J669" s="1">
        <v>2.94</v>
      </c>
      <c r="K669" s="1">
        <v>0.66</v>
      </c>
      <c r="L669" s="1">
        <v>9.1999999999999993</v>
      </c>
      <c r="M669" s="2">
        <v>6</v>
      </c>
      <c r="N669" s="2" t="str" cm="1">
        <f t="array" ref="N669">_xlfn.IFS(Table1[[#This Row],[quality]]&lt;=4,"Low",Table1[[#This Row],[quality]]&lt;=6,"Medium",Table1[[#This Row],[quality]]&gt;=7,"High")</f>
        <v>Medium</v>
      </c>
      <c r="O669" s="2" t="str">
        <f>IF(AND(Table1[[#This Row],[fixed acidity]]&gt;Sheet1!$C$4,Table1[[#This Row],[pH]]&lt;Sheet1!$K$4),"High","Normal")</f>
        <v>High</v>
      </c>
      <c r="P669" s="1">
        <f>(Table1[[#This Row],[alcohol]]*2)+(Table1[[#This Row],[sulphates]]*1.5)-(Table1[[#This Row],[volatile acidity]]*2)</f>
        <v>18.709999999999997</v>
      </c>
      <c r="Q669" s="1">
        <f>RANK(Table1[[#This Row],[Quality_score_index]],Table1[Quality_score_index],0)</f>
        <v>1286</v>
      </c>
      <c r="R669" s="1">
        <f>Table1[[#This Row],[total sulfur dioxide]]-Table1[[#This Row],[free sulfur dioxide]]</f>
        <v>9</v>
      </c>
      <c r="S669" s="1" t="str">
        <f>IF(AND(Table1[[#This Row],[pH]]&gt;=3.2,Table1[[#This Row],[alcohol]]&gt;=10),"White wine","Red wine")</f>
        <v>Red wine</v>
      </c>
    </row>
    <row r="670" spans="1:19" x14ac:dyDescent="0.3">
      <c r="A670" s="13">
        <v>669</v>
      </c>
      <c r="B670" s="1">
        <v>10</v>
      </c>
      <c r="C670" s="1">
        <v>0.73</v>
      </c>
      <c r="D670" s="1">
        <v>0.43</v>
      </c>
      <c r="E670" s="1">
        <v>2.2999999999999998</v>
      </c>
      <c r="F670" s="1">
        <v>5.8999999999999997E-2</v>
      </c>
      <c r="G670" s="1">
        <v>15</v>
      </c>
      <c r="H670" s="1">
        <v>31</v>
      </c>
      <c r="I670" s="1">
        <v>0.99660000000000004</v>
      </c>
      <c r="J670" s="1">
        <v>3.15</v>
      </c>
      <c r="K670" s="1">
        <v>0.56999999999999995</v>
      </c>
      <c r="L670" s="1">
        <v>11</v>
      </c>
      <c r="M670" s="2">
        <v>5</v>
      </c>
      <c r="N670" s="2" t="str" cm="1">
        <f t="array" ref="N670">_xlfn.IFS(Table1[[#This Row],[quality]]&lt;=4,"Low",Table1[[#This Row],[quality]]&lt;=6,"Medium",Table1[[#This Row],[quality]]&gt;=7,"High")</f>
        <v>Medium</v>
      </c>
      <c r="O670" s="2" t="str">
        <f>IF(AND(Table1[[#This Row],[fixed acidity]]&gt;Sheet1!$C$4,Table1[[#This Row],[pH]]&lt;Sheet1!$K$4),"High","Normal")</f>
        <v>High</v>
      </c>
      <c r="P670" s="1">
        <f>(Table1[[#This Row],[alcohol]]*2)+(Table1[[#This Row],[sulphates]]*1.5)-(Table1[[#This Row],[volatile acidity]]*2)</f>
        <v>21.395</v>
      </c>
      <c r="Q670" s="1">
        <f>RANK(Table1[[#This Row],[Quality_score_index]],Table1[Quality_score_index],0)</f>
        <v>557</v>
      </c>
      <c r="R670" s="1">
        <f>Table1[[#This Row],[total sulfur dioxide]]-Table1[[#This Row],[free sulfur dioxide]]</f>
        <v>16</v>
      </c>
      <c r="S670" s="1" t="str">
        <f>IF(AND(Table1[[#This Row],[pH]]&gt;=3.2,Table1[[#This Row],[alcohol]]&gt;=10),"White wine","Red wine")</f>
        <v>Red wine</v>
      </c>
    </row>
    <row r="671" spans="1:19" x14ac:dyDescent="0.3">
      <c r="A671" s="13">
        <v>670</v>
      </c>
      <c r="B671" s="1">
        <v>11.3</v>
      </c>
      <c r="C671" s="1">
        <v>0.34</v>
      </c>
      <c r="D671" s="1">
        <v>0.45</v>
      </c>
      <c r="E671" s="1">
        <v>2</v>
      </c>
      <c r="F671" s="1">
        <v>8.2000000000000003E-2</v>
      </c>
      <c r="G671" s="1">
        <v>6</v>
      </c>
      <c r="H671" s="1">
        <v>15</v>
      </c>
      <c r="I671" s="1">
        <v>0.99880000000000002</v>
      </c>
      <c r="J671" s="1">
        <v>2.94</v>
      </c>
      <c r="K671" s="1">
        <v>0.66</v>
      </c>
      <c r="L671" s="1">
        <v>9.1999999999999993</v>
      </c>
      <c r="M671" s="2">
        <v>6</v>
      </c>
      <c r="N671" s="2" t="str" cm="1">
        <f t="array" ref="N671">_xlfn.IFS(Table1[[#This Row],[quality]]&lt;=4,"Low",Table1[[#This Row],[quality]]&lt;=6,"Medium",Table1[[#This Row],[quality]]&gt;=7,"High")</f>
        <v>Medium</v>
      </c>
      <c r="O671" s="2" t="str">
        <f>IF(AND(Table1[[#This Row],[fixed acidity]]&gt;Sheet1!$C$4,Table1[[#This Row],[pH]]&lt;Sheet1!$K$4),"High","Normal")</f>
        <v>High</v>
      </c>
      <c r="P671" s="1">
        <f>(Table1[[#This Row],[alcohol]]*2)+(Table1[[#This Row],[sulphates]]*1.5)-(Table1[[#This Row],[volatile acidity]]*2)</f>
        <v>18.709999999999997</v>
      </c>
      <c r="Q671" s="1">
        <f>RANK(Table1[[#This Row],[Quality_score_index]],Table1[Quality_score_index],0)</f>
        <v>1286</v>
      </c>
      <c r="R671" s="1">
        <f>Table1[[#This Row],[total sulfur dioxide]]-Table1[[#This Row],[free sulfur dioxide]]</f>
        <v>9</v>
      </c>
      <c r="S671" s="1" t="str">
        <f>IF(AND(Table1[[#This Row],[pH]]&gt;=3.2,Table1[[#This Row],[alcohol]]&gt;=10),"White wine","Red wine")</f>
        <v>Red wine</v>
      </c>
    </row>
    <row r="672" spans="1:19" x14ac:dyDescent="0.3">
      <c r="A672" s="13">
        <v>671</v>
      </c>
      <c r="B672" s="1">
        <v>6.9</v>
      </c>
      <c r="C672" s="1">
        <v>0.4</v>
      </c>
      <c r="D672" s="1">
        <v>0.24</v>
      </c>
      <c r="E672" s="1">
        <v>2.5</v>
      </c>
      <c r="F672" s="1">
        <v>8.3000000000000004E-2</v>
      </c>
      <c r="G672" s="1">
        <v>30</v>
      </c>
      <c r="H672" s="1">
        <v>45</v>
      </c>
      <c r="I672" s="1">
        <v>0.99590000000000001</v>
      </c>
      <c r="J672" s="1">
        <v>3.26</v>
      </c>
      <c r="K672" s="1">
        <v>0.57999999999999996</v>
      </c>
      <c r="L672" s="1">
        <v>10</v>
      </c>
      <c r="M672" s="2">
        <v>5</v>
      </c>
      <c r="N672" s="2" t="str" cm="1">
        <f t="array" ref="N672">_xlfn.IFS(Table1[[#This Row],[quality]]&lt;=4,"Low",Table1[[#This Row],[quality]]&lt;=6,"Medium",Table1[[#This Row],[quality]]&gt;=7,"High")</f>
        <v>Medium</v>
      </c>
      <c r="O672" s="2" t="str">
        <f>IF(AND(Table1[[#This Row],[fixed acidity]]&gt;Sheet1!$C$4,Table1[[#This Row],[pH]]&lt;Sheet1!$K$4),"High","Normal")</f>
        <v>Normal</v>
      </c>
      <c r="P672" s="1">
        <f>(Table1[[#This Row],[alcohol]]*2)+(Table1[[#This Row],[sulphates]]*1.5)-(Table1[[#This Row],[volatile acidity]]*2)</f>
        <v>20.07</v>
      </c>
      <c r="Q672" s="1">
        <f>RANK(Table1[[#This Row],[Quality_score_index]],Table1[Quality_score_index],0)</f>
        <v>846</v>
      </c>
      <c r="R672" s="1">
        <f>Table1[[#This Row],[total sulfur dioxide]]-Table1[[#This Row],[free sulfur dioxide]]</f>
        <v>15</v>
      </c>
      <c r="S672" s="1" t="str">
        <f>IF(AND(Table1[[#This Row],[pH]]&gt;=3.2,Table1[[#This Row],[alcohol]]&gt;=10),"White wine","Red wine")</f>
        <v>White wine</v>
      </c>
    </row>
    <row r="673" spans="1:19" x14ac:dyDescent="0.3">
      <c r="A673" s="13">
        <v>672</v>
      </c>
      <c r="B673" s="1">
        <v>8.1999999999999993</v>
      </c>
      <c r="C673" s="1">
        <v>0.73</v>
      </c>
      <c r="D673" s="1">
        <v>0.21</v>
      </c>
      <c r="E673" s="1">
        <v>1.7</v>
      </c>
      <c r="F673" s="1">
        <v>7.3999999999999996E-2</v>
      </c>
      <c r="G673" s="1">
        <v>5</v>
      </c>
      <c r="H673" s="1">
        <v>13</v>
      </c>
      <c r="I673" s="1">
        <v>0.99680000000000002</v>
      </c>
      <c r="J673" s="1">
        <v>3.2</v>
      </c>
      <c r="K673" s="1">
        <v>0.52</v>
      </c>
      <c r="L673" s="1">
        <v>9.5</v>
      </c>
      <c r="M673" s="2">
        <v>5</v>
      </c>
      <c r="N673" s="2" t="str" cm="1">
        <f t="array" ref="N673">_xlfn.IFS(Table1[[#This Row],[quality]]&lt;=4,"Low",Table1[[#This Row],[quality]]&lt;=6,"Medium",Table1[[#This Row],[quality]]&gt;=7,"High")</f>
        <v>Medium</v>
      </c>
      <c r="O673" s="2" t="str">
        <f>IF(AND(Table1[[#This Row],[fixed acidity]]&gt;Sheet1!$C$4,Table1[[#This Row],[pH]]&lt;Sheet1!$K$4),"High","Normal")</f>
        <v>Normal</v>
      </c>
      <c r="P673" s="1">
        <f>(Table1[[#This Row],[alcohol]]*2)+(Table1[[#This Row],[sulphates]]*1.5)-(Table1[[#This Row],[volatile acidity]]*2)</f>
        <v>18.32</v>
      </c>
      <c r="Q673" s="1">
        <f>RANK(Table1[[#This Row],[Quality_score_index]],Table1[Quality_score_index],0)</f>
        <v>1448</v>
      </c>
      <c r="R673" s="1">
        <f>Table1[[#This Row],[total sulfur dioxide]]-Table1[[#This Row],[free sulfur dioxide]]</f>
        <v>8</v>
      </c>
      <c r="S673" s="1" t="str">
        <f>IF(AND(Table1[[#This Row],[pH]]&gt;=3.2,Table1[[#This Row],[alcohol]]&gt;=10),"White wine","Red wine")</f>
        <v>Red wine</v>
      </c>
    </row>
    <row r="674" spans="1:19" x14ac:dyDescent="0.3">
      <c r="A674" s="13">
        <v>673</v>
      </c>
      <c r="B674" s="1">
        <v>9.8000000000000007</v>
      </c>
      <c r="C674" s="1">
        <v>1.24</v>
      </c>
      <c r="D674" s="1">
        <v>0.34</v>
      </c>
      <c r="E674" s="1">
        <v>2</v>
      </c>
      <c r="F674" s="1">
        <v>7.9000000000000001E-2</v>
      </c>
      <c r="G674" s="1">
        <v>32</v>
      </c>
      <c r="H674" s="1">
        <v>151</v>
      </c>
      <c r="I674" s="1">
        <v>0.998</v>
      </c>
      <c r="J674" s="1">
        <v>3.15</v>
      </c>
      <c r="K674" s="1">
        <v>0.53</v>
      </c>
      <c r="L674" s="1">
        <v>9.5</v>
      </c>
      <c r="M674" s="2">
        <v>5</v>
      </c>
      <c r="N674" s="2" t="str" cm="1">
        <f t="array" ref="N674">_xlfn.IFS(Table1[[#This Row],[quality]]&lt;=4,"Low",Table1[[#This Row],[quality]]&lt;=6,"Medium",Table1[[#This Row],[quality]]&gt;=7,"High")</f>
        <v>Medium</v>
      </c>
      <c r="O674" s="2" t="str">
        <f>IF(AND(Table1[[#This Row],[fixed acidity]]&gt;Sheet1!$C$4,Table1[[#This Row],[pH]]&lt;Sheet1!$K$4),"High","Normal")</f>
        <v>High</v>
      </c>
      <c r="P674" s="1">
        <f>(Table1[[#This Row],[alcohol]]*2)+(Table1[[#This Row],[sulphates]]*1.5)-(Table1[[#This Row],[volatile acidity]]*2)</f>
        <v>17.315000000000001</v>
      </c>
      <c r="Q674" s="1">
        <f>RANK(Table1[[#This Row],[Quality_score_index]],Table1[Quality_score_index],0)</f>
        <v>1592</v>
      </c>
      <c r="R674" s="1">
        <f>Table1[[#This Row],[total sulfur dioxide]]-Table1[[#This Row],[free sulfur dioxide]]</f>
        <v>119</v>
      </c>
      <c r="S674" s="1" t="str">
        <f>IF(AND(Table1[[#This Row],[pH]]&gt;=3.2,Table1[[#This Row],[alcohol]]&gt;=10),"White wine","Red wine")</f>
        <v>Red wine</v>
      </c>
    </row>
    <row r="675" spans="1:19" x14ac:dyDescent="0.3">
      <c r="A675" s="13">
        <v>674</v>
      </c>
      <c r="B675" s="1">
        <v>8.1999999999999993</v>
      </c>
      <c r="C675" s="1">
        <v>0.73</v>
      </c>
      <c r="D675" s="1">
        <v>0.21</v>
      </c>
      <c r="E675" s="1">
        <v>1.7</v>
      </c>
      <c r="F675" s="1">
        <v>7.3999999999999996E-2</v>
      </c>
      <c r="G675" s="1">
        <v>5</v>
      </c>
      <c r="H675" s="1">
        <v>13</v>
      </c>
      <c r="I675" s="1">
        <v>0.99680000000000002</v>
      </c>
      <c r="J675" s="1">
        <v>3.2</v>
      </c>
      <c r="K675" s="1">
        <v>0.52</v>
      </c>
      <c r="L675" s="1">
        <v>9.5</v>
      </c>
      <c r="M675" s="2">
        <v>5</v>
      </c>
      <c r="N675" s="2" t="str" cm="1">
        <f t="array" ref="N675">_xlfn.IFS(Table1[[#This Row],[quality]]&lt;=4,"Low",Table1[[#This Row],[quality]]&lt;=6,"Medium",Table1[[#This Row],[quality]]&gt;=7,"High")</f>
        <v>Medium</v>
      </c>
      <c r="O675" s="2" t="str">
        <f>IF(AND(Table1[[#This Row],[fixed acidity]]&gt;Sheet1!$C$4,Table1[[#This Row],[pH]]&lt;Sheet1!$K$4),"High","Normal")</f>
        <v>Normal</v>
      </c>
      <c r="P675" s="1">
        <f>(Table1[[#This Row],[alcohol]]*2)+(Table1[[#This Row],[sulphates]]*1.5)-(Table1[[#This Row],[volatile acidity]]*2)</f>
        <v>18.32</v>
      </c>
      <c r="Q675" s="1">
        <f>RANK(Table1[[#This Row],[Quality_score_index]],Table1[Quality_score_index],0)</f>
        <v>1448</v>
      </c>
      <c r="R675" s="1">
        <f>Table1[[#This Row],[total sulfur dioxide]]-Table1[[#This Row],[free sulfur dioxide]]</f>
        <v>8</v>
      </c>
      <c r="S675" s="1" t="str">
        <f>IF(AND(Table1[[#This Row],[pH]]&gt;=3.2,Table1[[#This Row],[alcohol]]&gt;=10),"White wine","Red wine")</f>
        <v>Red wine</v>
      </c>
    </row>
    <row r="676" spans="1:19" x14ac:dyDescent="0.3">
      <c r="A676" s="13">
        <v>675</v>
      </c>
      <c r="B676" s="1">
        <v>10.8</v>
      </c>
      <c r="C676" s="1">
        <v>0.4</v>
      </c>
      <c r="D676" s="1">
        <v>0.41</v>
      </c>
      <c r="E676" s="1">
        <v>2.2000000000000002</v>
      </c>
      <c r="F676" s="1">
        <v>8.4000000000000005E-2</v>
      </c>
      <c r="G676" s="1">
        <v>7</v>
      </c>
      <c r="H676" s="1">
        <v>17</v>
      </c>
      <c r="I676" s="1">
        <v>0.99839999999999995</v>
      </c>
      <c r="J676" s="1">
        <v>3.08</v>
      </c>
      <c r="K676" s="1">
        <v>0.67</v>
      </c>
      <c r="L676" s="1">
        <v>9.3000000000000007</v>
      </c>
      <c r="M676" s="2">
        <v>6</v>
      </c>
      <c r="N676" s="2" t="str" cm="1">
        <f t="array" ref="N676">_xlfn.IFS(Table1[[#This Row],[quality]]&lt;=4,"Low",Table1[[#This Row],[quality]]&lt;=6,"Medium",Table1[[#This Row],[quality]]&gt;=7,"High")</f>
        <v>Medium</v>
      </c>
      <c r="O676" s="2" t="str">
        <f>IF(AND(Table1[[#This Row],[fixed acidity]]&gt;Sheet1!$C$4,Table1[[#This Row],[pH]]&lt;Sheet1!$K$4),"High","Normal")</f>
        <v>High</v>
      </c>
      <c r="P676" s="1">
        <f>(Table1[[#This Row],[alcohol]]*2)+(Table1[[#This Row],[sulphates]]*1.5)-(Table1[[#This Row],[volatile acidity]]*2)</f>
        <v>18.805</v>
      </c>
      <c r="Q676" s="1">
        <f>RANK(Table1[[#This Row],[Quality_score_index]],Table1[Quality_score_index],0)</f>
        <v>1246</v>
      </c>
      <c r="R676" s="1">
        <f>Table1[[#This Row],[total sulfur dioxide]]-Table1[[#This Row],[free sulfur dioxide]]</f>
        <v>10</v>
      </c>
      <c r="S676" s="1" t="str">
        <f>IF(AND(Table1[[#This Row],[pH]]&gt;=3.2,Table1[[#This Row],[alcohol]]&gt;=10),"White wine","Red wine")</f>
        <v>Red wine</v>
      </c>
    </row>
    <row r="677" spans="1:19" x14ac:dyDescent="0.3">
      <c r="A677" s="13">
        <v>676</v>
      </c>
      <c r="B677" s="1">
        <v>9.3000000000000007</v>
      </c>
      <c r="C677" s="1">
        <v>0.41</v>
      </c>
      <c r="D677" s="1">
        <v>0.39</v>
      </c>
      <c r="E677" s="1">
        <v>2.2000000000000002</v>
      </c>
      <c r="F677" s="1">
        <v>6.4000000000000001E-2</v>
      </c>
      <c r="G677" s="1">
        <v>12</v>
      </c>
      <c r="H677" s="1">
        <v>31</v>
      </c>
      <c r="I677" s="1">
        <v>0.99839999999999995</v>
      </c>
      <c r="J677" s="1">
        <v>3.26</v>
      </c>
      <c r="K677" s="1">
        <v>0.65</v>
      </c>
      <c r="L677" s="1">
        <v>10.199999999999999</v>
      </c>
      <c r="M677" s="2">
        <v>5</v>
      </c>
      <c r="N677" s="2" t="str" cm="1">
        <f t="array" ref="N677">_xlfn.IFS(Table1[[#This Row],[quality]]&lt;=4,"Low",Table1[[#This Row],[quality]]&lt;=6,"Medium",Table1[[#This Row],[quality]]&gt;=7,"High")</f>
        <v>Medium</v>
      </c>
      <c r="O677" s="2" t="str">
        <f>IF(AND(Table1[[#This Row],[fixed acidity]]&gt;Sheet1!$C$4,Table1[[#This Row],[pH]]&lt;Sheet1!$K$4),"High","Normal")</f>
        <v>High</v>
      </c>
      <c r="P677" s="1">
        <f>(Table1[[#This Row],[alcohol]]*2)+(Table1[[#This Row],[sulphates]]*1.5)-(Table1[[#This Row],[volatile acidity]]*2)</f>
        <v>20.555</v>
      </c>
      <c r="Q677" s="1">
        <f>RANK(Table1[[#This Row],[Quality_score_index]],Table1[Quality_score_index],0)</f>
        <v>744</v>
      </c>
      <c r="R677" s="1">
        <f>Table1[[#This Row],[total sulfur dioxide]]-Table1[[#This Row],[free sulfur dioxide]]</f>
        <v>19</v>
      </c>
      <c r="S677" s="1" t="str">
        <f>IF(AND(Table1[[#This Row],[pH]]&gt;=3.2,Table1[[#This Row],[alcohol]]&gt;=10),"White wine","Red wine")</f>
        <v>White wine</v>
      </c>
    </row>
    <row r="678" spans="1:19" x14ac:dyDescent="0.3">
      <c r="A678" s="13">
        <v>677</v>
      </c>
      <c r="B678" s="1">
        <v>10.8</v>
      </c>
      <c r="C678" s="1">
        <v>0.4</v>
      </c>
      <c r="D678" s="1">
        <v>0.41</v>
      </c>
      <c r="E678" s="1">
        <v>2.2000000000000002</v>
      </c>
      <c r="F678" s="1">
        <v>8.4000000000000005E-2</v>
      </c>
      <c r="G678" s="1">
        <v>7</v>
      </c>
      <c r="H678" s="1">
        <v>17</v>
      </c>
      <c r="I678" s="1">
        <v>0.99839999999999995</v>
      </c>
      <c r="J678" s="1">
        <v>3.08</v>
      </c>
      <c r="K678" s="1">
        <v>0.67</v>
      </c>
      <c r="L678" s="1">
        <v>9.3000000000000007</v>
      </c>
      <c r="M678" s="2">
        <v>6</v>
      </c>
      <c r="N678" s="2" t="str" cm="1">
        <f t="array" ref="N678">_xlfn.IFS(Table1[[#This Row],[quality]]&lt;=4,"Low",Table1[[#This Row],[quality]]&lt;=6,"Medium",Table1[[#This Row],[quality]]&gt;=7,"High")</f>
        <v>Medium</v>
      </c>
      <c r="O678" s="2" t="str">
        <f>IF(AND(Table1[[#This Row],[fixed acidity]]&gt;Sheet1!$C$4,Table1[[#This Row],[pH]]&lt;Sheet1!$K$4),"High","Normal")</f>
        <v>High</v>
      </c>
      <c r="P678" s="1">
        <f>(Table1[[#This Row],[alcohol]]*2)+(Table1[[#This Row],[sulphates]]*1.5)-(Table1[[#This Row],[volatile acidity]]*2)</f>
        <v>18.805</v>
      </c>
      <c r="Q678" s="1">
        <f>RANK(Table1[[#This Row],[Quality_score_index]],Table1[Quality_score_index],0)</f>
        <v>1246</v>
      </c>
      <c r="R678" s="1">
        <f>Table1[[#This Row],[total sulfur dioxide]]-Table1[[#This Row],[free sulfur dioxide]]</f>
        <v>10</v>
      </c>
      <c r="S678" s="1" t="str">
        <f>IF(AND(Table1[[#This Row],[pH]]&gt;=3.2,Table1[[#This Row],[alcohol]]&gt;=10),"White wine","Red wine")</f>
        <v>Red wine</v>
      </c>
    </row>
    <row r="679" spans="1:19" x14ac:dyDescent="0.3">
      <c r="A679" s="13">
        <v>678</v>
      </c>
      <c r="B679" s="1">
        <v>8.6</v>
      </c>
      <c r="C679" s="1">
        <v>0.8</v>
      </c>
      <c r="D679" s="1">
        <v>0.11</v>
      </c>
      <c r="E679" s="1">
        <v>2.2999999999999998</v>
      </c>
      <c r="F679" s="1">
        <v>8.4000000000000005E-2</v>
      </c>
      <c r="G679" s="1">
        <v>12</v>
      </c>
      <c r="H679" s="1">
        <v>31</v>
      </c>
      <c r="I679" s="1">
        <v>0.99790000000000001</v>
      </c>
      <c r="J679" s="1">
        <v>3.4</v>
      </c>
      <c r="K679" s="1">
        <v>0.48</v>
      </c>
      <c r="L679" s="1">
        <v>9.9</v>
      </c>
      <c r="M679" s="2">
        <v>5</v>
      </c>
      <c r="N679" s="2" t="str" cm="1">
        <f t="array" ref="N679">_xlfn.IFS(Table1[[#This Row],[quality]]&lt;=4,"Low",Table1[[#This Row],[quality]]&lt;=6,"Medium",Table1[[#This Row],[quality]]&gt;=7,"High")</f>
        <v>Medium</v>
      </c>
      <c r="O679" s="2" t="str">
        <f>IF(AND(Table1[[#This Row],[fixed acidity]]&gt;Sheet1!$C$4,Table1[[#This Row],[pH]]&lt;Sheet1!$K$4),"High","Normal")</f>
        <v>Normal</v>
      </c>
      <c r="P679" s="1">
        <f>(Table1[[#This Row],[alcohol]]*2)+(Table1[[#This Row],[sulphates]]*1.5)-(Table1[[#This Row],[volatile acidity]]*2)</f>
        <v>18.919999999999998</v>
      </c>
      <c r="Q679" s="1">
        <f>RANK(Table1[[#This Row],[Quality_score_index]],Table1[Quality_score_index],0)</f>
        <v>1197</v>
      </c>
      <c r="R679" s="1">
        <f>Table1[[#This Row],[total sulfur dioxide]]-Table1[[#This Row],[free sulfur dioxide]]</f>
        <v>19</v>
      </c>
      <c r="S679" s="1" t="str">
        <f>IF(AND(Table1[[#This Row],[pH]]&gt;=3.2,Table1[[#This Row],[alcohol]]&gt;=10),"White wine","Red wine")</f>
        <v>Red wine</v>
      </c>
    </row>
    <row r="680" spans="1:19" x14ac:dyDescent="0.3">
      <c r="A680" s="13">
        <v>679</v>
      </c>
      <c r="B680" s="1">
        <v>8.3000000000000007</v>
      </c>
      <c r="C680" s="1">
        <v>0.78</v>
      </c>
      <c r="D680" s="1">
        <v>0.1</v>
      </c>
      <c r="E680" s="1">
        <v>2.6</v>
      </c>
      <c r="F680" s="1">
        <v>8.1000000000000003E-2</v>
      </c>
      <c r="G680" s="1">
        <v>45</v>
      </c>
      <c r="H680" s="1">
        <v>87</v>
      </c>
      <c r="I680" s="1">
        <v>0.99829999999999997</v>
      </c>
      <c r="J680" s="1">
        <v>3.48</v>
      </c>
      <c r="K680" s="1">
        <v>0.53</v>
      </c>
      <c r="L680" s="1">
        <v>10</v>
      </c>
      <c r="M680" s="2">
        <v>5</v>
      </c>
      <c r="N680" s="2" t="str" cm="1">
        <f t="array" ref="N680">_xlfn.IFS(Table1[[#This Row],[quality]]&lt;=4,"Low",Table1[[#This Row],[quality]]&lt;=6,"Medium",Table1[[#This Row],[quality]]&gt;=7,"High")</f>
        <v>Medium</v>
      </c>
      <c r="O680" s="2" t="str">
        <f>IF(AND(Table1[[#This Row],[fixed acidity]]&gt;Sheet1!$C$4,Table1[[#This Row],[pH]]&lt;Sheet1!$K$4),"High","Normal")</f>
        <v>Normal</v>
      </c>
      <c r="P680" s="1">
        <f>(Table1[[#This Row],[alcohol]]*2)+(Table1[[#This Row],[sulphates]]*1.5)-(Table1[[#This Row],[volatile acidity]]*2)</f>
        <v>19.235000000000003</v>
      </c>
      <c r="Q680" s="1">
        <f>RANK(Table1[[#This Row],[Quality_score_index]],Table1[Quality_score_index],0)</f>
        <v>1065</v>
      </c>
      <c r="R680" s="1">
        <f>Table1[[#This Row],[total sulfur dioxide]]-Table1[[#This Row],[free sulfur dioxide]]</f>
        <v>42</v>
      </c>
      <c r="S680" s="1" t="str">
        <f>IF(AND(Table1[[#This Row],[pH]]&gt;=3.2,Table1[[#This Row],[alcohol]]&gt;=10),"White wine","Red wine")</f>
        <v>White wine</v>
      </c>
    </row>
    <row r="681" spans="1:19" x14ac:dyDescent="0.3">
      <c r="A681" s="13">
        <v>680</v>
      </c>
      <c r="B681" s="1">
        <v>10.8</v>
      </c>
      <c r="C681" s="1">
        <v>0.26</v>
      </c>
      <c r="D681" s="1">
        <v>0.45</v>
      </c>
      <c r="E681" s="1">
        <v>3.3</v>
      </c>
      <c r="F681" s="1">
        <v>0.06</v>
      </c>
      <c r="G681" s="1">
        <v>20</v>
      </c>
      <c r="H681" s="1">
        <v>49</v>
      </c>
      <c r="I681" s="1">
        <v>0.99719999999999998</v>
      </c>
      <c r="J681" s="1">
        <v>3.13</v>
      </c>
      <c r="K681" s="1">
        <v>0.54</v>
      </c>
      <c r="L681" s="1">
        <v>9.6</v>
      </c>
      <c r="M681" s="2">
        <v>5</v>
      </c>
      <c r="N681" s="2" t="str" cm="1">
        <f t="array" ref="N681">_xlfn.IFS(Table1[[#This Row],[quality]]&lt;=4,"Low",Table1[[#This Row],[quality]]&lt;=6,"Medium",Table1[[#This Row],[quality]]&gt;=7,"High")</f>
        <v>Medium</v>
      </c>
      <c r="O681" s="2" t="str">
        <f>IF(AND(Table1[[#This Row],[fixed acidity]]&gt;Sheet1!$C$4,Table1[[#This Row],[pH]]&lt;Sheet1!$K$4),"High","Normal")</f>
        <v>High</v>
      </c>
      <c r="P681" s="1">
        <f>(Table1[[#This Row],[alcohol]]*2)+(Table1[[#This Row],[sulphates]]*1.5)-(Table1[[#This Row],[volatile acidity]]*2)</f>
        <v>19.489999999999998</v>
      </c>
      <c r="Q681" s="1">
        <f>RANK(Table1[[#This Row],[Quality_score_index]],Table1[Quality_score_index],0)</f>
        <v>974</v>
      </c>
      <c r="R681" s="1">
        <f>Table1[[#This Row],[total sulfur dioxide]]-Table1[[#This Row],[free sulfur dioxide]]</f>
        <v>29</v>
      </c>
      <c r="S681" s="1" t="str">
        <f>IF(AND(Table1[[#This Row],[pH]]&gt;=3.2,Table1[[#This Row],[alcohol]]&gt;=10),"White wine","Red wine")</f>
        <v>Red wine</v>
      </c>
    </row>
    <row r="682" spans="1:19" x14ac:dyDescent="0.3">
      <c r="A682" s="13">
        <v>681</v>
      </c>
      <c r="B682" s="1">
        <v>13.3</v>
      </c>
      <c r="C682" s="1">
        <v>0.43</v>
      </c>
      <c r="D682" s="1">
        <v>0.57999999999999996</v>
      </c>
      <c r="E682" s="1">
        <v>1.9</v>
      </c>
      <c r="F682" s="1">
        <v>7.0000000000000007E-2</v>
      </c>
      <c r="G682" s="1">
        <v>15</v>
      </c>
      <c r="H682" s="1">
        <v>40</v>
      </c>
      <c r="I682" s="1">
        <v>1.0004</v>
      </c>
      <c r="J682" s="1">
        <v>3.06</v>
      </c>
      <c r="K682" s="1">
        <v>0.49</v>
      </c>
      <c r="L682" s="1">
        <v>9</v>
      </c>
      <c r="M682" s="2">
        <v>5</v>
      </c>
      <c r="N682" s="2" t="str" cm="1">
        <f t="array" ref="N682">_xlfn.IFS(Table1[[#This Row],[quality]]&lt;=4,"Low",Table1[[#This Row],[quality]]&lt;=6,"Medium",Table1[[#This Row],[quality]]&gt;=7,"High")</f>
        <v>Medium</v>
      </c>
      <c r="O682" s="2" t="str">
        <f>IF(AND(Table1[[#This Row],[fixed acidity]]&gt;Sheet1!$C$4,Table1[[#This Row],[pH]]&lt;Sheet1!$K$4),"High","Normal")</f>
        <v>High</v>
      </c>
      <c r="P682" s="1">
        <f>(Table1[[#This Row],[alcohol]]*2)+(Table1[[#This Row],[sulphates]]*1.5)-(Table1[[#This Row],[volatile acidity]]*2)</f>
        <v>17.875</v>
      </c>
      <c r="Q682" s="1">
        <f>RANK(Table1[[#This Row],[Quality_score_index]],Table1[Quality_score_index],0)</f>
        <v>1542</v>
      </c>
      <c r="R682" s="1">
        <f>Table1[[#This Row],[total sulfur dioxide]]-Table1[[#This Row],[free sulfur dioxide]]</f>
        <v>25</v>
      </c>
      <c r="S682" s="1" t="str">
        <f>IF(AND(Table1[[#This Row],[pH]]&gt;=3.2,Table1[[#This Row],[alcohol]]&gt;=10),"White wine","Red wine")</f>
        <v>Red wine</v>
      </c>
    </row>
    <row r="683" spans="1:19" x14ac:dyDescent="0.3">
      <c r="A683" s="13">
        <v>682</v>
      </c>
      <c r="B683" s="1">
        <v>8</v>
      </c>
      <c r="C683" s="1">
        <v>0.45</v>
      </c>
      <c r="D683" s="1">
        <v>0.23</v>
      </c>
      <c r="E683" s="1">
        <v>2.2000000000000002</v>
      </c>
      <c r="F683" s="1">
        <v>9.4E-2</v>
      </c>
      <c r="G683" s="1">
        <v>16</v>
      </c>
      <c r="H683" s="1">
        <v>29</v>
      </c>
      <c r="I683" s="1">
        <v>0.99619999999999997</v>
      </c>
      <c r="J683" s="1">
        <v>3.21</v>
      </c>
      <c r="K683" s="1">
        <v>0.49</v>
      </c>
      <c r="L683" s="1">
        <v>10.199999999999999</v>
      </c>
      <c r="M683" s="2">
        <v>6</v>
      </c>
      <c r="N683" s="2" t="str" cm="1">
        <f t="array" ref="N683">_xlfn.IFS(Table1[[#This Row],[quality]]&lt;=4,"Low",Table1[[#This Row],[quality]]&lt;=6,"Medium",Table1[[#This Row],[quality]]&gt;=7,"High")</f>
        <v>Medium</v>
      </c>
      <c r="O683" s="2" t="str">
        <f>IF(AND(Table1[[#This Row],[fixed acidity]]&gt;Sheet1!$C$4,Table1[[#This Row],[pH]]&lt;Sheet1!$K$4),"High","Normal")</f>
        <v>Normal</v>
      </c>
      <c r="P683" s="1">
        <f>(Table1[[#This Row],[alcohol]]*2)+(Table1[[#This Row],[sulphates]]*1.5)-(Table1[[#This Row],[volatile acidity]]*2)</f>
        <v>20.234999999999999</v>
      </c>
      <c r="Q683" s="1">
        <f>RANK(Table1[[#This Row],[Quality_score_index]],Table1[Quality_score_index],0)</f>
        <v>801</v>
      </c>
      <c r="R683" s="1">
        <f>Table1[[#This Row],[total sulfur dioxide]]-Table1[[#This Row],[free sulfur dioxide]]</f>
        <v>13</v>
      </c>
      <c r="S683" s="1" t="str">
        <f>IF(AND(Table1[[#This Row],[pH]]&gt;=3.2,Table1[[#This Row],[alcohol]]&gt;=10),"White wine","Red wine")</f>
        <v>White wine</v>
      </c>
    </row>
    <row r="684" spans="1:19" x14ac:dyDescent="0.3">
      <c r="A684" s="13">
        <v>683</v>
      </c>
      <c r="B684" s="1">
        <v>8.5</v>
      </c>
      <c r="C684" s="1">
        <v>0.46</v>
      </c>
      <c r="D684" s="1">
        <v>0.31</v>
      </c>
      <c r="E684" s="1">
        <v>2.25</v>
      </c>
      <c r="F684" s="1">
        <v>7.8E-2</v>
      </c>
      <c r="G684" s="1">
        <v>32</v>
      </c>
      <c r="H684" s="1">
        <v>58</v>
      </c>
      <c r="I684" s="1">
        <v>0.998</v>
      </c>
      <c r="J684" s="1">
        <v>3.33</v>
      </c>
      <c r="K684" s="1">
        <v>0.54</v>
      </c>
      <c r="L684" s="1">
        <v>9.8000000000000007</v>
      </c>
      <c r="M684" s="2">
        <v>5</v>
      </c>
      <c r="N684" s="2" t="str" cm="1">
        <f t="array" ref="N684">_xlfn.IFS(Table1[[#This Row],[quality]]&lt;=4,"Low",Table1[[#This Row],[quality]]&lt;=6,"Medium",Table1[[#This Row],[quality]]&gt;=7,"High")</f>
        <v>Medium</v>
      </c>
      <c r="O684" s="2" t="str">
        <f>IF(AND(Table1[[#This Row],[fixed acidity]]&gt;Sheet1!$C$4,Table1[[#This Row],[pH]]&lt;Sheet1!$K$4),"High","Normal")</f>
        <v>Normal</v>
      </c>
      <c r="P684" s="1">
        <f>(Table1[[#This Row],[alcohol]]*2)+(Table1[[#This Row],[sulphates]]*1.5)-(Table1[[#This Row],[volatile acidity]]*2)</f>
        <v>19.489999999999998</v>
      </c>
      <c r="Q684" s="1">
        <f>RANK(Table1[[#This Row],[Quality_score_index]],Table1[Quality_score_index],0)</f>
        <v>974</v>
      </c>
      <c r="R684" s="1">
        <f>Table1[[#This Row],[total sulfur dioxide]]-Table1[[#This Row],[free sulfur dioxide]]</f>
        <v>26</v>
      </c>
      <c r="S684" s="1" t="str">
        <f>IF(AND(Table1[[#This Row],[pH]]&gt;=3.2,Table1[[#This Row],[alcohol]]&gt;=10),"White wine","Red wine")</f>
        <v>Red wine</v>
      </c>
    </row>
    <row r="685" spans="1:19" x14ac:dyDescent="0.3">
      <c r="A685" s="13">
        <v>684</v>
      </c>
      <c r="B685" s="1">
        <v>8.1</v>
      </c>
      <c r="C685" s="1">
        <v>0.78</v>
      </c>
      <c r="D685" s="1">
        <v>0.23</v>
      </c>
      <c r="E685" s="1">
        <v>2.6</v>
      </c>
      <c r="F685" s="1">
        <v>5.8999999999999997E-2</v>
      </c>
      <c r="G685" s="1">
        <v>5</v>
      </c>
      <c r="H685" s="1">
        <v>15</v>
      </c>
      <c r="I685" s="1">
        <v>0.997</v>
      </c>
      <c r="J685" s="1">
        <v>3.37</v>
      </c>
      <c r="K685" s="1">
        <v>0.56000000000000005</v>
      </c>
      <c r="L685" s="1">
        <v>11.3</v>
      </c>
      <c r="M685" s="2">
        <v>5</v>
      </c>
      <c r="N685" s="2" t="str" cm="1">
        <f t="array" ref="N685">_xlfn.IFS(Table1[[#This Row],[quality]]&lt;=4,"Low",Table1[[#This Row],[quality]]&lt;=6,"Medium",Table1[[#This Row],[quality]]&gt;=7,"High")</f>
        <v>Medium</v>
      </c>
      <c r="O685" s="2" t="str">
        <f>IF(AND(Table1[[#This Row],[fixed acidity]]&gt;Sheet1!$C$4,Table1[[#This Row],[pH]]&lt;Sheet1!$K$4),"High","Normal")</f>
        <v>Normal</v>
      </c>
      <c r="P685" s="1">
        <f>(Table1[[#This Row],[alcohol]]*2)+(Table1[[#This Row],[sulphates]]*1.5)-(Table1[[#This Row],[volatile acidity]]*2)</f>
        <v>21.880000000000003</v>
      </c>
      <c r="Q685" s="1">
        <f>RANK(Table1[[#This Row],[Quality_score_index]],Table1[Quality_score_index],0)</f>
        <v>468</v>
      </c>
      <c r="R685" s="1">
        <f>Table1[[#This Row],[total sulfur dioxide]]-Table1[[#This Row],[free sulfur dioxide]]</f>
        <v>10</v>
      </c>
      <c r="S685" s="1" t="str">
        <f>IF(AND(Table1[[#This Row],[pH]]&gt;=3.2,Table1[[#This Row],[alcohol]]&gt;=10),"White wine","Red wine")</f>
        <v>White wine</v>
      </c>
    </row>
    <row r="686" spans="1:19" x14ac:dyDescent="0.3">
      <c r="A686" s="13">
        <v>685</v>
      </c>
      <c r="B686" s="1">
        <v>9.8000000000000007</v>
      </c>
      <c r="C686" s="1">
        <v>0.98</v>
      </c>
      <c r="D686" s="1">
        <v>0.32</v>
      </c>
      <c r="E686" s="1">
        <v>2.2999999999999998</v>
      </c>
      <c r="F686" s="1">
        <v>7.8E-2</v>
      </c>
      <c r="G686" s="1">
        <v>35</v>
      </c>
      <c r="H686" s="1">
        <v>152</v>
      </c>
      <c r="I686" s="1">
        <v>0.998</v>
      </c>
      <c r="J686" s="1">
        <v>3.25</v>
      </c>
      <c r="K686" s="1">
        <v>0.48</v>
      </c>
      <c r="L686" s="1">
        <v>9.4</v>
      </c>
      <c r="M686" s="2">
        <v>5</v>
      </c>
      <c r="N686" s="2" t="str" cm="1">
        <f t="array" ref="N686">_xlfn.IFS(Table1[[#This Row],[quality]]&lt;=4,"Low",Table1[[#This Row],[quality]]&lt;=6,"Medium",Table1[[#This Row],[quality]]&gt;=7,"High")</f>
        <v>Medium</v>
      </c>
      <c r="O686" s="2" t="str">
        <f>IF(AND(Table1[[#This Row],[fixed acidity]]&gt;Sheet1!$C$4,Table1[[#This Row],[pH]]&lt;Sheet1!$K$4),"High","Normal")</f>
        <v>High</v>
      </c>
      <c r="P686" s="1">
        <f>(Table1[[#This Row],[alcohol]]*2)+(Table1[[#This Row],[sulphates]]*1.5)-(Table1[[#This Row],[volatile acidity]]*2)</f>
        <v>17.559999999999999</v>
      </c>
      <c r="Q686" s="1">
        <f>RANK(Table1[[#This Row],[Quality_score_index]],Table1[Quality_score_index],0)</f>
        <v>1582</v>
      </c>
      <c r="R686" s="1">
        <f>Table1[[#This Row],[total sulfur dioxide]]-Table1[[#This Row],[free sulfur dioxide]]</f>
        <v>117</v>
      </c>
      <c r="S686" s="1" t="str">
        <f>IF(AND(Table1[[#This Row],[pH]]&gt;=3.2,Table1[[#This Row],[alcohol]]&gt;=10),"White wine","Red wine")</f>
        <v>Red wine</v>
      </c>
    </row>
    <row r="687" spans="1:19" x14ac:dyDescent="0.3">
      <c r="A687" s="13">
        <v>686</v>
      </c>
      <c r="B687" s="1">
        <v>8.1</v>
      </c>
      <c r="C687" s="1">
        <v>0.78</v>
      </c>
      <c r="D687" s="1">
        <v>0.23</v>
      </c>
      <c r="E687" s="1">
        <v>2.6</v>
      </c>
      <c r="F687" s="1">
        <v>5.8999999999999997E-2</v>
      </c>
      <c r="G687" s="1">
        <v>5</v>
      </c>
      <c r="H687" s="1">
        <v>15</v>
      </c>
      <c r="I687" s="1">
        <v>0.997</v>
      </c>
      <c r="J687" s="1">
        <v>3.37</v>
      </c>
      <c r="K687" s="1">
        <v>0.56000000000000005</v>
      </c>
      <c r="L687" s="1">
        <v>11.3</v>
      </c>
      <c r="M687" s="2">
        <v>5</v>
      </c>
      <c r="N687" s="2" t="str" cm="1">
        <f t="array" ref="N687">_xlfn.IFS(Table1[[#This Row],[quality]]&lt;=4,"Low",Table1[[#This Row],[quality]]&lt;=6,"Medium",Table1[[#This Row],[quality]]&gt;=7,"High")</f>
        <v>Medium</v>
      </c>
      <c r="O687" s="2" t="str">
        <f>IF(AND(Table1[[#This Row],[fixed acidity]]&gt;Sheet1!$C$4,Table1[[#This Row],[pH]]&lt;Sheet1!$K$4),"High","Normal")</f>
        <v>Normal</v>
      </c>
      <c r="P687" s="1">
        <f>(Table1[[#This Row],[alcohol]]*2)+(Table1[[#This Row],[sulphates]]*1.5)-(Table1[[#This Row],[volatile acidity]]*2)</f>
        <v>21.880000000000003</v>
      </c>
      <c r="Q687" s="1">
        <f>RANK(Table1[[#This Row],[Quality_score_index]],Table1[Quality_score_index],0)</f>
        <v>468</v>
      </c>
      <c r="R687" s="1">
        <f>Table1[[#This Row],[total sulfur dioxide]]-Table1[[#This Row],[free sulfur dioxide]]</f>
        <v>10</v>
      </c>
      <c r="S687" s="1" t="str">
        <f>IF(AND(Table1[[#This Row],[pH]]&gt;=3.2,Table1[[#This Row],[alcohol]]&gt;=10),"White wine","Red wine")</f>
        <v>White wine</v>
      </c>
    </row>
    <row r="688" spans="1:19" x14ac:dyDescent="0.3">
      <c r="A688" s="13">
        <v>687</v>
      </c>
      <c r="B688" s="1">
        <v>7.1</v>
      </c>
      <c r="C688" s="1">
        <v>0.65</v>
      </c>
      <c r="D688" s="1">
        <v>0.18</v>
      </c>
      <c r="E688" s="1">
        <v>1.8</v>
      </c>
      <c r="F688" s="1">
        <v>7.0000000000000007E-2</v>
      </c>
      <c r="G688" s="1">
        <v>13</v>
      </c>
      <c r="H688" s="1">
        <v>40</v>
      </c>
      <c r="I688" s="1">
        <v>0.997</v>
      </c>
      <c r="J688" s="1">
        <v>3.44</v>
      </c>
      <c r="K688" s="1">
        <v>0.6</v>
      </c>
      <c r="L688" s="1">
        <v>9.1</v>
      </c>
      <c r="M688" s="2">
        <v>5</v>
      </c>
      <c r="N688" s="2" t="str" cm="1">
        <f t="array" ref="N688">_xlfn.IFS(Table1[[#This Row],[quality]]&lt;=4,"Low",Table1[[#This Row],[quality]]&lt;=6,"Medium",Table1[[#This Row],[quality]]&gt;=7,"High")</f>
        <v>Medium</v>
      </c>
      <c r="O688" s="2" t="str">
        <f>IF(AND(Table1[[#This Row],[fixed acidity]]&gt;Sheet1!$C$4,Table1[[#This Row],[pH]]&lt;Sheet1!$K$4),"High","Normal")</f>
        <v>Normal</v>
      </c>
      <c r="P688" s="1">
        <f>(Table1[[#This Row],[alcohol]]*2)+(Table1[[#This Row],[sulphates]]*1.5)-(Table1[[#This Row],[volatile acidity]]*2)</f>
        <v>17.799999999999997</v>
      </c>
      <c r="Q688" s="1">
        <f>RANK(Table1[[#This Row],[Quality_score_index]],Table1[Quality_score_index],0)</f>
        <v>1554</v>
      </c>
      <c r="R688" s="1">
        <f>Table1[[#This Row],[total sulfur dioxide]]-Table1[[#This Row],[free sulfur dioxide]]</f>
        <v>27</v>
      </c>
      <c r="S688" s="1" t="str">
        <f>IF(AND(Table1[[#This Row],[pH]]&gt;=3.2,Table1[[#This Row],[alcohol]]&gt;=10),"White wine","Red wine")</f>
        <v>Red wine</v>
      </c>
    </row>
    <row r="689" spans="1:19" x14ac:dyDescent="0.3">
      <c r="A689" s="13">
        <v>688</v>
      </c>
      <c r="B689" s="1">
        <v>9.1</v>
      </c>
      <c r="C689" s="1">
        <v>0.64</v>
      </c>
      <c r="D689" s="1">
        <v>0.23</v>
      </c>
      <c r="E689" s="1">
        <v>3.1</v>
      </c>
      <c r="F689" s="1">
        <v>9.5000000000000001E-2</v>
      </c>
      <c r="G689" s="1">
        <v>13</v>
      </c>
      <c r="H689" s="1">
        <v>38</v>
      </c>
      <c r="I689" s="1">
        <v>0.99980000000000002</v>
      </c>
      <c r="J689" s="1">
        <v>3.28</v>
      </c>
      <c r="K689" s="1">
        <v>0.59</v>
      </c>
      <c r="L689" s="1">
        <v>9.6999999999999993</v>
      </c>
      <c r="M689" s="2">
        <v>5</v>
      </c>
      <c r="N689" s="2" t="str" cm="1">
        <f t="array" ref="N689">_xlfn.IFS(Table1[[#This Row],[quality]]&lt;=4,"Low",Table1[[#This Row],[quality]]&lt;=6,"Medium",Table1[[#This Row],[quality]]&gt;=7,"High")</f>
        <v>Medium</v>
      </c>
      <c r="O689" s="2" t="str">
        <f>IF(AND(Table1[[#This Row],[fixed acidity]]&gt;Sheet1!$C$4,Table1[[#This Row],[pH]]&lt;Sheet1!$K$4),"High","Normal")</f>
        <v>High</v>
      </c>
      <c r="P689" s="1">
        <f>(Table1[[#This Row],[alcohol]]*2)+(Table1[[#This Row],[sulphates]]*1.5)-(Table1[[#This Row],[volatile acidity]]*2)</f>
        <v>19.004999999999999</v>
      </c>
      <c r="Q689" s="1">
        <f>RANK(Table1[[#This Row],[Quality_score_index]],Table1[Quality_score_index],0)</f>
        <v>1164</v>
      </c>
      <c r="R689" s="1">
        <f>Table1[[#This Row],[total sulfur dioxide]]-Table1[[#This Row],[free sulfur dioxide]]</f>
        <v>25</v>
      </c>
      <c r="S689" s="1" t="str">
        <f>IF(AND(Table1[[#This Row],[pH]]&gt;=3.2,Table1[[#This Row],[alcohol]]&gt;=10),"White wine","Red wine")</f>
        <v>Red wine</v>
      </c>
    </row>
    <row r="690" spans="1:19" x14ac:dyDescent="0.3">
      <c r="A690" s="13">
        <v>689</v>
      </c>
      <c r="B690" s="1">
        <v>7.7</v>
      </c>
      <c r="C690" s="1">
        <v>0.66</v>
      </c>
      <c r="D690" s="1">
        <v>0.04</v>
      </c>
      <c r="E690" s="1">
        <v>1.6</v>
      </c>
      <c r="F690" s="1">
        <v>3.9E-2</v>
      </c>
      <c r="G690" s="1">
        <v>4</v>
      </c>
      <c r="H690" s="1">
        <v>9</v>
      </c>
      <c r="I690" s="1">
        <v>0.99619999999999997</v>
      </c>
      <c r="J690" s="1">
        <v>3.4</v>
      </c>
      <c r="K690" s="1">
        <v>0.47</v>
      </c>
      <c r="L690" s="1">
        <v>9.4</v>
      </c>
      <c r="M690" s="2">
        <v>5</v>
      </c>
      <c r="N690" s="2" t="str" cm="1">
        <f t="array" ref="N690">_xlfn.IFS(Table1[[#This Row],[quality]]&lt;=4,"Low",Table1[[#This Row],[quality]]&lt;=6,"Medium",Table1[[#This Row],[quality]]&gt;=7,"High")</f>
        <v>Medium</v>
      </c>
      <c r="O690" s="2" t="str">
        <f>IF(AND(Table1[[#This Row],[fixed acidity]]&gt;Sheet1!$C$4,Table1[[#This Row],[pH]]&lt;Sheet1!$K$4),"High","Normal")</f>
        <v>Normal</v>
      </c>
      <c r="P690" s="1">
        <f>(Table1[[#This Row],[alcohol]]*2)+(Table1[[#This Row],[sulphates]]*1.5)-(Table1[[#This Row],[volatile acidity]]*2)</f>
        <v>18.184999999999999</v>
      </c>
      <c r="Q690" s="1">
        <f>RANK(Table1[[#This Row],[Quality_score_index]],Table1[Quality_score_index],0)</f>
        <v>1483</v>
      </c>
      <c r="R690" s="1">
        <f>Table1[[#This Row],[total sulfur dioxide]]-Table1[[#This Row],[free sulfur dioxide]]</f>
        <v>5</v>
      </c>
      <c r="S690" s="1" t="str">
        <f>IF(AND(Table1[[#This Row],[pH]]&gt;=3.2,Table1[[#This Row],[alcohol]]&gt;=10),"White wine","Red wine")</f>
        <v>Red wine</v>
      </c>
    </row>
    <row r="691" spans="1:19" x14ac:dyDescent="0.3">
      <c r="A691" s="13">
        <v>690</v>
      </c>
      <c r="B691" s="1">
        <v>8.1</v>
      </c>
      <c r="C691" s="1">
        <v>0.38</v>
      </c>
      <c r="D691" s="1">
        <v>0.48</v>
      </c>
      <c r="E691" s="1">
        <v>1.8</v>
      </c>
      <c r="F691" s="1">
        <v>0.157</v>
      </c>
      <c r="G691" s="1">
        <v>5</v>
      </c>
      <c r="H691" s="1">
        <v>17</v>
      </c>
      <c r="I691" s="1">
        <v>0.99760000000000004</v>
      </c>
      <c r="J691" s="1">
        <v>3.3</v>
      </c>
      <c r="K691" s="1">
        <v>1.05</v>
      </c>
      <c r="L691" s="1">
        <v>9.4</v>
      </c>
      <c r="M691" s="2">
        <v>5</v>
      </c>
      <c r="N691" s="2" t="str" cm="1">
        <f t="array" ref="N691">_xlfn.IFS(Table1[[#This Row],[quality]]&lt;=4,"Low",Table1[[#This Row],[quality]]&lt;=6,"Medium",Table1[[#This Row],[quality]]&gt;=7,"High")</f>
        <v>Medium</v>
      </c>
      <c r="O691" s="2" t="str">
        <f>IF(AND(Table1[[#This Row],[fixed acidity]]&gt;Sheet1!$C$4,Table1[[#This Row],[pH]]&lt;Sheet1!$K$4),"High","Normal")</f>
        <v>Normal</v>
      </c>
      <c r="P691" s="1">
        <f>(Table1[[#This Row],[alcohol]]*2)+(Table1[[#This Row],[sulphates]]*1.5)-(Table1[[#This Row],[volatile acidity]]*2)</f>
        <v>19.614999999999998</v>
      </c>
      <c r="Q691" s="1">
        <f>RANK(Table1[[#This Row],[Quality_score_index]],Table1[Quality_score_index],0)</f>
        <v>950</v>
      </c>
      <c r="R691" s="1">
        <f>Table1[[#This Row],[total sulfur dioxide]]-Table1[[#This Row],[free sulfur dioxide]]</f>
        <v>12</v>
      </c>
      <c r="S691" s="1" t="str">
        <f>IF(AND(Table1[[#This Row],[pH]]&gt;=3.2,Table1[[#This Row],[alcohol]]&gt;=10),"White wine","Red wine")</f>
        <v>Red wine</v>
      </c>
    </row>
    <row r="692" spans="1:19" x14ac:dyDescent="0.3">
      <c r="A692" s="13">
        <v>691</v>
      </c>
      <c r="B692" s="1">
        <v>7.4</v>
      </c>
      <c r="C692" s="1">
        <v>1.1850000000000001</v>
      </c>
      <c r="D692" s="1">
        <v>0</v>
      </c>
      <c r="E692" s="1">
        <v>4.25</v>
      </c>
      <c r="F692" s="1">
        <v>9.7000000000000003E-2</v>
      </c>
      <c r="G692" s="1">
        <v>5</v>
      </c>
      <c r="H692" s="1">
        <v>14</v>
      </c>
      <c r="I692" s="1">
        <v>0.99660000000000004</v>
      </c>
      <c r="J692" s="1">
        <v>3.63</v>
      </c>
      <c r="K692" s="1">
        <v>0.54</v>
      </c>
      <c r="L692" s="1">
        <v>10.7</v>
      </c>
      <c r="M692" s="2">
        <v>3</v>
      </c>
      <c r="N692" s="2" t="str" cm="1">
        <f t="array" ref="N692">_xlfn.IFS(Table1[[#This Row],[quality]]&lt;=4,"Low",Table1[[#This Row],[quality]]&lt;=6,"Medium",Table1[[#This Row],[quality]]&gt;=7,"High")</f>
        <v>Low</v>
      </c>
      <c r="O692" s="2" t="str">
        <f>IF(AND(Table1[[#This Row],[fixed acidity]]&gt;Sheet1!$C$4,Table1[[#This Row],[pH]]&lt;Sheet1!$K$4),"High","Normal")</f>
        <v>Normal</v>
      </c>
      <c r="P692" s="1">
        <f>(Table1[[#This Row],[alcohol]]*2)+(Table1[[#This Row],[sulphates]]*1.5)-(Table1[[#This Row],[volatile acidity]]*2)</f>
        <v>19.839999999999996</v>
      </c>
      <c r="Q692" s="1">
        <f>RANK(Table1[[#This Row],[Quality_score_index]],Table1[Quality_score_index],0)</f>
        <v>896</v>
      </c>
      <c r="R692" s="1">
        <f>Table1[[#This Row],[total sulfur dioxide]]-Table1[[#This Row],[free sulfur dioxide]]</f>
        <v>9</v>
      </c>
      <c r="S692" s="1" t="str">
        <f>IF(AND(Table1[[#This Row],[pH]]&gt;=3.2,Table1[[#This Row],[alcohol]]&gt;=10),"White wine","Red wine")</f>
        <v>White wine</v>
      </c>
    </row>
    <row r="693" spans="1:19" x14ac:dyDescent="0.3">
      <c r="A693" s="13">
        <v>692</v>
      </c>
      <c r="B693" s="1">
        <v>9.1999999999999993</v>
      </c>
      <c r="C693" s="1">
        <v>0.92</v>
      </c>
      <c r="D693" s="1">
        <v>0.24</v>
      </c>
      <c r="E693" s="1">
        <v>2.6</v>
      </c>
      <c r="F693" s="1">
        <v>8.6999999999999994E-2</v>
      </c>
      <c r="G693" s="1">
        <v>12</v>
      </c>
      <c r="H693" s="1">
        <v>93</v>
      </c>
      <c r="I693" s="1">
        <v>0.99980000000000002</v>
      </c>
      <c r="J693" s="1">
        <v>3.48</v>
      </c>
      <c r="K693" s="1">
        <v>0.54</v>
      </c>
      <c r="L693" s="1">
        <v>9.8000000000000007</v>
      </c>
      <c r="M693" s="2">
        <v>5</v>
      </c>
      <c r="N693" s="2" t="str" cm="1">
        <f t="array" ref="N693">_xlfn.IFS(Table1[[#This Row],[quality]]&lt;=4,"Low",Table1[[#This Row],[quality]]&lt;=6,"Medium",Table1[[#This Row],[quality]]&gt;=7,"High")</f>
        <v>Medium</v>
      </c>
      <c r="O693" s="2" t="str">
        <f>IF(AND(Table1[[#This Row],[fixed acidity]]&gt;Sheet1!$C$4,Table1[[#This Row],[pH]]&lt;Sheet1!$K$4),"High","Normal")</f>
        <v>Normal</v>
      </c>
      <c r="P693" s="1">
        <f>(Table1[[#This Row],[alcohol]]*2)+(Table1[[#This Row],[sulphates]]*1.5)-(Table1[[#This Row],[volatile acidity]]*2)</f>
        <v>18.57</v>
      </c>
      <c r="Q693" s="1">
        <f>RANK(Table1[[#This Row],[Quality_score_index]],Table1[Quality_score_index],0)</f>
        <v>1351</v>
      </c>
      <c r="R693" s="1">
        <f>Table1[[#This Row],[total sulfur dioxide]]-Table1[[#This Row],[free sulfur dioxide]]</f>
        <v>81</v>
      </c>
      <c r="S693" s="1" t="str">
        <f>IF(AND(Table1[[#This Row],[pH]]&gt;=3.2,Table1[[#This Row],[alcohol]]&gt;=10),"White wine","Red wine")</f>
        <v>Red wine</v>
      </c>
    </row>
    <row r="694" spans="1:19" x14ac:dyDescent="0.3">
      <c r="A694" s="13">
        <v>693</v>
      </c>
      <c r="B694" s="1">
        <v>8.6</v>
      </c>
      <c r="C694" s="1">
        <v>0.49</v>
      </c>
      <c r="D694" s="1">
        <v>0.51</v>
      </c>
      <c r="E694" s="1">
        <v>2</v>
      </c>
      <c r="F694" s="1">
        <v>0.42199999999999999</v>
      </c>
      <c r="G694" s="1">
        <v>16</v>
      </c>
      <c r="H694" s="1">
        <v>62</v>
      </c>
      <c r="I694" s="1">
        <v>0.99790000000000001</v>
      </c>
      <c r="J694" s="1">
        <v>3.03</v>
      </c>
      <c r="K694" s="1">
        <v>1.17</v>
      </c>
      <c r="L694" s="1">
        <v>9</v>
      </c>
      <c r="M694" s="2">
        <v>5</v>
      </c>
      <c r="N694" s="2" t="str" cm="1">
        <f t="array" ref="N694">_xlfn.IFS(Table1[[#This Row],[quality]]&lt;=4,"Low",Table1[[#This Row],[quality]]&lt;=6,"Medium",Table1[[#This Row],[quality]]&gt;=7,"High")</f>
        <v>Medium</v>
      </c>
      <c r="O694" s="2" t="str">
        <f>IF(AND(Table1[[#This Row],[fixed acidity]]&gt;Sheet1!$C$4,Table1[[#This Row],[pH]]&lt;Sheet1!$K$4),"High","Normal")</f>
        <v>High</v>
      </c>
      <c r="P694" s="1">
        <f>(Table1[[#This Row],[alcohol]]*2)+(Table1[[#This Row],[sulphates]]*1.5)-(Table1[[#This Row],[volatile acidity]]*2)</f>
        <v>18.774999999999999</v>
      </c>
      <c r="Q694" s="1">
        <f>RANK(Table1[[#This Row],[Quality_score_index]],Table1[Quality_score_index],0)</f>
        <v>1252</v>
      </c>
      <c r="R694" s="1">
        <f>Table1[[#This Row],[total sulfur dioxide]]-Table1[[#This Row],[free sulfur dioxide]]</f>
        <v>46</v>
      </c>
      <c r="S694" s="1" t="str">
        <f>IF(AND(Table1[[#This Row],[pH]]&gt;=3.2,Table1[[#This Row],[alcohol]]&gt;=10),"White wine","Red wine")</f>
        <v>Red wine</v>
      </c>
    </row>
    <row r="695" spans="1:19" x14ac:dyDescent="0.3">
      <c r="A695" s="13">
        <v>694</v>
      </c>
      <c r="B695" s="1">
        <v>9</v>
      </c>
      <c r="C695" s="1">
        <v>0.48</v>
      </c>
      <c r="D695" s="1">
        <v>0.32</v>
      </c>
      <c r="E695" s="1">
        <v>2.8</v>
      </c>
      <c r="F695" s="1">
        <v>8.4000000000000005E-2</v>
      </c>
      <c r="G695" s="1">
        <v>21</v>
      </c>
      <c r="H695" s="1">
        <v>122</v>
      </c>
      <c r="I695" s="1">
        <v>0.99839999999999995</v>
      </c>
      <c r="J695" s="1">
        <v>3.32</v>
      </c>
      <c r="K695" s="1">
        <v>0.62</v>
      </c>
      <c r="L695" s="1">
        <v>9.4</v>
      </c>
      <c r="M695" s="2">
        <v>5</v>
      </c>
      <c r="N695" s="2" t="str" cm="1">
        <f t="array" ref="N695">_xlfn.IFS(Table1[[#This Row],[quality]]&lt;=4,"Low",Table1[[#This Row],[quality]]&lt;=6,"Medium",Table1[[#This Row],[quality]]&gt;=7,"High")</f>
        <v>Medium</v>
      </c>
      <c r="O695" s="2" t="str">
        <f>IF(AND(Table1[[#This Row],[fixed acidity]]&gt;Sheet1!$C$4,Table1[[#This Row],[pH]]&lt;Sheet1!$K$4),"High","Normal")</f>
        <v>Normal</v>
      </c>
      <c r="P695" s="1">
        <f>(Table1[[#This Row],[alcohol]]*2)+(Table1[[#This Row],[sulphates]]*1.5)-(Table1[[#This Row],[volatile acidity]]*2)</f>
        <v>18.77</v>
      </c>
      <c r="Q695" s="1">
        <f>RANK(Table1[[#This Row],[Quality_score_index]],Table1[Quality_score_index],0)</f>
        <v>1254</v>
      </c>
      <c r="R695" s="1">
        <f>Table1[[#This Row],[total sulfur dioxide]]-Table1[[#This Row],[free sulfur dioxide]]</f>
        <v>101</v>
      </c>
      <c r="S695" s="1" t="str">
        <f>IF(AND(Table1[[#This Row],[pH]]&gt;=3.2,Table1[[#This Row],[alcohol]]&gt;=10),"White wine","Red wine")</f>
        <v>Red wine</v>
      </c>
    </row>
    <row r="696" spans="1:19" x14ac:dyDescent="0.3">
      <c r="A696" s="13">
        <v>695</v>
      </c>
      <c r="B696" s="1">
        <v>9</v>
      </c>
      <c r="C696" s="1">
        <v>0.47</v>
      </c>
      <c r="D696" s="1">
        <v>0.31</v>
      </c>
      <c r="E696" s="1">
        <v>2.7</v>
      </c>
      <c r="F696" s="1">
        <v>8.4000000000000005E-2</v>
      </c>
      <c r="G696" s="1">
        <v>24</v>
      </c>
      <c r="H696" s="1">
        <v>125</v>
      </c>
      <c r="I696" s="1">
        <v>0.99839999999999995</v>
      </c>
      <c r="J696" s="1">
        <v>3.31</v>
      </c>
      <c r="K696" s="1">
        <v>0.61</v>
      </c>
      <c r="L696" s="1">
        <v>9.4</v>
      </c>
      <c r="M696" s="2">
        <v>5</v>
      </c>
      <c r="N696" s="2" t="str" cm="1">
        <f t="array" ref="N696">_xlfn.IFS(Table1[[#This Row],[quality]]&lt;=4,"Low",Table1[[#This Row],[quality]]&lt;=6,"Medium",Table1[[#This Row],[quality]]&gt;=7,"High")</f>
        <v>Medium</v>
      </c>
      <c r="O696" s="2" t="str">
        <f>IF(AND(Table1[[#This Row],[fixed acidity]]&gt;Sheet1!$C$4,Table1[[#This Row],[pH]]&lt;Sheet1!$K$4),"High","Normal")</f>
        <v>High</v>
      </c>
      <c r="P696" s="1">
        <f>(Table1[[#This Row],[alcohol]]*2)+(Table1[[#This Row],[sulphates]]*1.5)-(Table1[[#This Row],[volatile acidity]]*2)</f>
        <v>18.774999999999999</v>
      </c>
      <c r="Q696" s="1">
        <f>RANK(Table1[[#This Row],[Quality_score_index]],Table1[Quality_score_index],0)</f>
        <v>1252</v>
      </c>
      <c r="R696" s="1">
        <f>Table1[[#This Row],[total sulfur dioxide]]-Table1[[#This Row],[free sulfur dioxide]]</f>
        <v>101</v>
      </c>
      <c r="S696" s="1" t="str">
        <f>IF(AND(Table1[[#This Row],[pH]]&gt;=3.2,Table1[[#This Row],[alcohol]]&gt;=10),"White wine","Red wine")</f>
        <v>Red wine</v>
      </c>
    </row>
    <row r="697" spans="1:19" x14ac:dyDescent="0.3">
      <c r="A697" s="13">
        <v>696</v>
      </c>
      <c r="B697" s="1">
        <v>5.0999999999999996</v>
      </c>
      <c r="C697" s="1">
        <v>0.47</v>
      </c>
      <c r="D697" s="1">
        <v>0.02</v>
      </c>
      <c r="E697" s="1">
        <v>1.3</v>
      </c>
      <c r="F697" s="1">
        <v>3.4000000000000002E-2</v>
      </c>
      <c r="G697" s="1">
        <v>18</v>
      </c>
      <c r="H697" s="1">
        <v>44</v>
      </c>
      <c r="I697" s="1">
        <v>0.99209999999999998</v>
      </c>
      <c r="J697" s="1">
        <v>3.9</v>
      </c>
      <c r="K697" s="1">
        <v>0.62</v>
      </c>
      <c r="L697" s="1">
        <v>12.8</v>
      </c>
      <c r="M697" s="2">
        <v>6</v>
      </c>
      <c r="N697" s="2" t="str" cm="1">
        <f t="array" ref="N697">_xlfn.IFS(Table1[[#This Row],[quality]]&lt;=4,"Low",Table1[[#This Row],[quality]]&lt;=6,"Medium",Table1[[#This Row],[quality]]&gt;=7,"High")</f>
        <v>Medium</v>
      </c>
      <c r="O697" s="2" t="str">
        <f>IF(AND(Table1[[#This Row],[fixed acidity]]&gt;Sheet1!$C$4,Table1[[#This Row],[pH]]&lt;Sheet1!$K$4),"High","Normal")</f>
        <v>Normal</v>
      </c>
      <c r="P697" s="1">
        <f>(Table1[[#This Row],[alcohol]]*2)+(Table1[[#This Row],[sulphates]]*1.5)-(Table1[[#This Row],[volatile acidity]]*2)</f>
        <v>25.59</v>
      </c>
      <c r="Q697" s="1">
        <f>RANK(Table1[[#This Row],[Quality_score_index]],Table1[Quality_score_index],0)</f>
        <v>47</v>
      </c>
      <c r="R697" s="1">
        <f>Table1[[#This Row],[total sulfur dioxide]]-Table1[[#This Row],[free sulfur dioxide]]</f>
        <v>26</v>
      </c>
      <c r="S697" s="1" t="str">
        <f>IF(AND(Table1[[#This Row],[pH]]&gt;=3.2,Table1[[#This Row],[alcohol]]&gt;=10),"White wine","Red wine")</f>
        <v>White wine</v>
      </c>
    </row>
    <row r="698" spans="1:19" x14ac:dyDescent="0.3">
      <c r="A698" s="13">
        <v>697</v>
      </c>
      <c r="B698" s="1">
        <v>7</v>
      </c>
      <c r="C698" s="1">
        <v>0.65</v>
      </c>
      <c r="D698" s="1">
        <v>0.02</v>
      </c>
      <c r="E698" s="1">
        <v>2.1</v>
      </c>
      <c r="F698" s="1">
        <v>6.6000000000000003E-2</v>
      </c>
      <c r="G698" s="1">
        <v>8</v>
      </c>
      <c r="H698" s="1">
        <v>25</v>
      </c>
      <c r="I698" s="1">
        <v>0.99719999999999998</v>
      </c>
      <c r="J698" s="1">
        <v>3.47</v>
      </c>
      <c r="K698" s="1">
        <v>0.67</v>
      </c>
      <c r="L698" s="1">
        <v>9.5</v>
      </c>
      <c r="M698" s="2">
        <v>6</v>
      </c>
      <c r="N698" s="2" t="str" cm="1">
        <f t="array" ref="N698">_xlfn.IFS(Table1[[#This Row],[quality]]&lt;=4,"Low",Table1[[#This Row],[quality]]&lt;=6,"Medium",Table1[[#This Row],[quality]]&gt;=7,"High")</f>
        <v>Medium</v>
      </c>
      <c r="O698" s="2" t="str">
        <f>IF(AND(Table1[[#This Row],[fixed acidity]]&gt;Sheet1!$C$4,Table1[[#This Row],[pH]]&lt;Sheet1!$K$4),"High","Normal")</f>
        <v>Normal</v>
      </c>
      <c r="P698" s="1">
        <f>(Table1[[#This Row],[alcohol]]*2)+(Table1[[#This Row],[sulphates]]*1.5)-(Table1[[#This Row],[volatile acidity]]*2)</f>
        <v>18.704999999999998</v>
      </c>
      <c r="Q698" s="1">
        <f>RANK(Table1[[#This Row],[Quality_score_index]],Table1[Quality_score_index],0)</f>
        <v>1290</v>
      </c>
      <c r="R698" s="1">
        <f>Table1[[#This Row],[total sulfur dioxide]]-Table1[[#This Row],[free sulfur dioxide]]</f>
        <v>17</v>
      </c>
      <c r="S698" s="1" t="str">
        <f>IF(AND(Table1[[#This Row],[pH]]&gt;=3.2,Table1[[#This Row],[alcohol]]&gt;=10),"White wine","Red wine")</f>
        <v>Red wine</v>
      </c>
    </row>
    <row r="699" spans="1:19" x14ac:dyDescent="0.3">
      <c r="A699" s="13">
        <v>698</v>
      </c>
      <c r="B699" s="1">
        <v>7</v>
      </c>
      <c r="C699" s="1">
        <v>0.65</v>
      </c>
      <c r="D699" s="1">
        <v>0.02</v>
      </c>
      <c r="E699" s="1">
        <v>2.1</v>
      </c>
      <c r="F699" s="1">
        <v>6.6000000000000003E-2</v>
      </c>
      <c r="G699" s="1">
        <v>8</v>
      </c>
      <c r="H699" s="1">
        <v>25</v>
      </c>
      <c r="I699" s="1">
        <v>0.99719999999999998</v>
      </c>
      <c r="J699" s="1">
        <v>3.47</v>
      </c>
      <c r="K699" s="1">
        <v>0.67</v>
      </c>
      <c r="L699" s="1">
        <v>9.5</v>
      </c>
      <c r="M699" s="2">
        <v>6</v>
      </c>
      <c r="N699" s="2" t="str" cm="1">
        <f t="array" ref="N699">_xlfn.IFS(Table1[[#This Row],[quality]]&lt;=4,"Low",Table1[[#This Row],[quality]]&lt;=6,"Medium",Table1[[#This Row],[quality]]&gt;=7,"High")</f>
        <v>Medium</v>
      </c>
      <c r="O699" s="2" t="str">
        <f>IF(AND(Table1[[#This Row],[fixed acidity]]&gt;Sheet1!$C$4,Table1[[#This Row],[pH]]&lt;Sheet1!$K$4),"High","Normal")</f>
        <v>Normal</v>
      </c>
      <c r="P699" s="1">
        <f>(Table1[[#This Row],[alcohol]]*2)+(Table1[[#This Row],[sulphates]]*1.5)-(Table1[[#This Row],[volatile acidity]]*2)</f>
        <v>18.704999999999998</v>
      </c>
      <c r="Q699" s="1">
        <f>RANK(Table1[[#This Row],[Quality_score_index]],Table1[Quality_score_index],0)</f>
        <v>1290</v>
      </c>
      <c r="R699" s="1">
        <f>Table1[[#This Row],[total sulfur dioxide]]-Table1[[#This Row],[free sulfur dioxide]]</f>
        <v>17</v>
      </c>
      <c r="S699" s="1" t="str">
        <f>IF(AND(Table1[[#This Row],[pH]]&gt;=3.2,Table1[[#This Row],[alcohol]]&gt;=10),"White wine","Red wine")</f>
        <v>Red wine</v>
      </c>
    </row>
    <row r="700" spans="1:19" x14ac:dyDescent="0.3">
      <c r="A700" s="13">
        <v>699</v>
      </c>
      <c r="B700" s="1">
        <v>9.4</v>
      </c>
      <c r="C700" s="1">
        <v>0.61499999999999999</v>
      </c>
      <c r="D700" s="1">
        <v>0.28000000000000003</v>
      </c>
      <c r="E700" s="1">
        <v>3.2</v>
      </c>
      <c r="F700" s="1">
        <v>8.6999999999999994E-2</v>
      </c>
      <c r="G700" s="1">
        <v>18</v>
      </c>
      <c r="H700" s="1">
        <v>72</v>
      </c>
      <c r="I700" s="1">
        <v>1.0001</v>
      </c>
      <c r="J700" s="1">
        <v>3.31</v>
      </c>
      <c r="K700" s="1">
        <v>0.53</v>
      </c>
      <c r="L700" s="1">
        <v>9.6999999999999993</v>
      </c>
      <c r="M700" s="2">
        <v>5</v>
      </c>
      <c r="N700" s="2" t="str" cm="1">
        <f t="array" ref="N700">_xlfn.IFS(Table1[[#This Row],[quality]]&lt;=4,"Low",Table1[[#This Row],[quality]]&lt;=6,"Medium",Table1[[#This Row],[quality]]&gt;=7,"High")</f>
        <v>Medium</v>
      </c>
      <c r="O700" s="2" t="str">
        <f>IF(AND(Table1[[#This Row],[fixed acidity]]&gt;Sheet1!$C$4,Table1[[#This Row],[pH]]&lt;Sheet1!$K$4),"High","Normal")</f>
        <v>High</v>
      </c>
      <c r="P700" s="1">
        <f>(Table1[[#This Row],[alcohol]]*2)+(Table1[[#This Row],[sulphates]]*1.5)-(Table1[[#This Row],[volatile acidity]]*2)</f>
        <v>18.965</v>
      </c>
      <c r="Q700" s="1">
        <f>RANK(Table1[[#This Row],[Quality_score_index]],Table1[Quality_score_index],0)</f>
        <v>1175</v>
      </c>
      <c r="R700" s="1">
        <f>Table1[[#This Row],[total sulfur dioxide]]-Table1[[#This Row],[free sulfur dioxide]]</f>
        <v>54</v>
      </c>
      <c r="S700" s="1" t="str">
        <f>IF(AND(Table1[[#This Row],[pH]]&gt;=3.2,Table1[[#This Row],[alcohol]]&gt;=10),"White wine","Red wine")</f>
        <v>Red wine</v>
      </c>
    </row>
    <row r="701" spans="1:19" x14ac:dyDescent="0.3">
      <c r="A701" s="13">
        <v>700</v>
      </c>
      <c r="B701" s="1">
        <v>11.8</v>
      </c>
      <c r="C701" s="1">
        <v>0.38</v>
      </c>
      <c r="D701" s="1">
        <v>0.55000000000000004</v>
      </c>
      <c r="E701" s="1">
        <v>2.1</v>
      </c>
      <c r="F701" s="1">
        <v>7.0999999999999994E-2</v>
      </c>
      <c r="G701" s="1">
        <v>5</v>
      </c>
      <c r="H701" s="1">
        <v>19</v>
      </c>
      <c r="I701" s="1">
        <v>0.99860000000000004</v>
      </c>
      <c r="J701" s="1">
        <v>3.11</v>
      </c>
      <c r="K701" s="1">
        <v>0.62</v>
      </c>
      <c r="L701" s="1">
        <v>10.8</v>
      </c>
      <c r="M701" s="2">
        <v>6</v>
      </c>
      <c r="N701" s="2" t="str" cm="1">
        <f t="array" ref="N701">_xlfn.IFS(Table1[[#This Row],[quality]]&lt;=4,"Low",Table1[[#This Row],[quality]]&lt;=6,"Medium",Table1[[#This Row],[quality]]&gt;=7,"High")</f>
        <v>Medium</v>
      </c>
      <c r="O701" s="2" t="str">
        <f>IF(AND(Table1[[#This Row],[fixed acidity]]&gt;Sheet1!$C$4,Table1[[#This Row],[pH]]&lt;Sheet1!$K$4),"High","Normal")</f>
        <v>High</v>
      </c>
      <c r="P701" s="1">
        <f>(Table1[[#This Row],[alcohol]]*2)+(Table1[[#This Row],[sulphates]]*1.5)-(Table1[[#This Row],[volatile acidity]]*2)</f>
        <v>21.77</v>
      </c>
      <c r="Q701" s="1">
        <f>RANK(Table1[[#This Row],[Quality_score_index]],Table1[Quality_score_index],0)</f>
        <v>488</v>
      </c>
      <c r="R701" s="1">
        <f>Table1[[#This Row],[total sulfur dioxide]]-Table1[[#This Row],[free sulfur dioxide]]</f>
        <v>14</v>
      </c>
      <c r="S701" s="1" t="str">
        <f>IF(AND(Table1[[#This Row],[pH]]&gt;=3.2,Table1[[#This Row],[alcohol]]&gt;=10),"White wine","Red wine")</f>
        <v>Red wine</v>
      </c>
    </row>
    <row r="702" spans="1:19" x14ac:dyDescent="0.3">
      <c r="A702" s="13">
        <v>701</v>
      </c>
      <c r="B702" s="1">
        <v>10.6</v>
      </c>
      <c r="C702" s="1">
        <v>1.02</v>
      </c>
      <c r="D702" s="1">
        <v>0.43</v>
      </c>
      <c r="E702" s="1">
        <v>2.9</v>
      </c>
      <c r="F702" s="1">
        <v>7.5999999999999998E-2</v>
      </c>
      <c r="G702" s="1">
        <v>26</v>
      </c>
      <c r="H702" s="1">
        <v>88</v>
      </c>
      <c r="I702" s="1">
        <v>0.99839999999999995</v>
      </c>
      <c r="J702" s="1">
        <v>3.08</v>
      </c>
      <c r="K702" s="1">
        <v>0.56999999999999995</v>
      </c>
      <c r="L702" s="1">
        <v>10.1</v>
      </c>
      <c r="M702" s="2">
        <v>6</v>
      </c>
      <c r="N702" s="2" t="str" cm="1">
        <f t="array" ref="N702">_xlfn.IFS(Table1[[#This Row],[quality]]&lt;=4,"Low",Table1[[#This Row],[quality]]&lt;=6,"Medium",Table1[[#This Row],[quality]]&gt;=7,"High")</f>
        <v>Medium</v>
      </c>
      <c r="O702" s="2" t="str">
        <f>IF(AND(Table1[[#This Row],[fixed acidity]]&gt;Sheet1!$C$4,Table1[[#This Row],[pH]]&lt;Sheet1!$K$4),"High","Normal")</f>
        <v>High</v>
      </c>
      <c r="P702" s="1">
        <f>(Table1[[#This Row],[alcohol]]*2)+(Table1[[#This Row],[sulphates]]*1.5)-(Table1[[#This Row],[volatile acidity]]*2)</f>
        <v>19.015000000000001</v>
      </c>
      <c r="Q702" s="1">
        <f>RANK(Table1[[#This Row],[Quality_score_index]],Table1[Quality_score_index],0)</f>
        <v>1159</v>
      </c>
      <c r="R702" s="1">
        <f>Table1[[#This Row],[total sulfur dioxide]]-Table1[[#This Row],[free sulfur dioxide]]</f>
        <v>62</v>
      </c>
      <c r="S702" s="1" t="str">
        <f>IF(AND(Table1[[#This Row],[pH]]&gt;=3.2,Table1[[#This Row],[alcohol]]&gt;=10),"White wine","Red wine")</f>
        <v>Red wine</v>
      </c>
    </row>
    <row r="703" spans="1:19" x14ac:dyDescent="0.3">
      <c r="A703" s="13">
        <v>702</v>
      </c>
      <c r="B703" s="1">
        <v>7</v>
      </c>
      <c r="C703" s="1">
        <v>0.65</v>
      </c>
      <c r="D703" s="1">
        <v>0.02</v>
      </c>
      <c r="E703" s="1">
        <v>2.1</v>
      </c>
      <c r="F703" s="1">
        <v>6.6000000000000003E-2</v>
      </c>
      <c r="G703" s="1">
        <v>8</v>
      </c>
      <c r="H703" s="1">
        <v>25</v>
      </c>
      <c r="I703" s="1">
        <v>0.99719999999999998</v>
      </c>
      <c r="J703" s="1">
        <v>3.47</v>
      </c>
      <c r="K703" s="1">
        <v>0.67</v>
      </c>
      <c r="L703" s="1">
        <v>9.5</v>
      </c>
      <c r="M703" s="2">
        <v>6</v>
      </c>
      <c r="N703" s="2" t="str" cm="1">
        <f t="array" ref="N703">_xlfn.IFS(Table1[[#This Row],[quality]]&lt;=4,"Low",Table1[[#This Row],[quality]]&lt;=6,"Medium",Table1[[#This Row],[quality]]&gt;=7,"High")</f>
        <v>Medium</v>
      </c>
      <c r="O703" s="2" t="str">
        <f>IF(AND(Table1[[#This Row],[fixed acidity]]&gt;Sheet1!$C$4,Table1[[#This Row],[pH]]&lt;Sheet1!$K$4),"High","Normal")</f>
        <v>Normal</v>
      </c>
      <c r="P703" s="1">
        <f>(Table1[[#This Row],[alcohol]]*2)+(Table1[[#This Row],[sulphates]]*1.5)-(Table1[[#This Row],[volatile acidity]]*2)</f>
        <v>18.704999999999998</v>
      </c>
      <c r="Q703" s="1">
        <f>RANK(Table1[[#This Row],[Quality_score_index]],Table1[Quality_score_index],0)</f>
        <v>1290</v>
      </c>
      <c r="R703" s="1">
        <f>Table1[[#This Row],[total sulfur dioxide]]-Table1[[#This Row],[free sulfur dioxide]]</f>
        <v>17</v>
      </c>
      <c r="S703" s="1" t="str">
        <f>IF(AND(Table1[[#This Row],[pH]]&gt;=3.2,Table1[[#This Row],[alcohol]]&gt;=10),"White wine","Red wine")</f>
        <v>Red wine</v>
      </c>
    </row>
    <row r="704" spans="1:19" x14ac:dyDescent="0.3">
      <c r="A704" s="13">
        <v>703</v>
      </c>
      <c r="B704" s="1">
        <v>7</v>
      </c>
      <c r="C704" s="1">
        <v>0.64</v>
      </c>
      <c r="D704" s="1">
        <v>0.02</v>
      </c>
      <c r="E704" s="1">
        <v>2.1</v>
      </c>
      <c r="F704" s="1">
        <v>6.7000000000000004E-2</v>
      </c>
      <c r="G704" s="1">
        <v>9</v>
      </c>
      <c r="H704" s="1">
        <v>23</v>
      </c>
      <c r="I704" s="1">
        <v>0.997</v>
      </c>
      <c r="J704" s="1">
        <v>3.47</v>
      </c>
      <c r="K704" s="1">
        <v>0.67</v>
      </c>
      <c r="L704" s="1">
        <v>9.4</v>
      </c>
      <c r="M704" s="2">
        <v>6</v>
      </c>
      <c r="N704" s="2" t="str" cm="1">
        <f t="array" ref="N704">_xlfn.IFS(Table1[[#This Row],[quality]]&lt;=4,"Low",Table1[[#This Row],[quality]]&lt;=6,"Medium",Table1[[#This Row],[quality]]&gt;=7,"High")</f>
        <v>Medium</v>
      </c>
      <c r="O704" s="2" t="str">
        <f>IF(AND(Table1[[#This Row],[fixed acidity]]&gt;Sheet1!$C$4,Table1[[#This Row],[pH]]&lt;Sheet1!$K$4),"High","Normal")</f>
        <v>Normal</v>
      </c>
      <c r="P704" s="1">
        <f>(Table1[[#This Row],[alcohol]]*2)+(Table1[[#This Row],[sulphates]]*1.5)-(Table1[[#This Row],[volatile acidity]]*2)</f>
        <v>18.524999999999999</v>
      </c>
      <c r="Q704" s="1">
        <f>RANK(Table1[[#This Row],[Quality_score_index]],Table1[Quality_score_index],0)</f>
        <v>1369</v>
      </c>
      <c r="R704" s="1">
        <f>Table1[[#This Row],[total sulfur dioxide]]-Table1[[#This Row],[free sulfur dioxide]]</f>
        <v>14</v>
      </c>
      <c r="S704" s="1" t="str">
        <f>IF(AND(Table1[[#This Row],[pH]]&gt;=3.2,Table1[[#This Row],[alcohol]]&gt;=10),"White wine","Red wine")</f>
        <v>Red wine</v>
      </c>
    </row>
    <row r="705" spans="1:19" x14ac:dyDescent="0.3">
      <c r="A705" s="13">
        <v>704</v>
      </c>
      <c r="B705" s="1">
        <v>7.5</v>
      </c>
      <c r="C705" s="1">
        <v>0.38</v>
      </c>
      <c r="D705" s="1">
        <v>0.48</v>
      </c>
      <c r="E705" s="1">
        <v>2.6</v>
      </c>
      <c r="F705" s="1">
        <v>7.2999999999999995E-2</v>
      </c>
      <c r="G705" s="1">
        <v>22</v>
      </c>
      <c r="H705" s="1">
        <v>84</v>
      </c>
      <c r="I705" s="1">
        <v>0.99719999999999998</v>
      </c>
      <c r="J705" s="1">
        <v>3.32</v>
      </c>
      <c r="K705" s="1">
        <v>0.7</v>
      </c>
      <c r="L705" s="1">
        <v>9.6</v>
      </c>
      <c r="M705" s="2">
        <v>4</v>
      </c>
      <c r="N705" s="2" t="str" cm="1">
        <f t="array" ref="N705">_xlfn.IFS(Table1[[#This Row],[quality]]&lt;=4,"Low",Table1[[#This Row],[quality]]&lt;=6,"Medium",Table1[[#This Row],[quality]]&gt;=7,"High")</f>
        <v>Low</v>
      </c>
      <c r="O705" s="2" t="str">
        <f>IF(AND(Table1[[#This Row],[fixed acidity]]&gt;Sheet1!$C$4,Table1[[#This Row],[pH]]&lt;Sheet1!$K$4),"High","Normal")</f>
        <v>Normal</v>
      </c>
      <c r="P705" s="1">
        <f>(Table1[[#This Row],[alcohol]]*2)+(Table1[[#This Row],[sulphates]]*1.5)-(Table1[[#This Row],[volatile acidity]]*2)</f>
        <v>19.489999999999998</v>
      </c>
      <c r="Q705" s="1">
        <f>RANK(Table1[[#This Row],[Quality_score_index]],Table1[Quality_score_index],0)</f>
        <v>974</v>
      </c>
      <c r="R705" s="1">
        <f>Table1[[#This Row],[total sulfur dioxide]]-Table1[[#This Row],[free sulfur dioxide]]</f>
        <v>62</v>
      </c>
      <c r="S705" s="1" t="str">
        <f>IF(AND(Table1[[#This Row],[pH]]&gt;=3.2,Table1[[#This Row],[alcohol]]&gt;=10),"White wine","Red wine")</f>
        <v>Red wine</v>
      </c>
    </row>
    <row r="706" spans="1:19" x14ac:dyDescent="0.3">
      <c r="A706" s="13">
        <v>705</v>
      </c>
      <c r="B706" s="1">
        <v>9.1</v>
      </c>
      <c r="C706" s="1">
        <v>0.76500000000000001</v>
      </c>
      <c r="D706" s="1">
        <v>0.04</v>
      </c>
      <c r="E706" s="1">
        <v>1.6</v>
      </c>
      <c r="F706" s="1">
        <v>7.8E-2</v>
      </c>
      <c r="G706" s="1">
        <v>4</v>
      </c>
      <c r="H706" s="1">
        <v>14</v>
      </c>
      <c r="I706" s="1">
        <v>0.998</v>
      </c>
      <c r="J706" s="1">
        <v>3.29</v>
      </c>
      <c r="K706" s="1">
        <v>0.54</v>
      </c>
      <c r="L706" s="1">
        <v>9.6999999999999993</v>
      </c>
      <c r="M706" s="2">
        <v>4</v>
      </c>
      <c r="N706" s="2" t="str" cm="1">
        <f t="array" ref="N706">_xlfn.IFS(Table1[[#This Row],[quality]]&lt;=4,"Low",Table1[[#This Row],[quality]]&lt;=6,"Medium",Table1[[#This Row],[quality]]&gt;=7,"High")</f>
        <v>Low</v>
      </c>
      <c r="O706" s="2" t="str">
        <f>IF(AND(Table1[[#This Row],[fixed acidity]]&gt;Sheet1!$C$4,Table1[[#This Row],[pH]]&lt;Sheet1!$K$4),"High","Normal")</f>
        <v>High</v>
      </c>
      <c r="P706" s="1">
        <f>(Table1[[#This Row],[alcohol]]*2)+(Table1[[#This Row],[sulphates]]*1.5)-(Table1[[#This Row],[volatile acidity]]*2)</f>
        <v>18.679999999999996</v>
      </c>
      <c r="Q706" s="1">
        <f>RANK(Table1[[#This Row],[Quality_score_index]],Table1[Quality_score_index],0)</f>
        <v>1302</v>
      </c>
      <c r="R706" s="1">
        <f>Table1[[#This Row],[total sulfur dioxide]]-Table1[[#This Row],[free sulfur dioxide]]</f>
        <v>10</v>
      </c>
      <c r="S706" s="1" t="str">
        <f>IF(AND(Table1[[#This Row],[pH]]&gt;=3.2,Table1[[#This Row],[alcohol]]&gt;=10),"White wine","Red wine")</f>
        <v>Red wine</v>
      </c>
    </row>
    <row r="707" spans="1:19" x14ac:dyDescent="0.3">
      <c r="A707" s="13">
        <v>706</v>
      </c>
      <c r="B707" s="1">
        <v>8.4</v>
      </c>
      <c r="C707" s="1">
        <v>1.0349999999999999</v>
      </c>
      <c r="D707" s="1">
        <v>0.15</v>
      </c>
      <c r="E707" s="1">
        <v>6</v>
      </c>
      <c r="F707" s="1">
        <v>7.2999999999999995E-2</v>
      </c>
      <c r="G707" s="1">
        <v>11</v>
      </c>
      <c r="H707" s="1">
        <v>54</v>
      </c>
      <c r="I707" s="1">
        <v>0.999</v>
      </c>
      <c r="J707" s="1">
        <v>3.37</v>
      </c>
      <c r="K707" s="1">
        <v>0.49</v>
      </c>
      <c r="L707" s="1">
        <v>9.9</v>
      </c>
      <c r="M707" s="2">
        <v>5</v>
      </c>
      <c r="N707" s="2" t="str" cm="1">
        <f t="array" ref="N707">_xlfn.IFS(Table1[[#This Row],[quality]]&lt;=4,"Low",Table1[[#This Row],[quality]]&lt;=6,"Medium",Table1[[#This Row],[quality]]&gt;=7,"High")</f>
        <v>Medium</v>
      </c>
      <c r="O707" s="2" t="str">
        <f>IF(AND(Table1[[#This Row],[fixed acidity]]&gt;Sheet1!$C$4,Table1[[#This Row],[pH]]&lt;Sheet1!$K$4),"High","Normal")</f>
        <v>Normal</v>
      </c>
      <c r="P707" s="1">
        <f>(Table1[[#This Row],[alcohol]]*2)+(Table1[[#This Row],[sulphates]]*1.5)-(Table1[[#This Row],[volatile acidity]]*2)</f>
        <v>18.465</v>
      </c>
      <c r="Q707" s="1">
        <f>RANK(Table1[[#This Row],[Quality_score_index]],Table1[Quality_score_index],0)</f>
        <v>1387</v>
      </c>
      <c r="R707" s="1">
        <f>Table1[[#This Row],[total sulfur dioxide]]-Table1[[#This Row],[free sulfur dioxide]]</f>
        <v>43</v>
      </c>
      <c r="S707" s="1" t="str">
        <f>IF(AND(Table1[[#This Row],[pH]]&gt;=3.2,Table1[[#This Row],[alcohol]]&gt;=10),"White wine","Red wine")</f>
        <v>Red wine</v>
      </c>
    </row>
    <row r="708" spans="1:19" x14ac:dyDescent="0.3">
      <c r="A708" s="13">
        <v>707</v>
      </c>
      <c r="B708" s="1">
        <v>7</v>
      </c>
      <c r="C708" s="1">
        <v>0.78</v>
      </c>
      <c r="D708" s="1">
        <v>0.08</v>
      </c>
      <c r="E708" s="1">
        <v>2</v>
      </c>
      <c r="F708" s="1">
        <v>9.2999999999999999E-2</v>
      </c>
      <c r="G708" s="1">
        <v>10</v>
      </c>
      <c r="H708" s="1">
        <v>19</v>
      </c>
      <c r="I708" s="1">
        <v>0.99560000000000004</v>
      </c>
      <c r="J708" s="1">
        <v>3.4</v>
      </c>
      <c r="K708" s="1">
        <v>0.47</v>
      </c>
      <c r="L708" s="1">
        <v>10</v>
      </c>
      <c r="M708" s="2">
        <v>5</v>
      </c>
      <c r="N708" s="2" t="str" cm="1">
        <f t="array" ref="N708">_xlfn.IFS(Table1[[#This Row],[quality]]&lt;=4,"Low",Table1[[#This Row],[quality]]&lt;=6,"Medium",Table1[[#This Row],[quality]]&gt;=7,"High")</f>
        <v>Medium</v>
      </c>
      <c r="O708" s="2" t="str">
        <f>IF(AND(Table1[[#This Row],[fixed acidity]]&gt;Sheet1!$C$4,Table1[[#This Row],[pH]]&lt;Sheet1!$K$4),"High","Normal")</f>
        <v>Normal</v>
      </c>
      <c r="P708" s="1">
        <f>(Table1[[#This Row],[alcohol]]*2)+(Table1[[#This Row],[sulphates]]*1.5)-(Table1[[#This Row],[volatile acidity]]*2)</f>
        <v>19.145</v>
      </c>
      <c r="Q708" s="1">
        <f>RANK(Table1[[#This Row],[Quality_score_index]],Table1[Quality_score_index],0)</f>
        <v>1107</v>
      </c>
      <c r="R708" s="1">
        <f>Table1[[#This Row],[total sulfur dioxide]]-Table1[[#This Row],[free sulfur dioxide]]</f>
        <v>9</v>
      </c>
      <c r="S708" s="1" t="str">
        <f>IF(AND(Table1[[#This Row],[pH]]&gt;=3.2,Table1[[#This Row],[alcohol]]&gt;=10),"White wine","Red wine")</f>
        <v>White wine</v>
      </c>
    </row>
    <row r="709" spans="1:19" x14ac:dyDescent="0.3">
      <c r="A709" s="13">
        <v>708</v>
      </c>
      <c r="B709" s="1">
        <v>7.4</v>
      </c>
      <c r="C709" s="1">
        <v>0.49</v>
      </c>
      <c r="D709" s="1">
        <v>0.19</v>
      </c>
      <c r="E709" s="1">
        <v>3</v>
      </c>
      <c r="F709" s="1">
        <v>7.6999999999999999E-2</v>
      </c>
      <c r="G709" s="1">
        <v>16</v>
      </c>
      <c r="H709" s="1">
        <v>37</v>
      </c>
      <c r="I709" s="1">
        <v>0.99660000000000004</v>
      </c>
      <c r="J709" s="1">
        <v>3.37</v>
      </c>
      <c r="K709" s="1">
        <v>0.51</v>
      </c>
      <c r="L709" s="1">
        <v>10.5</v>
      </c>
      <c r="M709" s="2">
        <v>5</v>
      </c>
      <c r="N709" s="2" t="str" cm="1">
        <f t="array" ref="N709">_xlfn.IFS(Table1[[#This Row],[quality]]&lt;=4,"Low",Table1[[#This Row],[quality]]&lt;=6,"Medium",Table1[[#This Row],[quality]]&gt;=7,"High")</f>
        <v>Medium</v>
      </c>
      <c r="O709" s="2" t="str">
        <f>IF(AND(Table1[[#This Row],[fixed acidity]]&gt;Sheet1!$C$4,Table1[[#This Row],[pH]]&lt;Sheet1!$K$4),"High","Normal")</f>
        <v>Normal</v>
      </c>
      <c r="P709" s="1">
        <f>(Table1[[#This Row],[alcohol]]*2)+(Table1[[#This Row],[sulphates]]*1.5)-(Table1[[#This Row],[volatile acidity]]*2)</f>
        <v>20.785</v>
      </c>
      <c r="Q709" s="1">
        <f>RANK(Table1[[#This Row],[Quality_score_index]],Table1[Quality_score_index],0)</f>
        <v>706</v>
      </c>
      <c r="R709" s="1">
        <f>Table1[[#This Row],[total sulfur dioxide]]-Table1[[#This Row],[free sulfur dioxide]]</f>
        <v>21</v>
      </c>
      <c r="S709" s="1" t="str">
        <f>IF(AND(Table1[[#This Row],[pH]]&gt;=3.2,Table1[[#This Row],[alcohol]]&gt;=10),"White wine","Red wine")</f>
        <v>White wine</v>
      </c>
    </row>
    <row r="710" spans="1:19" x14ac:dyDescent="0.3">
      <c r="A710" s="13">
        <v>709</v>
      </c>
      <c r="B710" s="1">
        <v>7.8</v>
      </c>
      <c r="C710" s="1">
        <v>0.54500000000000004</v>
      </c>
      <c r="D710" s="1">
        <v>0.12</v>
      </c>
      <c r="E710" s="1">
        <v>2.5</v>
      </c>
      <c r="F710" s="1">
        <v>6.8000000000000005E-2</v>
      </c>
      <c r="G710" s="1">
        <v>11</v>
      </c>
      <c r="H710" s="1">
        <v>35</v>
      </c>
      <c r="I710" s="1">
        <v>0.996</v>
      </c>
      <c r="J710" s="1">
        <v>3.34</v>
      </c>
      <c r="K710" s="1">
        <v>0.61</v>
      </c>
      <c r="L710" s="1">
        <v>11.6</v>
      </c>
      <c r="M710" s="2">
        <v>6</v>
      </c>
      <c r="N710" s="2" t="str" cm="1">
        <f t="array" ref="N710">_xlfn.IFS(Table1[[#This Row],[quality]]&lt;=4,"Low",Table1[[#This Row],[quality]]&lt;=6,"Medium",Table1[[#This Row],[quality]]&gt;=7,"High")</f>
        <v>Medium</v>
      </c>
      <c r="O710" s="2" t="str">
        <f>IF(AND(Table1[[#This Row],[fixed acidity]]&gt;Sheet1!$C$4,Table1[[#This Row],[pH]]&lt;Sheet1!$K$4),"High","Normal")</f>
        <v>Normal</v>
      </c>
      <c r="P710" s="1">
        <f>(Table1[[#This Row],[alcohol]]*2)+(Table1[[#This Row],[sulphates]]*1.5)-(Table1[[#This Row],[volatile acidity]]*2)</f>
        <v>23.024999999999999</v>
      </c>
      <c r="Q710" s="1">
        <f>RANK(Table1[[#This Row],[Quality_score_index]],Table1[Quality_score_index],0)</f>
        <v>267</v>
      </c>
      <c r="R710" s="1">
        <f>Table1[[#This Row],[total sulfur dioxide]]-Table1[[#This Row],[free sulfur dioxide]]</f>
        <v>24</v>
      </c>
      <c r="S710" s="1" t="str">
        <f>IF(AND(Table1[[#This Row],[pH]]&gt;=3.2,Table1[[#This Row],[alcohol]]&gt;=10),"White wine","Red wine")</f>
        <v>White wine</v>
      </c>
    </row>
    <row r="711" spans="1:19" x14ac:dyDescent="0.3">
      <c r="A711" s="13">
        <v>710</v>
      </c>
      <c r="B711" s="1">
        <v>9.6999999999999993</v>
      </c>
      <c r="C711" s="1">
        <v>0.31</v>
      </c>
      <c r="D711" s="1">
        <v>0.47</v>
      </c>
      <c r="E711" s="1">
        <v>1.6</v>
      </c>
      <c r="F711" s="1">
        <v>6.2E-2</v>
      </c>
      <c r="G711" s="1">
        <v>13</v>
      </c>
      <c r="H711" s="1">
        <v>33</v>
      </c>
      <c r="I711" s="1">
        <v>0.99829999999999997</v>
      </c>
      <c r="J711" s="1">
        <v>3.27</v>
      </c>
      <c r="K711" s="1">
        <v>0.66</v>
      </c>
      <c r="L711" s="1">
        <v>10</v>
      </c>
      <c r="M711" s="2">
        <v>6</v>
      </c>
      <c r="N711" s="2" t="str" cm="1">
        <f t="array" ref="N711">_xlfn.IFS(Table1[[#This Row],[quality]]&lt;=4,"Low",Table1[[#This Row],[quality]]&lt;=6,"Medium",Table1[[#This Row],[quality]]&gt;=7,"High")</f>
        <v>Medium</v>
      </c>
      <c r="O711" s="2" t="str">
        <f>IF(AND(Table1[[#This Row],[fixed acidity]]&gt;Sheet1!$C$4,Table1[[#This Row],[pH]]&lt;Sheet1!$K$4),"High","Normal")</f>
        <v>High</v>
      </c>
      <c r="P711" s="1">
        <f>(Table1[[#This Row],[alcohol]]*2)+(Table1[[#This Row],[sulphates]]*1.5)-(Table1[[#This Row],[volatile acidity]]*2)</f>
        <v>20.369999999999997</v>
      </c>
      <c r="Q711" s="1">
        <f>RANK(Table1[[#This Row],[Quality_score_index]],Table1[Quality_score_index],0)</f>
        <v>778</v>
      </c>
      <c r="R711" s="1">
        <f>Table1[[#This Row],[total sulfur dioxide]]-Table1[[#This Row],[free sulfur dioxide]]</f>
        <v>20</v>
      </c>
      <c r="S711" s="1" t="str">
        <f>IF(AND(Table1[[#This Row],[pH]]&gt;=3.2,Table1[[#This Row],[alcohol]]&gt;=10),"White wine","Red wine")</f>
        <v>White wine</v>
      </c>
    </row>
    <row r="712" spans="1:19" x14ac:dyDescent="0.3">
      <c r="A712" s="13">
        <v>711</v>
      </c>
      <c r="B712" s="1">
        <v>10.6</v>
      </c>
      <c r="C712" s="1">
        <v>1.0249999999999999</v>
      </c>
      <c r="D712" s="1">
        <v>0.43</v>
      </c>
      <c r="E712" s="1">
        <v>2.8</v>
      </c>
      <c r="F712" s="1">
        <v>0.08</v>
      </c>
      <c r="G712" s="1">
        <v>21</v>
      </c>
      <c r="H712" s="1">
        <v>84</v>
      </c>
      <c r="I712" s="1">
        <v>0.99850000000000005</v>
      </c>
      <c r="J712" s="1">
        <v>3.06</v>
      </c>
      <c r="K712" s="1">
        <v>0.56999999999999995</v>
      </c>
      <c r="L712" s="1">
        <v>10.1</v>
      </c>
      <c r="M712" s="2">
        <v>5</v>
      </c>
      <c r="N712" s="2" t="str" cm="1">
        <f t="array" ref="N712">_xlfn.IFS(Table1[[#This Row],[quality]]&lt;=4,"Low",Table1[[#This Row],[quality]]&lt;=6,"Medium",Table1[[#This Row],[quality]]&gt;=7,"High")</f>
        <v>Medium</v>
      </c>
      <c r="O712" s="2" t="str">
        <f>IF(AND(Table1[[#This Row],[fixed acidity]]&gt;Sheet1!$C$4,Table1[[#This Row],[pH]]&lt;Sheet1!$K$4),"High","Normal")</f>
        <v>High</v>
      </c>
      <c r="P712" s="1">
        <f>(Table1[[#This Row],[alcohol]]*2)+(Table1[[#This Row],[sulphates]]*1.5)-(Table1[[#This Row],[volatile acidity]]*2)</f>
        <v>19.004999999999999</v>
      </c>
      <c r="Q712" s="1">
        <f>RANK(Table1[[#This Row],[Quality_score_index]],Table1[Quality_score_index],0)</f>
        <v>1164</v>
      </c>
      <c r="R712" s="1">
        <f>Table1[[#This Row],[total sulfur dioxide]]-Table1[[#This Row],[free sulfur dioxide]]</f>
        <v>63</v>
      </c>
      <c r="S712" s="1" t="str">
        <f>IF(AND(Table1[[#This Row],[pH]]&gt;=3.2,Table1[[#This Row],[alcohol]]&gt;=10),"White wine","Red wine")</f>
        <v>Red wine</v>
      </c>
    </row>
    <row r="713" spans="1:19" x14ac:dyDescent="0.3">
      <c r="A713" s="13">
        <v>712</v>
      </c>
      <c r="B713" s="1">
        <v>8.9</v>
      </c>
      <c r="C713" s="1">
        <v>0.56499999999999995</v>
      </c>
      <c r="D713" s="1">
        <v>0.34</v>
      </c>
      <c r="E713" s="1">
        <v>3</v>
      </c>
      <c r="F713" s="1">
        <v>9.2999999999999999E-2</v>
      </c>
      <c r="G713" s="1">
        <v>16</v>
      </c>
      <c r="H713" s="1">
        <v>112</v>
      </c>
      <c r="I713" s="1">
        <v>0.99980000000000002</v>
      </c>
      <c r="J713" s="1">
        <v>3.38</v>
      </c>
      <c r="K713" s="1">
        <v>0.61</v>
      </c>
      <c r="L713" s="1">
        <v>9.5</v>
      </c>
      <c r="M713" s="2">
        <v>5</v>
      </c>
      <c r="N713" s="2" t="str" cm="1">
        <f t="array" ref="N713">_xlfn.IFS(Table1[[#This Row],[quality]]&lt;=4,"Low",Table1[[#This Row],[quality]]&lt;=6,"Medium",Table1[[#This Row],[quality]]&gt;=7,"High")</f>
        <v>Medium</v>
      </c>
      <c r="O713" s="2" t="str">
        <f>IF(AND(Table1[[#This Row],[fixed acidity]]&gt;Sheet1!$C$4,Table1[[#This Row],[pH]]&lt;Sheet1!$K$4),"High","Normal")</f>
        <v>Normal</v>
      </c>
      <c r="P713" s="1">
        <f>(Table1[[#This Row],[alcohol]]*2)+(Table1[[#This Row],[sulphates]]*1.5)-(Table1[[#This Row],[volatile acidity]]*2)</f>
        <v>18.785</v>
      </c>
      <c r="Q713" s="1">
        <f>RANK(Table1[[#This Row],[Quality_score_index]],Table1[Quality_score_index],0)</f>
        <v>1251</v>
      </c>
      <c r="R713" s="1">
        <f>Table1[[#This Row],[total sulfur dioxide]]-Table1[[#This Row],[free sulfur dioxide]]</f>
        <v>96</v>
      </c>
      <c r="S713" s="1" t="str">
        <f>IF(AND(Table1[[#This Row],[pH]]&gt;=3.2,Table1[[#This Row],[alcohol]]&gt;=10),"White wine","Red wine")</f>
        <v>Red wine</v>
      </c>
    </row>
    <row r="714" spans="1:19" x14ac:dyDescent="0.3">
      <c r="A714" s="13">
        <v>713</v>
      </c>
      <c r="B714" s="1">
        <v>8.6999999999999993</v>
      </c>
      <c r="C714" s="1">
        <v>0.69</v>
      </c>
      <c r="D714" s="1">
        <v>0</v>
      </c>
      <c r="E714" s="1">
        <v>3.2</v>
      </c>
      <c r="F714" s="1">
        <v>8.4000000000000005E-2</v>
      </c>
      <c r="G714" s="1">
        <v>13</v>
      </c>
      <c r="H714" s="1">
        <v>33</v>
      </c>
      <c r="I714" s="1">
        <v>0.99919999999999998</v>
      </c>
      <c r="J714" s="1">
        <v>3.36</v>
      </c>
      <c r="K714" s="1">
        <v>0.45</v>
      </c>
      <c r="L714" s="1">
        <v>9.4</v>
      </c>
      <c r="M714" s="2">
        <v>5</v>
      </c>
      <c r="N714" s="2" t="str" cm="1">
        <f t="array" ref="N714">_xlfn.IFS(Table1[[#This Row],[quality]]&lt;=4,"Low",Table1[[#This Row],[quality]]&lt;=6,"Medium",Table1[[#This Row],[quality]]&gt;=7,"High")</f>
        <v>Medium</v>
      </c>
      <c r="O714" s="2" t="str">
        <f>IF(AND(Table1[[#This Row],[fixed acidity]]&gt;Sheet1!$C$4,Table1[[#This Row],[pH]]&lt;Sheet1!$K$4),"High","Normal")</f>
        <v>Normal</v>
      </c>
      <c r="P714" s="1">
        <f>(Table1[[#This Row],[alcohol]]*2)+(Table1[[#This Row],[sulphates]]*1.5)-(Table1[[#This Row],[volatile acidity]]*2)</f>
        <v>18.095000000000002</v>
      </c>
      <c r="Q714" s="1">
        <f>RANK(Table1[[#This Row],[Quality_score_index]],Table1[Quality_score_index],0)</f>
        <v>1500</v>
      </c>
      <c r="R714" s="1">
        <f>Table1[[#This Row],[total sulfur dioxide]]-Table1[[#This Row],[free sulfur dioxide]]</f>
        <v>20</v>
      </c>
      <c r="S714" s="1" t="str">
        <f>IF(AND(Table1[[#This Row],[pH]]&gt;=3.2,Table1[[#This Row],[alcohol]]&gt;=10),"White wine","Red wine")</f>
        <v>Red wine</v>
      </c>
    </row>
    <row r="715" spans="1:19" x14ac:dyDescent="0.3">
      <c r="A715" s="13">
        <v>714</v>
      </c>
      <c r="B715" s="1">
        <v>8</v>
      </c>
      <c r="C715" s="1">
        <v>0.43</v>
      </c>
      <c r="D715" s="1">
        <v>0.36</v>
      </c>
      <c r="E715" s="1">
        <v>2.2999999999999998</v>
      </c>
      <c r="F715" s="1">
        <v>7.4999999999999997E-2</v>
      </c>
      <c r="G715" s="1">
        <v>10</v>
      </c>
      <c r="H715" s="1">
        <v>48</v>
      </c>
      <c r="I715" s="1">
        <v>0.99760000000000004</v>
      </c>
      <c r="J715" s="1">
        <v>3.34</v>
      </c>
      <c r="K715" s="1">
        <v>0.46</v>
      </c>
      <c r="L715" s="1">
        <v>9.4</v>
      </c>
      <c r="M715" s="2">
        <v>5</v>
      </c>
      <c r="N715" s="2" t="str" cm="1">
        <f t="array" ref="N715">_xlfn.IFS(Table1[[#This Row],[quality]]&lt;=4,"Low",Table1[[#This Row],[quality]]&lt;=6,"Medium",Table1[[#This Row],[quality]]&gt;=7,"High")</f>
        <v>Medium</v>
      </c>
      <c r="O715" s="2" t="str">
        <f>IF(AND(Table1[[#This Row],[fixed acidity]]&gt;Sheet1!$C$4,Table1[[#This Row],[pH]]&lt;Sheet1!$K$4),"High","Normal")</f>
        <v>Normal</v>
      </c>
      <c r="P715" s="1">
        <f>(Table1[[#This Row],[alcohol]]*2)+(Table1[[#This Row],[sulphates]]*1.5)-(Table1[[#This Row],[volatile acidity]]*2)</f>
        <v>18.630000000000003</v>
      </c>
      <c r="Q715" s="1">
        <f>RANK(Table1[[#This Row],[Quality_score_index]],Table1[Quality_score_index],0)</f>
        <v>1330</v>
      </c>
      <c r="R715" s="1">
        <f>Table1[[#This Row],[total sulfur dioxide]]-Table1[[#This Row],[free sulfur dioxide]]</f>
        <v>38</v>
      </c>
      <c r="S715" s="1" t="str">
        <f>IF(AND(Table1[[#This Row],[pH]]&gt;=3.2,Table1[[#This Row],[alcohol]]&gt;=10),"White wine","Red wine")</f>
        <v>Red wine</v>
      </c>
    </row>
    <row r="716" spans="1:19" x14ac:dyDescent="0.3">
      <c r="A716" s="13">
        <v>715</v>
      </c>
      <c r="B716" s="1">
        <v>9.9</v>
      </c>
      <c r="C716" s="1">
        <v>0.74</v>
      </c>
      <c r="D716" s="1">
        <v>0.28000000000000003</v>
      </c>
      <c r="E716" s="1">
        <v>2.6</v>
      </c>
      <c r="F716" s="1">
        <v>7.8E-2</v>
      </c>
      <c r="G716" s="1">
        <v>21</v>
      </c>
      <c r="H716" s="1">
        <v>77</v>
      </c>
      <c r="I716" s="1">
        <v>0.998</v>
      </c>
      <c r="J716" s="1">
        <v>3.28</v>
      </c>
      <c r="K716" s="1">
        <v>0.51</v>
      </c>
      <c r="L716" s="1">
        <v>9.8000000000000007</v>
      </c>
      <c r="M716" s="2">
        <v>5</v>
      </c>
      <c r="N716" s="2" t="str" cm="1">
        <f t="array" ref="N716">_xlfn.IFS(Table1[[#This Row],[quality]]&lt;=4,"Low",Table1[[#This Row],[quality]]&lt;=6,"Medium",Table1[[#This Row],[quality]]&gt;=7,"High")</f>
        <v>Medium</v>
      </c>
      <c r="O716" s="2" t="str">
        <f>IF(AND(Table1[[#This Row],[fixed acidity]]&gt;Sheet1!$C$4,Table1[[#This Row],[pH]]&lt;Sheet1!$K$4),"High","Normal")</f>
        <v>High</v>
      </c>
      <c r="P716" s="1">
        <f>(Table1[[#This Row],[alcohol]]*2)+(Table1[[#This Row],[sulphates]]*1.5)-(Table1[[#This Row],[volatile acidity]]*2)</f>
        <v>18.885000000000002</v>
      </c>
      <c r="Q716" s="1">
        <f>RANK(Table1[[#This Row],[Quality_score_index]],Table1[Quality_score_index],0)</f>
        <v>1210</v>
      </c>
      <c r="R716" s="1">
        <f>Table1[[#This Row],[total sulfur dioxide]]-Table1[[#This Row],[free sulfur dioxide]]</f>
        <v>56</v>
      </c>
      <c r="S716" s="1" t="str">
        <f>IF(AND(Table1[[#This Row],[pH]]&gt;=3.2,Table1[[#This Row],[alcohol]]&gt;=10),"White wine","Red wine")</f>
        <v>Red wine</v>
      </c>
    </row>
    <row r="717" spans="1:19" x14ac:dyDescent="0.3">
      <c r="A717" s="13">
        <v>716</v>
      </c>
      <c r="B717" s="1">
        <v>7.2</v>
      </c>
      <c r="C717" s="1">
        <v>0.49</v>
      </c>
      <c r="D717" s="1">
        <v>0.18</v>
      </c>
      <c r="E717" s="1">
        <v>2.7</v>
      </c>
      <c r="F717" s="1">
        <v>6.9000000000000006E-2</v>
      </c>
      <c r="G717" s="1">
        <v>13</v>
      </c>
      <c r="H717" s="1">
        <v>34</v>
      </c>
      <c r="I717" s="1">
        <v>0.99670000000000003</v>
      </c>
      <c r="J717" s="1">
        <v>3.29</v>
      </c>
      <c r="K717" s="1">
        <v>0.48</v>
      </c>
      <c r="L717" s="1">
        <v>9.1999999999999993</v>
      </c>
      <c r="M717" s="2">
        <v>6</v>
      </c>
      <c r="N717" s="2" t="str" cm="1">
        <f t="array" ref="N717">_xlfn.IFS(Table1[[#This Row],[quality]]&lt;=4,"Low",Table1[[#This Row],[quality]]&lt;=6,"Medium",Table1[[#This Row],[quality]]&gt;=7,"High")</f>
        <v>Medium</v>
      </c>
      <c r="O717" s="2" t="str">
        <f>IF(AND(Table1[[#This Row],[fixed acidity]]&gt;Sheet1!$C$4,Table1[[#This Row],[pH]]&lt;Sheet1!$K$4),"High","Normal")</f>
        <v>Normal</v>
      </c>
      <c r="P717" s="1">
        <f>(Table1[[#This Row],[alcohol]]*2)+(Table1[[#This Row],[sulphates]]*1.5)-(Table1[[#This Row],[volatile acidity]]*2)</f>
        <v>18.139999999999997</v>
      </c>
      <c r="Q717" s="1">
        <f>RANK(Table1[[#This Row],[Quality_score_index]],Table1[Quality_score_index],0)</f>
        <v>1493</v>
      </c>
      <c r="R717" s="1">
        <f>Table1[[#This Row],[total sulfur dioxide]]-Table1[[#This Row],[free sulfur dioxide]]</f>
        <v>21</v>
      </c>
      <c r="S717" s="1" t="str">
        <f>IF(AND(Table1[[#This Row],[pH]]&gt;=3.2,Table1[[#This Row],[alcohol]]&gt;=10),"White wine","Red wine")</f>
        <v>Red wine</v>
      </c>
    </row>
    <row r="718" spans="1:19" x14ac:dyDescent="0.3">
      <c r="A718" s="13">
        <v>717</v>
      </c>
      <c r="B718" s="1">
        <v>8</v>
      </c>
      <c r="C718" s="1">
        <v>0.43</v>
      </c>
      <c r="D718" s="1">
        <v>0.36</v>
      </c>
      <c r="E718" s="1">
        <v>2.2999999999999998</v>
      </c>
      <c r="F718" s="1">
        <v>7.4999999999999997E-2</v>
      </c>
      <c r="G718" s="1">
        <v>10</v>
      </c>
      <c r="H718" s="1">
        <v>48</v>
      </c>
      <c r="I718" s="1">
        <v>0.99760000000000004</v>
      </c>
      <c r="J718" s="1">
        <v>3.34</v>
      </c>
      <c r="K718" s="1">
        <v>0.46</v>
      </c>
      <c r="L718" s="1">
        <v>9.4</v>
      </c>
      <c r="M718" s="2">
        <v>5</v>
      </c>
      <c r="N718" s="2" t="str" cm="1">
        <f t="array" ref="N718">_xlfn.IFS(Table1[[#This Row],[quality]]&lt;=4,"Low",Table1[[#This Row],[quality]]&lt;=6,"Medium",Table1[[#This Row],[quality]]&gt;=7,"High")</f>
        <v>Medium</v>
      </c>
      <c r="O718" s="2" t="str">
        <f>IF(AND(Table1[[#This Row],[fixed acidity]]&gt;Sheet1!$C$4,Table1[[#This Row],[pH]]&lt;Sheet1!$K$4),"High","Normal")</f>
        <v>Normal</v>
      </c>
      <c r="P718" s="1">
        <f>(Table1[[#This Row],[alcohol]]*2)+(Table1[[#This Row],[sulphates]]*1.5)-(Table1[[#This Row],[volatile acidity]]*2)</f>
        <v>18.630000000000003</v>
      </c>
      <c r="Q718" s="1">
        <f>RANK(Table1[[#This Row],[Quality_score_index]],Table1[Quality_score_index],0)</f>
        <v>1330</v>
      </c>
      <c r="R718" s="1">
        <f>Table1[[#This Row],[total sulfur dioxide]]-Table1[[#This Row],[free sulfur dioxide]]</f>
        <v>38</v>
      </c>
      <c r="S718" s="1" t="str">
        <f>IF(AND(Table1[[#This Row],[pH]]&gt;=3.2,Table1[[#This Row],[alcohol]]&gt;=10),"White wine","Red wine")</f>
        <v>Red wine</v>
      </c>
    </row>
    <row r="719" spans="1:19" x14ac:dyDescent="0.3">
      <c r="A719" s="13">
        <v>718</v>
      </c>
      <c r="B719" s="1">
        <v>7.6</v>
      </c>
      <c r="C719" s="1">
        <v>0.46</v>
      </c>
      <c r="D719" s="1">
        <v>0.11</v>
      </c>
      <c r="E719" s="1">
        <v>2.6</v>
      </c>
      <c r="F719" s="1">
        <v>7.9000000000000001E-2</v>
      </c>
      <c r="G719" s="1">
        <v>12</v>
      </c>
      <c r="H719" s="1">
        <v>49</v>
      </c>
      <c r="I719" s="1">
        <v>0.99680000000000002</v>
      </c>
      <c r="J719" s="1">
        <v>3.21</v>
      </c>
      <c r="K719" s="1">
        <v>0.56999999999999995</v>
      </c>
      <c r="L719" s="1">
        <v>10</v>
      </c>
      <c r="M719" s="2">
        <v>5</v>
      </c>
      <c r="N719" s="2" t="str" cm="1">
        <f t="array" ref="N719">_xlfn.IFS(Table1[[#This Row],[quality]]&lt;=4,"Low",Table1[[#This Row],[quality]]&lt;=6,"Medium",Table1[[#This Row],[quality]]&gt;=7,"High")</f>
        <v>Medium</v>
      </c>
      <c r="O719" s="2" t="str">
        <f>IF(AND(Table1[[#This Row],[fixed acidity]]&gt;Sheet1!$C$4,Table1[[#This Row],[pH]]&lt;Sheet1!$K$4),"High","Normal")</f>
        <v>Normal</v>
      </c>
      <c r="P719" s="1">
        <f>(Table1[[#This Row],[alcohol]]*2)+(Table1[[#This Row],[sulphates]]*1.5)-(Table1[[#This Row],[volatile acidity]]*2)</f>
        <v>19.934999999999999</v>
      </c>
      <c r="Q719" s="1">
        <f>RANK(Table1[[#This Row],[Quality_score_index]],Table1[Quality_score_index],0)</f>
        <v>867</v>
      </c>
      <c r="R719" s="1">
        <f>Table1[[#This Row],[total sulfur dioxide]]-Table1[[#This Row],[free sulfur dioxide]]</f>
        <v>37</v>
      </c>
      <c r="S719" s="1" t="str">
        <f>IF(AND(Table1[[#This Row],[pH]]&gt;=3.2,Table1[[#This Row],[alcohol]]&gt;=10),"White wine","Red wine")</f>
        <v>White wine</v>
      </c>
    </row>
    <row r="720" spans="1:19" x14ac:dyDescent="0.3">
      <c r="A720" s="13">
        <v>719</v>
      </c>
      <c r="B720" s="1">
        <v>8.4</v>
      </c>
      <c r="C720" s="1">
        <v>0.56000000000000005</v>
      </c>
      <c r="D720" s="1">
        <v>0.04</v>
      </c>
      <c r="E720" s="1">
        <v>2</v>
      </c>
      <c r="F720" s="1">
        <v>8.2000000000000003E-2</v>
      </c>
      <c r="G720" s="1">
        <v>10</v>
      </c>
      <c r="H720" s="1">
        <v>22</v>
      </c>
      <c r="I720" s="1">
        <v>0.99760000000000004</v>
      </c>
      <c r="J720" s="1">
        <v>3.22</v>
      </c>
      <c r="K720" s="1">
        <v>0.44</v>
      </c>
      <c r="L720" s="1">
        <v>9.6</v>
      </c>
      <c r="M720" s="2">
        <v>5</v>
      </c>
      <c r="N720" s="2" t="str" cm="1">
        <f t="array" ref="N720">_xlfn.IFS(Table1[[#This Row],[quality]]&lt;=4,"Low",Table1[[#This Row],[quality]]&lt;=6,"Medium",Table1[[#This Row],[quality]]&gt;=7,"High")</f>
        <v>Medium</v>
      </c>
      <c r="O720" s="2" t="str">
        <f>IF(AND(Table1[[#This Row],[fixed acidity]]&gt;Sheet1!$C$4,Table1[[#This Row],[pH]]&lt;Sheet1!$K$4),"High","Normal")</f>
        <v>High</v>
      </c>
      <c r="P720" s="1">
        <f>(Table1[[#This Row],[alcohol]]*2)+(Table1[[#This Row],[sulphates]]*1.5)-(Table1[[#This Row],[volatile acidity]]*2)</f>
        <v>18.739999999999998</v>
      </c>
      <c r="Q720" s="1">
        <f>RANK(Table1[[#This Row],[Quality_score_index]],Table1[Quality_score_index],0)</f>
        <v>1266</v>
      </c>
      <c r="R720" s="1">
        <f>Table1[[#This Row],[total sulfur dioxide]]-Table1[[#This Row],[free sulfur dioxide]]</f>
        <v>12</v>
      </c>
      <c r="S720" s="1" t="str">
        <f>IF(AND(Table1[[#This Row],[pH]]&gt;=3.2,Table1[[#This Row],[alcohol]]&gt;=10),"White wine","Red wine")</f>
        <v>Red wine</v>
      </c>
    </row>
    <row r="721" spans="1:19" x14ac:dyDescent="0.3">
      <c r="A721" s="13">
        <v>720</v>
      </c>
      <c r="B721" s="1">
        <v>7.1</v>
      </c>
      <c r="C721" s="1">
        <v>0.66</v>
      </c>
      <c r="D721" s="1">
        <v>0</v>
      </c>
      <c r="E721" s="1">
        <v>3.9</v>
      </c>
      <c r="F721" s="1">
        <v>8.5999999999999993E-2</v>
      </c>
      <c r="G721" s="1">
        <v>17</v>
      </c>
      <c r="H721" s="1">
        <v>45</v>
      </c>
      <c r="I721" s="1">
        <v>0.99760000000000004</v>
      </c>
      <c r="J721" s="1">
        <v>3.46</v>
      </c>
      <c r="K721" s="1">
        <v>0.54</v>
      </c>
      <c r="L721" s="1">
        <v>9.5</v>
      </c>
      <c r="M721" s="2">
        <v>5</v>
      </c>
      <c r="N721" s="2" t="str" cm="1">
        <f t="array" ref="N721">_xlfn.IFS(Table1[[#This Row],[quality]]&lt;=4,"Low",Table1[[#This Row],[quality]]&lt;=6,"Medium",Table1[[#This Row],[quality]]&gt;=7,"High")</f>
        <v>Medium</v>
      </c>
      <c r="O721" s="2" t="str">
        <f>IF(AND(Table1[[#This Row],[fixed acidity]]&gt;Sheet1!$C$4,Table1[[#This Row],[pH]]&lt;Sheet1!$K$4),"High","Normal")</f>
        <v>Normal</v>
      </c>
      <c r="P721" s="1">
        <f>(Table1[[#This Row],[alcohol]]*2)+(Table1[[#This Row],[sulphates]]*1.5)-(Table1[[#This Row],[volatile acidity]]*2)</f>
        <v>18.489999999999998</v>
      </c>
      <c r="Q721" s="1">
        <f>RANK(Table1[[#This Row],[Quality_score_index]],Table1[Quality_score_index],0)</f>
        <v>1377</v>
      </c>
      <c r="R721" s="1">
        <f>Table1[[#This Row],[total sulfur dioxide]]-Table1[[#This Row],[free sulfur dioxide]]</f>
        <v>28</v>
      </c>
      <c r="S721" s="1" t="str">
        <f>IF(AND(Table1[[#This Row],[pH]]&gt;=3.2,Table1[[#This Row],[alcohol]]&gt;=10),"White wine","Red wine")</f>
        <v>Red wine</v>
      </c>
    </row>
    <row r="722" spans="1:19" x14ac:dyDescent="0.3">
      <c r="A722" s="13">
        <v>721</v>
      </c>
      <c r="B722" s="1">
        <v>8.4</v>
      </c>
      <c r="C722" s="1">
        <v>0.56000000000000005</v>
      </c>
      <c r="D722" s="1">
        <v>0.04</v>
      </c>
      <c r="E722" s="1">
        <v>2</v>
      </c>
      <c r="F722" s="1">
        <v>8.2000000000000003E-2</v>
      </c>
      <c r="G722" s="1">
        <v>10</v>
      </c>
      <c r="H722" s="1">
        <v>22</v>
      </c>
      <c r="I722" s="1">
        <v>0.99760000000000004</v>
      </c>
      <c r="J722" s="1">
        <v>3.22</v>
      </c>
      <c r="K722" s="1">
        <v>0.44</v>
      </c>
      <c r="L722" s="1">
        <v>9.6</v>
      </c>
      <c r="M722" s="2">
        <v>5</v>
      </c>
      <c r="N722" s="2" t="str" cm="1">
        <f t="array" ref="N722">_xlfn.IFS(Table1[[#This Row],[quality]]&lt;=4,"Low",Table1[[#This Row],[quality]]&lt;=6,"Medium",Table1[[#This Row],[quality]]&gt;=7,"High")</f>
        <v>Medium</v>
      </c>
      <c r="O722" s="2" t="str">
        <f>IF(AND(Table1[[#This Row],[fixed acidity]]&gt;Sheet1!$C$4,Table1[[#This Row],[pH]]&lt;Sheet1!$K$4),"High","Normal")</f>
        <v>High</v>
      </c>
      <c r="P722" s="1">
        <f>(Table1[[#This Row],[alcohol]]*2)+(Table1[[#This Row],[sulphates]]*1.5)-(Table1[[#This Row],[volatile acidity]]*2)</f>
        <v>18.739999999999998</v>
      </c>
      <c r="Q722" s="1">
        <f>RANK(Table1[[#This Row],[Quality_score_index]],Table1[Quality_score_index],0)</f>
        <v>1266</v>
      </c>
      <c r="R722" s="1">
        <f>Table1[[#This Row],[total sulfur dioxide]]-Table1[[#This Row],[free sulfur dioxide]]</f>
        <v>12</v>
      </c>
      <c r="S722" s="1" t="str">
        <f>IF(AND(Table1[[#This Row],[pH]]&gt;=3.2,Table1[[#This Row],[alcohol]]&gt;=10),"White wine","Red wine")</f>
        <v>Red wine</v>
      </c>
    </row>
    <row r="723" spans="1:19" x14ac:dyDescent="0.3">
      <c r="A723" s="13">
        <v>722</v>
      </c>
      <c r="B723" s="1">
        <v>8.9</v>
      </c>
      <c r="C723" s="1">
        <v>0.48</v>
      </c>
      <c r="D723" s="1">
        <v>0.24</v>
      </c>
      <c r="E723" s="1">
        <v>2.85</v>
      </c>
      <c r="F723" s="1">
        <v>9.4E-2</v>
      </c>
      <c r="G723" s="1">
        <v>35</v>
      </c>
      <c r="H723" s="1">
        <v>106</v>
      </c>
      <c r="I723" s="1">
        <v>0.99819999999999998</v>
      </c>
      <c r="J723" s="1">
        <v>3.1</v>
      </c>
      <c r="K723" s="1">
        <v>0.53</v>
      </c>
      <c r="L723" s="1">
        <v>9.1999999999999993</v>
      </c>
      <c r="M723" s="2">
        <v>5</v>
      </c>
      <c r="N723" s="2" t="str" cm="1">
        <f t="array" ref="N723">_xlfn.IFS(Table1[[#This Row],[quality]]&lt;=4,"Low",Table1[[#This Row],[quality]]&lt;=6,"Medium",Table1[[#This Row],[quality]]&gt;=7,"High")</f>
        <v>Medium</v>
      </c>
      <c r="O723" s="2" t="str">
        <f>IF(AND(Table1[[#This Row],[fixed acidity]]&gt;Sheet1!$C$4,Table1[[#This Row],[pH]]&lt;Sheet1!$K$4),"High","Normal")</f>
        <v>High</v>
      </c>
      <c r="P723" s="1">
        <f>(Table1[[#This Row],[alcohol]]*2)+(Table1[[#This Row],[sulphates]]*1.5)-(Table1[[#This Row],[volatile acidity]]*2)</f>
        <v>18.234999999999999</v>
      </c>
      <c r="Q723" s="1">
        <f>RANK(Table1[[#This Row],[Quality_score_index]],Table1[Quality_score_index],0)</f>
        <v>1473</v>
      </c>
      <c r="R723" s="1">
        <f>Table1[[#This Row],[total sulfur dioxide]]-Table1[[#This Row],[free sulfur dioxide]]</f>
        <v>71</v>
      </c>
      <c r="S723" s="1" t="str">
        <f>IF(AND(Table1[[#This Row],[pH]]&gt;=3.2,Table1[[#This Row],[alcohol]]&gt;=10),"White wine","Red wine")</f>
        <v>Red wine</v>
      </c>
    </row>
    <row r="724" spans="1:19" x14ac:dyDescent="0.3">
      <c r="A724" s="13">
        <v>723</v>
      </c>
      <c r="B724" s="1">
        <v>7.6</v>
      </c>
      <c r="C724" s="1">
        <v>0.42</v>
      </c>
      <c r="D724" s="1">
        <v>0.08</v>
      </c>
      <c r="E724" s="1">
        <v>2.7</v>
      </c>
      <c r="F724" s="1">
        <v>8.4000000000000005E-2</v>
      </c>
      <c r="G724" s="1">
        <v>15</v>
      </c>
      <c r="H724" s="1">
        <v>48</v>
      </c>
      <c r="I724" s="1">
        <v>0.99680000000000002</v>
      </c>
      <c r="J724" s="1">
        <v>3.21</v>
      </c>
      <c r="K724" s="1">
        <v>0.59</v>
      </c>
      <c r="L724" s="1">
        <v>10</v>
      </c>
      <c r="M724" s="2">
        <v>5</v>
      </c>
      <c r="N724" s="2" t="str" cm="1">
        <f t="array" ref="N724">_xlfn.IFS(Table1[[#This Row],[quality]]&lt;=4,"Low",Table1[[#This Row],[quality]]&lt;=6,"Medium",Table1[[#This Row],[quality]]&gt;=7,"High")</f>
        <v>Medium</v>
      </c>
      <c r="O724" s="2" t="str">
        <f>IF(AND(Table1[[#This Row],[fixed acidity]]&gt;Sheet1!$C$4,Table1[[#This Row],[pH]]&lt;Sheet1!$K$4),"High","Normal")</f>
        <v>Normal</v>
      </c>
      <c r="P724" s="1">
        <f>(Table1[[#This Row],[alcohol]]*2)+(Table1[[#This Row],[sulphates]]*1.5)-(Table1[[#This Row],[volatile acidity]]*2)</f>
        <v>20.045000000000002</v>
      </c>
      <c r="Q724" s="1">
        <f>RANK(Table1[[#This Row],[Quality_score_index]],Table1[Quality_score_index],0)</f>
        <v>849</v>
      </c>
      <c r="R724" s="1">
        <f>Table1[[#This Row],[total sulfur dioxide]]-Table1[[#This Row],[free sulfur dioxide]]</f>
        <v>33</v>
      </c>
      <c r="S724" s="1" t="str">
        <f>IF(AND(Table1[[#This Row],[pH]]&gt;=3.2,Table1[[#This Row],[alcohol]]&gt;=10),"White wine","Red wine")</f>
        <v>White wine</v>
      </c>
    </row>
    <row r="725" spans="1:19" x14ac:dyDescent="0.3">
      <c r="A725" s="13">
        <v>724</v>
      </c>
      <c r="B725" s="1">
        <v>7.1</v>
      </c>
      <c r="C725" s="1">
        <v>0.31</v>
      </c>
      <c r="D725" s="1">
        <v>0.3</v>
      </c>
      <c r="E725" s="1">
        <v>2.2000000000000002</v>
      </c>
      <c r="F725" s="1">
        <v>5.2999999999999999E-2</v>
      </c>
      <c r="G725" s="1">
        <v>36</v>
      </c>
      <c r="H725" s="1">
        <v>127</v>
      </c>
      <c r="I725" s="1">
        <v>0.99650000000000005</v>
      </c>
      <c r="J725" s="1">
        <v>2.94</v>
      </c>
      <c r="K725" s="1">
        <v>1.62</v>
      </c>
      <c r="L725" s="1">
        <v>9.5</v>
      </c>
      <c r="M725" s="2">
        <v>5</v>
      </c>
      <c r="N725" s="2" t="str" cm="1">
        <f t="array" ref="N725">_xlfn.IFS(Table1[[#This Row],[quality]]&lt;=4,"Low",Table1[[#This Row],[quality]]&lt;=6,"Medium",Table1[[#This Row],[quality]]&gt;=7,"High")</f>
        <v>Medium</v>
      </c>
      <c r="O725" s="2" t="str">
        <f>IF(AND(Table1[[#This Row],[fixed acidity]]&gt;Sheet1!$C$4,Table1[[#This Row],[pH]]&lt;Sheet1!$K$4),"High","Normal")</f>
        <v>Normal</v>
      </c>
      <c r="P725" s="1">
        <f>(Table1[[#This Row],[alcohol]]*2)+(Table1[[#This Row],[sulphates]]*1.5)-(Table1[[#This Row],[volatile acidity]]*2)</f>
        <v>20.81</v>
      </c>
      <c r="Q725" s="1">
        <f>RANK(Table1[[#This Row],[Quality_score_index]],Table1[Quality_score_index],0)</f>
        <v>695</v>
      </c>
      <c r="R725" s="1">
        <f>Table1[[#This Row],[total sulfur dioxide]]-Table1[[#This Row],[free sulfur dioxide]]</f>
        <v>91</v>
      </c>
      <c r="S725" s="1" t="str">
        <f>IF(AND(Table1[[#This Row],[pH]]&gt;=3.2,Table1[[#This Row],[alcohol]]&gt;=10),"White wine","Red wine")</f>
        <v>Red wine</v>
      </c>
    </row>
    <row r="726" spans="1:19" x14ac:dyDescent="0.3">
      <c r="A726" s="13">
        <v>725</v>
      </c>
      <c r="B726" s="1">
        <v>7.5</v>
      </c>
      <c r="C726" s="1">
        <v>1.115</v>
      </c>
      <c r="D726" s="1">
        <v>0.1</v>
      </c>
      <c r="E726" s="1">
        <v>3.1</v>
      </c>
      <c r="F726" s="1">
        <v>8.5999999999999993E-2</v>
      </c>
      <c r="G726" s="1">
        <v>5</v>
      </c>
      <c r="H726" s="1">
        <v>12</v>
      </c>
      <c r="I726" s="1">
        <v>0.99580000000000002</v>
      </c>
      <c r="J726" s="1">
        <v>3.54</v>
      </c>
      <c r="K726" s="1">
        <v>0.6</v>
      </c>
      <c r="L726" s="1">
        <v>11.2</v>
      </c>
      <c r="M726" s="2">
        <v>4</v>
      </c>
      <c r="N726" s="2" t="str" cm="1">
        <f t="array" ref="N726">_xlfn.IFS(Table1[[#This Row],[quality]]&lt;=4,"Low",Table1[[#This Row],[quality]]&lt;=6,"Medium",Table1[[#This Row],[quality]]&gt;=7,"High")</f>
        <v>Low</v>
      </c>
      <c r="O726" s="2" t="str">
        <f>IF(AND(Table1[[#This Row],[fixed acidity]]&gt;Sheet1!$C$4,Table1[[#This Row],[pH]]&lt;Sheet1!$K$4),"High","Normal")</f>
        <v>Normal</v>
      </c>
      <c r="P726" s="1">
        <f>(Table1[[#This Row],[alcohol]]*2)+(Table1[[#This Row],[sulphates]]*1.5)-(Table1[[#This Row],[volatile acidity]]*2)</f>
        <v>21.069999999999997</v>
      </c>
      <c r="Q726" s="1">
        <f>RANK(Table1[[#This Row],[Quality_score_index]],Table1[Quality_score_index],0)</f>
        <v>637</v>
      </c>
      <c r="R726" s="1">
        <f>Table1[[#This Row],[total sulfur dioxide]]-Table1[[#This Row],[free sulfur dioxide]]</f>
        <v>7</v>
      </c>
      <c r="S726" s="1" t="str">
        <f>IF(AND(Table1[[#This Row],[pH]]&gt;=3.2,Table1[[#This Row],[alcohol]]&gt;=10),"White wine","Red wine")</f>
        <v>White wine</v>
      </c>
    </row>
    <row r="727" spans="1:19" x14ac:dyDescent="0.3">
      <c r="A727" s="13">
        <v>726</v>
      </c>
      <c r="B727" s="1">
        <v>9</v>
      </c>
      <c r="C727" s="1">
        <v>0.66</v>
      </c>
      <c r="D727" s="1">
        <v>0.17</v>
      </c>
      <c r="E727" s="1">
        <v>3</v>
      </c>
      <c r="F727" s="1">
        <v>7.6999999999999999E-2</v>
      </c>
      <c r="G727" s="1">
        <v>5</v>
      </c>
      <c r="H727" s="1">
        <v>13</v>
      </c>
      <c r="I727" s="1">
        <v>0.99760000000000004</v>
      </c>
      <c r="J727" s="1">
        <v>3.29</v>
      </c>
      <c r="K727" s="1">
        <v>0.55000000000000004</v>
      </c>
      <c r="L727" s="1">
        <v>10.4</v>
      </c>
      <c r="M727" s="2">
        <v>5</v>
      </c>
      <c r="N727" s="2" t="str" cm="1">
        <f t="array" ref="N727">_xlfn.IFS(Table1[[#This Row],[quality]]&lt;=4,"Low",Table1[[#This Row],[quality]]&lt;=6,"Medium",Table1[[#This Row],[quality]]&gt;=7,"High")</f>
        <v>Medium</v>
      </c>
      <c r="O727" s="2" t="str">
        <f>IF(AND(Table1[[#This Row],[fixed acidity]]&gt;Sheet1!$C$4,Table1[[#This Row],[pH]]&lt;Sheet1!$K$4),"High","Normal")</f>
        <v>High</v>
      </c>
      <c r="P727" s="1">
        <f>(Table1[[#This Row],[alcohol]]*2)+(Table1[[#This Row],[sulphates]]*1.5)-(Table1[[#This Row],[volatile acidity]]*2)</f>
        <v>20.305</v>
      </c>
      <c r="Q727" s="1">
        <f>RANK(Table1[[#This Row],[Quality_score_index]],Table1[Quality_score_index],0)</f>
        <v>791</v>
      </c>
      <c r="R727" s="1">
        <f>Table1[[#This Row],[total sulfur dioxide]]-Table1[[#This Row],[free sulfur dioxide]]</f>
        <v>8</v>
      </c>
      <c r="S727" s="1" t="str">
        <f>IF(AND(Table1[[#This Row],[pH]]&gt;=3.2,Table1[[#This Row],[alcohol]]&gt;=10),"White wine","Red wine")</f>
        <v>White wine</v>
      </c>
    </row>
    <row r="728" spans="1:19" x14ac:dyDescent="0.3">
      <c r="A728" s="13">
        <v>727</v>
      </c>
      <c r="B728" s="1">
        <v>8.1</v>
      </c>
      <c r="C728" s="1">
        <v>0.72</v>
      </c>
      <c r="D728" s="1">
        <v>0.09</v>
      </c>
      <c r="E728" s="1">
        <v>2.8</v>
      </c>
      <c r="F728" s="1">
        <v>8.4000000000000005E-2</v>
      </c>
      <c r="G728" s="1">
        <v>18</v>
      </c>
      <c r="H728" s="1">
        <v>49</v>
      </c>
      <c r="I728" s="1">
        <v>0.99939999999999996</v>
      </c>
      <c r="J728" s="1">
        <v>3.43</v>
      </c>
      <c r="K728" s="1">
        <v>0.72</v>
      </c>
      <c r="L728" s="1">
        <v>11.1</v>
      </c>
      <c r="M728" s="2">
        <v>6</v>
      </c>
      <c r="N728" s="2" t="str" cm="1">
        <f t="array" ref="N728">_xlfn.IFS(Table1[[#This Row],[quality]]&lt;=4,"Low",Table1[[#This Row],[quality]]&lt;=6,"Medium",Table1[[#This Row],[quality]]&gt;=7,"High")</f>
        <v>Medium</v>
      </c>
      <c r="O728" s="2" t="str">
        <f>IF(AND(Table1[[#This Row],[fixed acidity]]&gt;Sheet1!$C$4,Table1[[#This Row],[pH]]&lt;Sheet1!$K$4),"High","Normal")</f>
        <v>Normal</v>
      </c>
      <c r="P728" s="1">
        <f>(Table1[[#This Row],[alcohol]]*2)+(Table1[[#This Row],[sulphates]]*1.5)-(Table1[[#This Row],[volatile acidity]]*2)</f>
        <v>21.84</v>
      </c>
      <c r="Q728" s="1">
        <f>RANK(Table1[[#This Row],[Quality_score_index]],Table1[Quality_score_index],0)</f>
        <v>475</v>
      </c>
      <c r="R728" s="1">
        <f>Table1[[#This Row],[total sulfur dioxide]]-Table1[[#This Row],[free sulfur dioxide]]</f>
        <v>31</v>
      </c>
      <c r="S728" s="1" t="str">
        <f>IF(AND(Table1[[#This Row],[pH]]&gt;=3.2,Table1[[#This Row],[alcohol]]&gt;=10),"White wine","Red wine")</f>
        <v>White wine</v>
      </c>
    </row>
    <row r="729" spans="1:19" x14ac:dyDescent="0.3">
      <c r="A729" s="13">
        <v>728</v>
      </c>
      <c r="B729" s="1">
        <v>6.4</v>
      </c>
      <c r="C729" s="1">
        <v>0.56999999999999995</v>
      </c>
      <c r="D729" s="1">
        <v>0.02</v>
      </c>
      <c r="E729" s="1">
        <v>1.8</v>
      </c>
      <c r="F729" s="1">
        <v>6.7000000000000004E-2</v>
      </c>
      <c r="G729" s="1">
        <v>4</v>
      </c>
      <c r="H729" s="1">
        <v>11</v>
      </c>
      <c r="I729" s="1">
        <v>0.997</v>
      </c>
      <c r="J729" s="1">
        <v>3.46</v>
      </c>
      <c r="K729" s="1">
        <v>0.68</v>
      </c>
      <c r="L729" s="1">
        <v>9.5</v>
      </c>
      <c r="M729" s="2">
        <v>5</v>
      </c>
      <c r="N729" s="2" t="str" cm="1">
        <f t="array" ref="N729">_xlfn.IFS(Table1[[#This Row],[quality]]&lt;=4,"Low",Table1[[#This Row],[quality]]&lt;=6,"Medium",Table1[[#This Row],[quality]]&gt;=7,"High")</f>
        <v>Medium</v>
      </c>
      <c r="O729" s="2" t="str">
        <f>IF(AND(Table1[[#This Row],[fixed acidity]]&gt;Sheet1!$C$4,Table1[[#This Row],[pH]]&lt;Sheet1!$K$4),"High","Normal")</f>
        <v>Normal</v>
      </c>
      <c r="P729" s="1">
        <f>(Table1[[#This Row],[alcohol]]*2)+(Table1[[#This Row],[sulphates]]*1.5)-(Table1[[#This Row],[volatile acidity]]*2)</f>
        <v>18.88</v>
      </c>
      <c r="Q729" s="1">
        <f>RANK(Table1[[#This Row],[Quality_score_index]],Table1[Quality_score_index],0)</f>
        <v>1211</v>
      </c>
      <c r="R729" s="1">
        <f>Table1[[#This Row],[total sulfur dioxide]]-Table1[[#This Row],[free sulfur dioxide]]</f>
        <v>7</v>
      </c>
      <c r="S729" s="1" t="str">
        <f>IF(AND(Table1[[#This Row],[pH]]&gt;=3.2,Table1[[#This Row],[alcohol]]&gt;=10),"White wine","Red wine")</f>
        <v>Red wine</v>
      </c>
    </row>
    <row r="730" spans="1:19" x14ac:dyDescent="0.3">
      <c r="A730" s="13">
        <v>729</v>
      </c>
      <c r="B730" s="1">
        <v>6.4</v>
      </c>
      <c r="C730" s="1">
        <v>0.56999999999999995</v>
      </c>
      <c r="D730" s="1">
        <v>0.02</v>
      </c>
      <c r="E730" s="1">
        <v>1.8</v>
      </c>
      <c r="F730" s="1">
        <v>6.7000000000000004E-2</v>
      </c>
      <c r="G730" s="1">
        <v>4</v>
      </c>
      <c r="H730" s="1">
        <v>11</v>
      </c>
      <c r="I730" s="1">
        <v>0.997</v>
      </c>
      <c r="J730" s="1">
        <v>3.46</v>
      </c>
      <c r="K730" s="1">
        <v>0.68</v>
      </c>
      <c r="L730" s="1">
        <v>9.5</v>
      </c>
      <c r="M730" s="2">
        <v>5</v>
      </c>
      <c r="N730" s="2" t="str" cm="1">
        <f t="array" ref="N730">_xlfn.IFS(Table1[[#This Row],[quality]]&lt;=4,"Low",Table1[[#This Row],[quality]]&lt;=6,"Medium",Table1[[#This Row],[quality]]&gt;=7,"High")</f>
        <v>Medium</v>
      </c>
      <c r="O730" s="2" t="str">
        <f>IF(AND(Table1[[#This Row],[fixed acidity]]&gt;Sheet1!$C$4,Table1[[#This Row],[pH]]&lt;Sheet1!$K$4),"High","Normal")</f>
        <v>Normal</v>
      </c>
      <c r="P730" s="1">
        <f>(Table1[[#This Row],[alcohol]]*2)+(Table1[[#This Row],[sulphates]]*1.5)-(Table1[[#This Row],[volatile acidity]]*2)</f>
        <v>18.88</v>
      </c>
      <c r="Q730" s="1">
        <f>RANK(Table1[[#This Row],[Quality_score_index]],Table1[Quality_score_index],0)</f>
        <v>1211</v>
      </c>
      <c r="R730" s="1">
        <f>Table1[[#This Row],[total sulfur dioxide]]-Table1[[#This Row],[free sulfur dioxide]]</f>
        <v>7</v>
      </c>
      <c r="S730" s="1" t="str">
        <f>IF(AND(Table1[[#This Row],[pH]]&gt;=3.2,Table1[[#This Row],[alcohol]]&gt;=10),"White wine","Red wine")</f>
        <v>Red wine</v>
      </c>
    </row>
    <row r="731" spans="1:19" x14ac:dyDescent="0.3">
      <c r="A731" s="13">
        <v>730</v>
      </c>
      <c r="B731" s="1">
        <v>6.4</v>
      </c>
      <c r="C731" s="1">
        <v>0.86499999999999999</v>
      </c>
      <c r="D731" s="1">
        <v>0.03</v>
      </c>
      <c r="E731" s="1">
        <v>3.2</v>
      </c>
      <c r="F731" s="1">
        <v>7.0999999999999994E-2</v>
      </c>
      <c r="G731" s="1">
        <v>27</v>
      </c>
      <c r="H731" s="1">
        <v>58</v>
      </c>
      <c r="I731" s="1">
        <v>0.995</v>
      </c>
      <c r="J731" s="1">
        <v>3.61</v>
      </c>
      <c r="K731" s="1">
        <v>0.49</v>
      </c>
      <c r="L731" s="1">
        <v>12.7</v>
      </c>
      <c r="M731" s="2">
        <v>6</v>
      </c>
      <c r="N731" s="2" t="str" cm="1">
        <f t="array" ref="N731">_xlfn.IFS(Table1[[#This Row],[quality]]&lt;=4,"Low",Table1[[#This Row],[quality]]&lt;=6,"Medium",Table1[[#This Row],[quality]]&gt;=7,"High")</f>
        <v>Medium</v>
      </c>
      <c r="O731" s="2" t="str">
        <f>IF(AND(Table1[[#This Row],[fixed acidity]]&gt;Sheet1!$C$4,Table1[[#This Row],[pH]]&lt;Sheet1!$K$4),"High","Normal")</f>
        <v>Normal</v>
      </c>
      <c r="P731" s="1">
        <f>(Table1[[#This Row],[alcohol]]*2)+(Table1[[#This Row],[sulphates]]*1.5)-(Table1[[#This Row],[volatile acidity]]*2)</f>
        <v>24.404999999999998</v>
      </c>
      <c r="Q731" s="1">
        <f>RANK(Table1[[#This Row],[Quality_score_index]],Table1[Quality_score_index],0)</f>
        <v>140</v>
      </c>
      <c r="R731" s="1">
        <f>Table1[[#This Row],[total sulfur dioxide]]-Table1[[#This Row],[free sulfur dioxide]]</f>
        <v>31</v>
      </c>
      <c r="S731" s="1" t="str">
        <f>IF(AND(Table1[[#This Row],[pH]]&gt;=3.2,Table1[[#This Row],[alcohol]]&gt;=10),"White wine","Red wine")</f>
        <v>White wine</v>
      </c>
    </row>
    <row r="732" spans="1:19" x14ac:dyDescent="0.3">
      <c r="A732" s="13">
        <v>731</v>
      </c>
      <c r="B732" s="1">
        <v>9.5</v>
      </c>
      <c r="C732" s="1">
        <v>0.55000000000000004</v>
      </c>
      <c r="D732" s="1">
        <v>0.66</v>
      </c>
      <c r="E732" s="1">
        <v>2.2999999999999998</v>
      </c>
      <c r="F732" s="1">
        <v>0.38700000000000001</v>
      </c>
      <c r="G732" s="1">
        <v>12</v>
      </c>
      <c r="H732" s="1">
        <v>37</v>
      </c>
      <c r="I732" s="1">
        <v>0.99819999999999998</v>
      </c>
      <c r="J732" s="1">
        <v>3.17</v>
      </c>
      <c r="K732" s="1">
        <v>0.67</v>
      </c>
      <c r="L732" s="1">
        <v>9.6</v>
      </c>
      <c r="M732" s="2">
        <v>5</v>
      </c>
      <c r="N732" s="2" t="str" cm="1">
        <f t="array" ref="N732">_xlfn.IFS(Table1[[#This Row],[quality]]&lt;=4,"Low",Table1[[#This Row],[quality]]&lt;=6,"Medium",Table1[[#This Row],[quality]]&gt;=7,"High")</f>
        <v>Medium</v>
      </c>
      <c r="O732" s="2" t="str">
        <f>IF(AND(Table1[[#This Row],[fixed acidity]]&gt;Sheet1!$C$4,Table1[[#This Row],[pH]]&lt;Sheet1!$K$4),"High","Normal")</f>
        <v>High</v>
      </c>
      <c r="P732" s="1">
        <f>(Table1[[#This Row],[alcohol]]*2)+(Table1[[#This Row],[sulphates]]*1.5)-(Table1[[#This Row],[volatile acidity]]*2)</f>
        <v>19.104999999999997</v>
      </c>
      <c r="Q732" s="1">
        <f>RANK(Table1[[#This Row],[Quality_score_index]],Table1[Quality_score_index],0)</f>
        <v>1120</v>
      </c>
      <c r="R732" s="1">
        <f>Table1[[#This Row],[total sulfur dioxide]]-Table1[[#This Row],[free sulfur dioxide]]</f>
        <v>25</v>
      </c>
      <c r="S732" s="1" t="str">
        <f>IF(AND(Table1[[#This Row],[pH]]&gt;=3.2,Table1[[#This Row],[alcohol]]&gt;=10),"White wine","Red wine")</f>
        <v>Red wine</v>
      </c>
    </row>
    <row r="733" spans="1:19" x14ac:dyDescent="0.3">
      <c r="A733" s="13">
        <v>732</v>
      </c>
      <c r="B733" s="1">
        <v>8.9</v>
      </c>
      <c r="C733" s="1">
        <v>0.875</v>
      </c>
      <c r="D733" s="1">
        <v>0.13</v>
      </c>
      <c r="E733" s="1">
        <v>3.45</v>
      </c>
      <c r="F733" s="1">
        <v>8.7999999999999995E-2</v>
      </c>
      <c r="G733" s="1">
        <v>4</v>
      </c>
      <c r="H733" s="1">
        <v>14</v>
      </c>
      <c r="I733" s="1">
        <v>0.99939999999999996</v>
      </c>
      <c r="J733" s="1">
        <v>3.44</v>
      </c>
      <c r="K733" s="1">
        <v>0.52</v>
      </c>
      <c r="L733" s="1">
        <v>11.5</v>
      </c>
      <c r="M733" s="2">
        <v>5</v>
      </c>
      <c r="N733" s="2" t="str" cm="1">
        <f t="array" ref="N733">_xlfn.IFS(Table1[[#This Row],[quality]]&lt;=4,"Low",Table1[[#This Row],[quality]]&lt;=6,"Medium",Table1[[#This Row],[quality]]&gt;=7,"High")</f>
        <v>Medium</v>
      </c>
      <c r="O733" s="2" t="str">
        <f>IF(AND(Table1[[#This Row],[fixed acidity]]&gt;Sheet1!$C$4,Table1[[#This Row],[pH]]&lt;Sheet1!$K$4),"High","Normal")</f>
        <v>Normal</v>
      </c>
      <c r="P733" s="1">
        <f>(Table1[[#This Row],[alcohol]]*2)+(Table1[[#This Row],[sulphates]]*1.5)-(Table1[[#This Row],[volatile acidity]]*2)</f>
        <v>22.03</v>
      </c>
      <c r="Q733" s="1">
        <f>RANK(Table1[[#This Row],[Quality_score_index]],Table1[Quality_score_index],0)</f>
        <v>450</v>
      </c>
      <c r="R733" s="1">
        <f>Table1[[#This Row],[total sulfur dioxide]]-Table1[[#This Row],[free sulfur dioxide]]</f>
        <v>10</v>
      </c>
      <c r="S733" s="1" t="str">
        <f>IF(AND(Table1[[#This Row],[pH]]&gt;=3.2,Table1[[#This Row],[alcohol]]&gt;=10),"White wine","Red wine")</f>
        <v>White wine</v>
      </c>
    </row>
    <row r="734" spans="1:19" x14ac:dyDescent="0.3">
      <c r="A734" s="13">
        <v>733</v>
      </c>
      <c r="B734" s="1">
        <v>7.3</v>
      </c>
      <c r="C734" s="1">
        <v>0.83499999999999996</v>
      </c>
      <c r="D734" s="1">
        <v>0.03</v>
      </c>
      <c r="E734" s="1">
        <v>2.1</v>
      </c>
      <c r="F734" s="1">
        <v>9.1999999999999998E-2</v>
      </c>
      <c r="G734" s="1">
        <v>10</v>
      </c>
      <c r="H734" s="1">
        <v>19</v>
      </c>
      <c r="I734" s="1">
        <v>0.99660000000000004</v>
      </c>
      <c r="J734" s="1">
        <v>3.39</v>
      </c>
      <c r="K734" s="1">
        <v>0.47</v>
      </c>
      <c r="L734" s="1">
        <v>9.6</v>
      </c>
      <c r="M734" s="2">
        <v>5</v>
      </c>
      <c r="N734" s="2" t="str" cm="1">
        <f t="array" ref="N734">_xlfn.IFS(Table1[[#This Row],[quality]]&lt;=4,"Low",Table1[[#This Row],[quality]]&lt;=6,"Medium",Table1[[#This Row],[quality]]&gt;=7,"High")</f>
        <v>Medium</v>
      </c>
      <c r="O734" s="2" t="str">
        <f>IF(AND(Table1[[#This Row],[fixed acidity]]&gt;Sheet1!$C$4,Table1[[#This Row],[pH]]&lt;Sheet1!$K$4),"High","Normal")</f>
        <v>Normal</v>
      </c>
      <c r="P734" s="1">
        <f>(Table1[[#This Row],[alcohol]]*2)+(Table1[[#This Row],[sulphates]]*1.5)-(Table1[[#This Row],[volatile acidity]]*2)</f>
        <v>18.234999999999999</v>
      </c>
      <c r="Q734" s="1">
        <f>RANK(Table1[[#This Row],[Quality_score_index]],Table1[Quality_score_index],0)</f>
        <v>1473</v>
      </c>
      <c r="R734" s="1">
        <f>Table1[[#This Row],[total sulfur dioxide]]-Table1[[#This Row],[free sulfur dioxide]]</f>
        <v>9</v>
      </c>
      <c r="S734" s="1" t="str">
        <f>IF(AND(Table1[[#This Row],[pH]]&gt;=3.2,Table1[[#This Row],[alcohol]]&gt;=10),"White wine","Red wine")</f>
        <v>Red wine</v>
      </c>
    </row>
    <row r="735" spans="1:19" x14ac:dyDescent="0.3">
      <c r="A735" s="13">
        <v>734</v>
      </c>
      <c r="B735" s="1">
        <v>7</v>
      </c>
      <c r="C735" s="1">
        <v>0.45</v>
      </c>
      <c r="D735" s="1">
        <v>0.34</v>
      </c>
      <c r="E735" s="1">
        <v>2.7</v>
      </c>
      <c r="F735" s="1">
        <v>8.2000000000000003E-2</v>
      </c>
      <c r="G735" s="1">
        <v>16</v>
      </c>
      <c r="H735" s="1">
        <v>72</v>
      </c>
      <c r="I735" s="1">
        <v>0.998</v>
      </c>
      <c r="J735" s="1">
        <v>3.55</v>
      </c>
      <c r="K735" s="1">
        <v>0.6</v>
      </c>
      <c r="L735" s="1">
        <v>9.5</v>
      </c>
      <c r="M735" s="2">
        <v>5</v>
      </c>
      <c r="N735" s="2" t="str" cm="1">
        <f t="array" ref="N735">_xlfn.IFS(Table1[[#This Row],[quality]]&lt;=4,"Low",Table1[[#This Row],[quality]]&lt;=6,"Medium",Table1[[#This Row],[quality]]&gt;=7,"High")</f>
        <v>Medium</v>
      </c>
      <c r="O735" s="2" t="str">
        <f>IF(AND(Table1[[#This Row],[fixed acidity]]&gt;Sheet1!$C$4,Table1[[#This Row],[pH]]&lt;Sheet1!$K$4),"High","Normal")</f>
        <v>Normal</v>
      </c>
      <c r="P735" s="1">
        <f>(Table1[[#This Row],[alcohol]]*2)+(Table1[[#This Row],[sulphates]]*1.5)-(Table1[[#This Row],[volatile acidity]]*2)</f>
        <v>19</v>
      </c>
      <c r="Q735" s="1">
        <f>RANK(Table1[[#This Row],[Quality_score_index]],Table1[Quality_score_index],0)</f>
        <v>1168</v>
      </c>
      <c r="R735" s="1">
        <f>Table1[[#This Row],[total sulfur dioxide]]-Table1[[#This Row],[free sulfur dioxide]]</f>
        <v>56</v>
      </c>
      <c r="S735" s="1" t="str">
        <f>IF(AND(Table1[[#This Row],[pH]]&gt;=3.2,Table1[[#This Row],[alcohol]]&gt;=10),"White wine","Red wine")</f>
        <v>Red wine</v>
      </c>
    </row>
    <row r="736" spans="1:19" x14ac:dyDescent="0.3">
      <c r="A736" s="13">
        <v>735</v>
      </c>
      <c r="B736" s="1">
        <v>7.7</v>
      </c>
      <c r="C736" s="1">
        <v>0.56000000000000005</v>
      </c>
      <c r="D736" s="1">
        <v>0.2</v>
      </c>
      <c r="E736" s="1">
        <v>2</v>
      </c>
      <c r="F736" s="1">
        <v>7.4999999999999997E-2</v>
      </c>
      <c r="G736" s="1">
        <v>9</v>
      </c>
      <c r="H736" s="1">
        <v>39</v>
      </c>
      <c r="I736" s="1">
        <v>0.99870000000000003</v>
      </c>
      <c r="J736" s="1">
        <v>3.48</v>
      </c>
      <c r="K736" s="1">
        <v>0.62</v>
      </c>
      <c r="L736" s="1">
        <v>9.3000000000000007</v>
      </c>
      <c r="M736" s="2">
        <v>5</v>
      </c>
      <c r="N736" s="2" t="str" cm="1">
        <f t="array" ref="N736">_xlfn.IFS(Table1[[#This Row],[quality]]&lt;=4,"Low",Table1[[#This Row],[quality]]&lt;=6,"Medium",Table1[[#This Row],[quality]]&gt;=7,"High")</f>
        <v>Medium</v>
      </c>
      <c r="O736" s="2" t="str">
        <f>IF(AND(Table1[[#This Row],[fixed acidity]]&gt;Sheet1!$C$4,Table1[[#This Row],[pH]]&lt;Sheet1!$K$4),"High","Normal")</f>
        <v>Normal</v>
      </c>
      <c r="P736" s="1">
        <f>(Table1[[#This Row],[alcohol]]*2)+(Table1[[#This Row],[sulphates]]*1.5)-(Table1[[#This Row],[volatile acidity]]*2)</f>
        <v>18.41</v>
      </c>
      <c r="Q736" s="1">
        <f>RANK(Table1[[#This Row],[Quality_score_index]],Table1[Quality_score_index],0)</f>
        <v>1413</v>
      </c>
      <c r="R736" s="1">
        <f>Table1[[#This Row],[total sulfur dioxide]]-Table1[[#This Row],[free sulfur dioxide]]</f>
        <v>30</v>
      </c>
      <c r="S736" s="1" t="str">
        <f>IF(AND(Table1[[#This Row],[pH]]&gt;=3.2,Table1[[#This Row],[alcohol]]&gt;=10),"White wine","Red wine")</f>
        <v>Red wine</v>
      </c>
    </row>
    <row r="737" spans="1:19" x14ac:dyDescent="0.3">
      <c r="A737" s="13">
        <v>736</v>
      </c>
      <c r="B737" s="1">
        <v>7.7</v>
      </c>
      <c r="C737" s="1">
        <v>0.96499999999999997</v>
      </c>
      <c r="D737" s="1">
        <v>0.1</v>
      </c>
      <c r="E737" s="1">
        <v>2.1</v>
      </c>
      <c r="F737" s="1">
        <v>0.112</v>
      </c>
      <c r="G737" s="1">
        <v>11</v>
      </c>
      <c r="H737" s="1">
        <v>22</v>
      </c>
      <c r="I737" s="1">
        <v>0.99629999999999996</v>
      </c>
      <c r="J737" s="1">
        <v>3.26</v>
      </c>
      <c r="K737" s="1">
        <v>0.5</v>
      </c>
      <c r="L737" s="1">
        <v>9.5</v>
      </c>
      <c r="M737" s="2">
        <v>5</v>
      </c>
      <c r="N737" s="2" t="str" cm="1">
        <f t="array" ref="N737">_xlfn.IFS(Table1[[#This Row],[quality]]&lt;=4,"Low",Table1[[#This Row],[quality]]&lt;=6,"Medium",Table1[[#This Row],[quality]]&gt;=7,"High")</f>
        <v>Medium</v>
      </c>
      <c r="O737" s="2" t="str">
        <f>IF(AND(Table1[[#This Row],[fixed acidity]]&gt;Sheet1!$C$4,Table1[[#This Row],[pH]]&lt;Sheet1!$K$4),"High","Normal")</f>
        <v>Normal</v>
      </c>
      <c r="P737" s="1">
        <f>(Table1[[#This Row],[alcohol]]*2)+(Table1[[#This Row],[sulphates]]*1.5)-(Table1[[#This Row],[volatile acidity]]*2)</f>
        <v>17.82</v>
      </c>
      <c r="Q737" s="1">
        <f>RANK(Table1[[#This Row],[Quality_score_index]],Table1[Quality_score_index],0)</f>
        <v>1551</v>
      </c>
      <c r="R737" s="1">
        <f>Table1[[#This Row],[total sulfur dioxide]]-Table1[[#This Row],[free sulfur dioxide]]</f>
        <v>11</v>
      </c>
      <c r="S737" s="1" t="str">
        <f>IF(AND(Table1[[#This Row],[pH]]&gt;=3.2,Table1[[#This Row],[alcohol]]&gt;=10),"White wine","Red wine")</f>
        <v>Red wine</v>
      </c>
    </row>
    <row r="738" spans="1:19" x14ac:dyDescent="0.3">
      <c r="A738" s="13">
        <v>737</v>
      </c>
      <c r="B738" s="1">
        <v>7.7</v>
      </c>
      <c r="C738" s="1">
        <v>0.96499999999999997</v>
      </c>
      <c r="D738" s="1">
        <v>0.1</v>
      </c>
      <c r="E738" s="1">
        <v>2.1</v>
      </c>
      <c r="F738" s="1">
        <v>0.112</v>
      </c>
      <c r="G738" s="1">
        <v>11</v>
      </c>
      <c r="H738" s="1">
        <v>22</v>
      </c>
      <c r="I738" s="1">
        <v>0.99629999999999996</v>
      </c>
      <c r="J738" s="1">
        <v>3.26</v>
      </c>
      <c r="K738" s="1">
        <v>0.5</v>
      </c>
      <c r="L738" s="1">
        <v>9.5</v>
      </c>
      <c r="M738" s="2">
        <v>5</v>
      </c>
      <c r="N738" s="2" t="str" cm="1">
        <f t="array" ref="N738">_xlfn.IFS(Table1[[#This Row],[quality]]&lt;=4,"Low",Table1[[#This Row],[quality]]&lt;=6,"Medium",Table1[[#This Row],[quality]]&gt;=7,"High")</f>
        <v>Medium</v>
      </c>
      <c r="O738" s="2" t="str">
        <f>IF(AND(Table1[[#This Row],[fixed acidity]]&gt;Sheet1!$C$4,Table1[[#This Row],[pH]]&lt;Sheet1!$K$4),"High","Normal")</f>
        <v>Normal</v>
      </c>
      <c r="P738" s="1">
        <f>(Table1[[#This Row],[alcohol]]*2)+(Table1[[#This Row],[sulphates]]*1.5)-(Table1[[#This Row],[volatile acidity]]*2)</f>
        <v>17.82</v>
      </c>
      <c r="Q738" s="1">
        <f>RANK(Table1[[#This Row],[Quality_score_index]],Table1[Quality_score_index],0)</f>
        <v>1551</v>
      </c>
      <c r="R738" s="1">
        <f>Table1[[#This Row],[total sulfur dioxide]]-Table1[[#This Row],[free sulfur dioxide]]</f>
        <v>11</v>
      </c>
      <c r="S738" s="1" t="str">
        <f>IF(AND(Table1[[#This Row],[pH]]&gt;=3.2,Table1[[#This Row],[alcohol]]&gt;=10),"White wine","Red wine")</f>
        <v>Red wine</v>
      </c>
    </row>
    <row r="739" spans="1:19" x14ac:dyDescent="0.3">
      <c r="A739" s="13">
        <v>738</v>
      </c>
      <c r="B739" s="1">
        <v>8.1999999999999993</v>
      </c>
      <c r="C739" s="1">
        <v>0.59</v>
      </c>
      <c r="D739" s="1">
        <v>0</v>
      </c>
      <c r="E739" s="1">
        <v>2.5</v>
      </c>
      <c r="F739" s="1">
        <v>9.2999999999999999E-2</v>
      </c>
      <c r="G739" s="1">
        <v>19</v>
      </c>
      <c r="H739" s="1">
        <v>58</v>
      </c>
      <c r="I739" s="1">
        <v>1.0002</v>
      </c>
      <c r="J739" s="1">
        <v>3.5</v>
      </c>
      <c r="K739" s="1">
        <v>0.65</v>
      </c>
      <c r="L739" s="1">
        <v>9.3000000000000007</v>
      </c>
      <c r="M739" s="2">
        <v>6</v>
      </c>
      <c r="N739" s="2" t="str" cm="1">
        <f t="array" ref="N739">_xlfn.IFS(Table1[[#This Row],[quality]]&lt;=4,"Low",Table1[[#This Row],[quality]]&lt;=6,"Medium",Table1[[#This Row],[quality]]&gt;=7,"High")</f>
        <v>Medium</v>
      </c>
      <c r="O739" s="2" t="str">
        <f>IF(AND(Table1[[#This Row],[fixed acidity]]&gt;Sheet1!$C$4,Table1[[#This Row],[pH]]&lt;Sheet1!$K$4),"High","Normal")</f>
        <v>Normal</v>
      </c>
      <c r="P739" s="1">
        <f>(Table1[[#This Row],[alcohol]]*2)+(Table1[[#This Row],[sulphates]]*1.5)-(Table1[[#This Row],[volatile acidity]]*2)</f>
        <v>18.395000000000003</v>
      </c>
      <c r="Q739" s="1">
        <f>RANK(Table1[[#This Row],[Quality_score_index]],Table1[Quality_score_index],0)</f>
        <v>1416</v>
      </c>
      <c r="R739" s="1">
        <f>Table1[[#This Row],[total sulfur dioxide]]-Table1[[#This Row],[free sulfur dioxide]]</f>
        <v>39</v>
      </c>
      <c r="S739" s="1" t="str">
        <f>IF(AND(Table1[[#This Row],[pH]]&gt;=3.2,Table1[[#This Row],[alcohol]]&gt;=10),"White wine","Red wine")</f>
        <v>Red wine</v>
      </c>
    </row>
    <row r="740" spans="1:19" x14ac:dyDescent="0.3">
      <c r="A740" s="13">
        <v>739</v>
      </c>
      <c r="B740" s="1">
        <v>9</v>
      </c>
      <c r="C740" s="1">
        <v>0.46</v>
      </c>
      <c r="D740" s="1">
        <v>0.23</v>
      </c>
      <c r="E740" s="1">
        <v>2.8</v>
      </c>
      <c r="F740" s="1">
        <v>9.1999999999999998E-2</v>
      </c>
      <c r="G740" s="1">
        <v>28</v>
      </c>
      <c r="H740" s="1">
        <v>104</v>
      </c>
      <c r="I740" s="1">
        <v>0.99829999999999997</v>
      </c>
      <c r="J740" s="1">
        <v>3.1</v>
      </c>
      <c r="K740" s="1">
        <v>0.56000000000000005</v>
      </c>
      <c r="L740" s="1">
        <v>9.1999999999999993</v>
      </c>
      <c r="M740" s="2">
        <v>5</v>
      </c>
      <c r="N740" s="2" t="str" cm="1">
        <f t="array" ref="N740">_xlfn.IFS(Table1[[#This Row],[quality]]&lt;=4,"Low",Table1[[#This Row],[quality]]&lt;=6,"Medium",Table1[[#This Row],[quality]]&gt;=7,"High")</f>
        <v>Medium</v>
      </c>
      <c r="O740" s="2" t="str">
        <f>IF(AND(Table1[[#This Row],[fixed acidity]]&gt;Sheet1!$C$4,Table1[[#This Row],[pH]]&lt;Sheet1!$K$4),"High","Normal")</f>
        <v>High</v>
      </c>
      <c r="P740" s="1">
        <f>(Table1[[#This Row],[alcohol]]*2)+(Table1[[#This Row],[sulphates]]*1.5)-(Table1[[#This Row],[volatile acidity]]*2)</f>
        <v>18.319999999999997</v>
      </c>
      <c r="Q740" s="1">
        <f>RANK(Table1[[#This Row],[Quality_score_index]],Table1[Quality_score_index],0)</f>
        <v>1451</v>
      </c>
      <c r="R740" s="1">
        <f>Table1[[#This Row],[total sulfur dioxide]]-Table1[[#This Row],[free sulfur dioxide]]</f>
        <v>76</v>
      </c>
      <c r="S740" s="1" t="str">
        <f>IF(AND(Table1[[#This Row],[pH]]&gt;=3.2,Table1[[#This Row],[alcohol]]&gt;=10),"White wine","Red wine")</f>
        <v>Red wine</v>
      </c>
    </row>
    <row r="741" spans="1:19" x14ac:dyDescent="0.3">
      <c r="A741" s="13">
        <v>740</v>
      </c>
      <c r="B741" s="1">
        <v>9</v>
      </c>
      <c r="C741" s="1">
        <v>0.69</v>
      </c>
      <c r="D741" s="1">
        <v>0</v>
      </c>
      <c r="E741" s="1">
        <v>2.4</v>
      </c>
      <c r="F741" s="1">
        <v>8.7999999999999995E-2</v>
      </c>
      <c r="G741" s="1">
        <v>19</v>
      </c>
      <c r="H741" s="1">
        <v>38</v>
      </c>
      <c r="I741" s="1">
        <v>0.999</v>
      </c>
      <c r="J741" s="1">
        <v>3.35</v>
      </c>
      <c r="K741" s="1">
        <v>0.6</v>
      </c>
      <c r="L741" s="1">
        <v>9.3000000000000007</v>
      </c>
      <c r="M741" s="2">
        <v>5</v>
      </c>
      <c r="N741" s="2" t="str" cm="1">
        <f t="array" ref="N741">_xlfn.IFS(Table1[[#This Row],[quality]]&lt;=4,"Low",Table1[[#This Row],[quality]]&lt;=6,"Medium",Table1[[#This Row],[quality]]&gt;=7,"High")</f>
        <v>Medium</v>
      </c>
      <c r="O741" s="2" t="str">
        <f>IF(AND(Table1[[#This Row],[fixed acidity]]&gt;Sheet1!$C$4,Table1[[#This Row],[pH]]&lt;Sheet1!$K$4),"High","Normal")</f>
        <v>Normal</v>
      </c>
      <c r="P741" s="1">
        <f>(Table1[[#This Row],[alcohol]]*2)+(Table1[[#This Row],[sulphates]]*1.5)-(Table1[[#This Row],[volatile acidity]]*2)</f>
        <v>18.12</v>
      </c>
      <c r="Q741" s="1">
        <f>RANK(Table1[[#This Row],[Quality_score_index]],Table1[Quality_score_index],0)</f>
        <v>1497</v>
      </c>
      <c r="R741" s="1">
        <f>Table1[[#This Row],[total sulfur dioxide]]-Table1[[#This Row],[free sulfur dioxide]]</f>
        <v>19</v>
      </c>
      <c r="S741" s="1" t="str">
        <f>IF(AND(Table1[[#This Row],[pH]]&gt;=3.2,Table1[[#This Row],[alcohol]]&gt;=10),"White wine","Red wine")</f>
        <v>Red wine</v>
      </c>
    </row>
    <row r="742" spans="1:19" x14ac:dyDescent="0.3">
      <c r="A742" s="13">
        <v>741</v>
      </c>
      <c r="B742" s="1">
        <v>8.3000000000000007</v>
      </c>
      <c r="C742" s="1">
        <v>0.76</v>
      </c>
      <c r="D742" s="1">
        <v>0.28999999999999998</v>
      </c>
      <c r="E742" s="1">
        <v>4.2</v>
      </c>
      <c r="F742" s="1">
        <v>7.4999999999999997E-2</v>
      </c>
      <c r="G742" s="1">
        <v>12</v>
      </c>
      <c r="H742" s="1">
        <v>16</v>
      </c>
      <c r="I742" s="1">
        <v>0.99650000000000005</v>
      </c>
      <c r="J742" s="1">
        <v>3.45</v>
      </c>
      <c r="K742" s="1">
        <v>0.68</v>
      </c>
      <c r="L742" s="1">
        <v>11.5</v>
      </c>
      <c r="M742" s="2">
        <v>6</v>
      </c>
      <c r="N742" s="2" t="str" cm="1">
        <f t="array" ref="N742">_xlfn.IFS(Table1[[#This Row],[quality]]&lt;=4,"Low",Table1[[#This Row],[quality]]&lt;=6,"Medium",Table1[[#This Row],[quality]]&gt;=7,"High")</f>
        <v>Medium</v>
      </c>
      <c r="O742" s="2" t="str">
        <f>IF(AND(Table1[[#This Row],[fixed acidity]]&gt;Sheet1!$C$4,Table1[[#This Row],[pH]]&lt;Sheet1!$K$4),"High","Normal")</f>
        <v>Normal</v>
      </c>
      <c r="P742" s="1">
        <f>(Table1[[#This Row],[alcohol]]*2)+(Table1[[#This Row],[sulphates]]*1.5)-(Table1[[#This Row],[volatile acidity]]*2)</f>
        <v>22.5</v>
      </c>
      <c r="Q742" s="1">
        <f>RANK(Table1[[#This Row],[Quality_score_index]],Table1[Quality_score_index],0)</f>
        <v>370</v>
      </c>
      <c r="R742" s="1">
        <f>Table1[[#This Row],[total sulfur dioxide]]-Table1[[#This Row],[free sulfur dioxide]]</f>
        <v>4</v>
      </c>
      <c r="S742" s="1" t="str">
        <f>IF(AND(Table1[[#This Row],[pH]]&gt;=3.2,Table1[[#This Row],[alcohol]]&gt;=10),"White wine","Red wine")</f>
        <v>White wine</v>
      </c>
    </row>
    <row r="743" spans="1:19" x14ac:dyDescent="0.3">
      <c r="A743" s="13">
        <v>742</v>
      </c>
      <c r="B743" s="1">
        <v>9.1999999999999993</v>
      </c>
      <c r="C743" s="1">
        <v>0.53</v>
      </c>
      <c r="D743" s="1">
        <v>0.24</v>
      </c>
      <c r="E743" s="1">
        <v>2.6</v>
      </c>
      <c r="F743" s="1">
        <v>7.8E-2</v>
      </c>
      <c r="G743" s="1">
        <v>28</v>
      </c>
      <c r="H743" s="1">
        <v>139</v>
      </c>
      <c r="I743" s="1">
        <v>0.99787999999999999</v>
      </c>
      <c r="J743" s="1">
        <v>3.21</v>
      </c>
      <c r="K743" s="1">
        <v>0.56999999999999995</v>
      </c>
      <c r="L743" s="1">
        <v>9.5</v>
      </c>
      <c r="M743" s="2">
        <v>5</v>
      </c>
      <c r="N743" s="2" t="str" cm="1">
        <f t="array" ref="N743">_xlfn.IFS(Table1[[#This Row],[quality]]&lt;=4,"Low",Table1[[#This Row],[quality]]&lt;=6,"Medium",Table1[[#This Row],[quality]]&gt;=7,"High")</f>
        <v>Medium</v>
      </c>
      <c r="O743" s="2" t="str">
        <f>IF(AND(Table1[[#This Row],[fixed acidity]]&gt;Sheet1!$C$4,Table1[[#This Row],[pH]]&lt;Sheet1!$K$4),"High","Normal")</f>
        <v>High</v>
      </c>
      <c r="P743" s="1">
        <f>(Table1[[#This Row],[alcohol]]*2)+(Table1[[#This Row],[sulphates]]*1.5)-(Table1[[#This Row],[volatile acidity]]*2)</f>
        <v>18.795000000000002</v>
      </c>
      <c r="Q743" s="1">
        <f>RANK(Table1[[#This Row],[Quality_score_index]],Table1[Quality_score_index],0)</f>
        <v>1248</v>
      </c>
      <c r="R743" s="1">
        <f>Table1[[#This Row],[total sulfur dioxide]]-Table1[[#This Row],[free sulfur dioxide]]</f>
        <v>111</v>
      </c>
      <c r="S743" s="1" t="str">
        <f>IF(AND(Table1[[#This Row],[pH]]&gt;=3.2,Table1[[#This Row],[alcohol]]&gt;=10),"White wine","Red wine")</f>
        <v>Red wine</v>
      </c>
    </row>
    <row r="744" spans="1:19" x14ac:dyDescent="0.3">
      <c r="A744" s="13">
        <v>743</v>
      </c>
      <c r="B744" s="1">
        <v>6.5</v>
      </c>
      <c r="C744" s="1">
        <v>0.61499999999999999</v>
      </c>
      <c r="D744" s="1">
        <v>0</v>
      </c>
      <c r="E744" s="1">
        <v>1.9</v>
      </c>
      <c r="F744" s="1">
        <v>6.5000000000000002E-2</v>
      </c>
      <c r="G744" s="1">
        <v>9</v>
      </c>
      <c r="H744" s="1">
        <v>18</v>
      </c>
      <c r="I744" s="1">
        <v>0.99719999999999998</v>
      </c>
      <c r="J744" s="1">
        <v>3.46</v>
      </c>
      <c r="K744" s="1">
        <v>0.65</v>
      </c>
      <c r="L744" s="1">
        <v>9.1999999999999993</v>
      </c>
      <c r="M744" s="2">
        <v>5</v>
      </c>
      <c r="N744" s="2" t="str" cm="1">
        <f t="array" ref="N744">_xlfn.IFS(Table1[[#This Row],[quality]]&lt;=4,"Low",Table1[[#This Row],[quality]]&lt;=6,"Medium",Table1[[#This Row],[quality]]&gt;=7,"High")</f>
        <v>Medium</v>
      </c>
      <c r="O744" s="2" t="str">
        <f>IF(AND(Table1[[#This Row],[fixed acidity]]&gt;Sheet1!$C$4,Table1[[#This Row],[pH]]&lt;Sheet1!$K$4),"High","Normal")</f>
        <v>Normal</v>
      </c>
      <c r="P744" s="1">
        <f>(Table1[[#This Row],[alcohol]]*2)+(Table1[[#This Row],[sulphates]]*1.5)-(Table1[[#This Row],[volatile acidity]]*2)</f>
        <v>18.145</v>
      </c>
      <c r="Q744" s="1">
        <f>RANK(Table1[[#This Row],[Quality_score_index]],Table1[Quality_score_index],0)</f>
        <v>1488</v>
      </c>
      <c r="R744" s="1">
        <f>Table1[[#This Row],[total sulfur dioxide]]-Table1[[#This Row],[free sulfur dioxide]]</f>
        <v>9</v>
      </c>
      <c r="S744" s="1" t="str">
        <f>IF(AND(Table1[[#This Row],[pH]]&gt;=3.2,Table1[[#This Row],[alcohol]]&gt;=10),"White wine","Red wine")</f>
        <v>Red wine</v>
      </c>
    </row>
    <row r="745" spans="1:19" x14ac:dyDescent="0.3">
      <c r="A745" s="13">
        <v>744</v>
      </c>
      <c r="B745" s="1">
        <v>11.6</v>
      </c>
      <c r="C745" s="1">
        <v>0.41</v>
      </c>
      <c r="D745" s="1">
        <v>0.57999999999999996</v>
      </c>
      <c r="E745" s="1">
        <v>2.8</v>
      </c>
      <c r="F745" s="1">
        <v>9.6000000000000002E-2</v>
      </c>
      <c r="G745" s="1">
        <v>25</v>
      </c>
      <c r="H745" s="1">
        <v>101</v>
      </c>
      <c r="I745" s="1">
        <v>1.00024</v>
      </c>
      <c r="J745" s="1">
        <v>3.13</v>
      </c>
      <c r="K745" s="1">
        <v>0.53</v>
      </c>
      <c r="L745" s="1">
        <v>10</v>
      </c>
      <c r="M745" s="2">
        <v>5</v>
      </c>
      <c r="N745" s="2" t="str" cm="1">
        <f t="array" ref="N745">_xlfn.IFS(Table1[[#This Row],[quality]]&lt;=4,"Low",Table1[[#This Row],[quality]]&lt;=6,"Medium",Table1[[#This Row],[quality]]&gt;=7,"High")</f>
        <v>Medium</v>
      </c>
      <c r="O745" s="2" t="str">
        <f>IF(AND(Table1[[#This Row],[fixed acidity]]&gt;Sheet1!$C$4,Table1[[#This Row],[pH]]&lt;Sheet1!$K$4),"High","Normal")</f>
        <v>High</v>
      </c>
      <c r="P745" s="1">
        <f>(Table1[[#This Row],[alcohol]]*2)+(Table1[[#This Row],[sulphates]]*1.5)-(Table1[[#This Row],[volatile acidity]]*2)</f>
        <v>19.975000000000001</v>
      </c>
      <c r="Q745" s="1">
        <f>RANK(Table1[[#This Row],[Quality_score_index]],Table1[Quality_score_index],0)</f>
        <v>858</v>
      </c>
      <c r="R745" s="1">
        <f>Table1[[#This Row],[total sulfur dioxide]]-Table1[[#This Row],[free sulfur dioxide]]</f>
        <v>76</v>
      </c>
      <c r="S745" s="1" t="str">
        <f>IF(AND(Table1[[#This Row],[pH]]&gt;=3.2,Table1[[#This Row],[alcohol]]&gt;=10),"White wine","Red wine")</f>
        <v>Red wine</v>
      </c>
    </row>
    <row r="746" spans="1:19" x14ac:dyDescent="0.3">
      <c r="A746" s="13">
        <v>745</v>
      </c>
      <c r="B746" s="1">
        <v>11.1</v>
      </c>
      <c r="C746" s="1">
        <v>0.39</v>
      </c>
      <c r="D746" s="1">
        <v>0.54</v>
      </c>
      <c r="E746" s="1">
        <v>2.7</v>
      </c>
      <c r="F746" s="1">
        <v>9.5000000000000001E-2</v>
      </c>
      <c r="G746" s="1">
        <v>21</v>
      </c>
      <c r="H746" s="1">
        <v>101</v>
      </c>
      <c r="I746" s="1">
        <v>1.0001</v>
      </c>
      <c r="J746" s="1">
        <v>3.13</v>
      </c>
      <c r="K746" s="1">
        <v>0.51</v>
      </c>
      <c r="L746" s="1">
        <v>9.5</v>
      </c>
      <c r="M746" s="2">
        <v>5</v>
      </c>
      <c r="N746" s="2" t="str" cm="1">
        <f t="array" ref="N746">_xlfn.IFS(Table1[[#This Row],[quality]]&lt;=4,"Low",Table1[[#This Row],[quality]]&lt;=6,"Medium",Table1[[#This Row],[quality]]&gt;=7,"High")</f>
        <v>Medium</v>
      </c>
      <c r="O746" s="2" t="str">
        <f>IF(AND(Table1[[#This Row],[fixed acidity]]&gt;Sheet1!$C$4,Table1[[#This Row],[pH]]&lt;Sheet1!$K$4),"High","Normal")</f>
        <v>High</v>
      </c>
      <c r="P746" s="1">
        <f>(Table1[[#This Row],[alcohol]]*2)+(Table1[[#This Row],[sulphates]]*1.5)-(Table1[[#This Row],[volatile acidity]]*2)</f>
        <v>18.984999999999999</v>
      </c>
      <c r="Q746" s="1">
        <f>RANK(Table1[[#This Row],[Quality_score_index]],Table1[Quality_score_index],0)</f>
        <v>1171</v>
      </c>
      <c r="R746" s="1">
        <f>Table1[[#This Row],[total sulfur dioxide]]-Table1[[#This Row],[free sulfur dioxide]]</f>
        <v>80</v>
      </c>
      <c r="S746" s="1" t="str">
        <f>IF(AND(Table1[[#This Row],[pH]]&gt;=3.2,Table1[[#This Row],[alcohol]]&gt;=10),"White wine","Red wine")</f>
        <v>Red wine</v>
      </c>
    </row>
    <row r="747" spans="1:19" x14ac:dyDescent="0.3">
      <c r="A747" s="13">
        <v>746</v>
      </c>
      <c r="B747" s="1">
        <v>7.3</v>
      </c>
      <c r="C747" s="1">
        <v>0.51</v>
      </c>
      <c r="D747" s="1">
        <v>0.18</v>
      </c>
      <c r="E747" s="1">
        <v>2.1</v>
      </c>
      <c r="F747" s="1">
        <v>7.0000000000000007E-2</v>
      </c>
      <c r="G747" s="1">
        <v>12</v>
      </c>
      <c r="H747" s="1">
        <v>28</v>
      </c>
      <c r="I747" s="1">
        <v>0.99768000000000001</v>
      </c>
      <c r="J747" s="1">
        <v>3.52</v>
      </c>
      <c r="K747" s="1">
        <v>0.73</v>
      </c>
      <c r="L747" s="1">
        <v>9.5</v>
      </c>
      <c r="M747" s="2">
        <v>6</v>
      </c>
      <c r="N747" s="2" t="str" cm="1">
        <f t="array" ref="N747">_xlfn.IFS(Table1[[#This Row],[quality]]&lt;=4,"Low",Table1[[#This Row],[quality]]&lt;=6,"Medium",Table1[[#This Row],[quality]]&gt;=7,"High")</f>
        <v>Medium</v>
      </c>
      <c r="O747" s="2" t="str">
        <f>IF(AND(Table1[[#This Row],[fixed acidity]]&gt;Sheet1!$C$4,Table1[[#This Row],[pH]]&lt;Sheet1!$K$4),"High","Normal")</f>
        <v>Normal</v>
      </c>
      <c r="P747" s="1">
        <f>(Table1[[#This Row],[alcohol]]*2)+(Table1[[#This Row],[sulphates]]*1.5)-(Table1[[#This Row],[volatile acidity]]*2)</f>
        <v>19.074999999999999</v>
      </c>
      <c r="Q747" s="1">
        <f>RANK(Table1[[#This Row],[Quality_score_index]],Table1[Quality_score_index],0)</f>
        <v>1134</v>
      </c>
      <c r="R747" s="1">
        <f>Table1[[#This Row],[total sulfur dioxide]]-Table1[[#This Row],[free sulfur dioxide]]</f>
        <v>16</v>
      </c>
      <c r="S747" s="1" t="str">
        <f>IF(AND(Table1[[#This Row],[pH]]&gt;=3.2,Table1[[#This Row],[alcohol]]&gt;=10),"White wine","Red wine")</f>
        <v>Red wine</v>
      </c>
    </row>
    <row r="748" spans="1:19" x14ac:dyDescent="0.3">
      <c r="A748" s="13">
        <v>747</v>
      </c>
      <c r="B748" s="1">
        <v>8.1999999999999993</v>
      </c>
      <c r="C748" s="1">
        <v>0.34</v>
      </c>
      <c r="D748" s="1">
        <v>0.38</v>
      </c>
      <c r="E748" s="1">
        <v>2.5</v>
      </c>
      <c r="F748" s="1">
        <v>0.08</v>
      </c>
      <c r="G748" s="1">
        <v>12</v>
      </c>
      <c r="H748" s="1">
        <v>57</v>
      </c>
      <c r="I748" s="1">
        <v>0.99780000000000002</v>
      </c>
      <c r="J748" s="1">
        <v>3.3</v>
      </c>
      <c r="K748" s="1">
        <v>0.47</v>
      </c>
      <c r="L748" s="1">
        <v>9</v>
      </c>
      <c r="M748" s="2">
        <v>6</v>
      </c>
      <c r="N748" s="2" t="str" cm="1">
        <f t="array" ref="N748">_xlfn.IFS(Table1[[#This Row],[quality]]&lt;=4,"Low",Table1[[#This Row],[quality]]&lt;=6,"Medium",Table1[[#This Row],[quality]]&gt;=7,"High")</f>
        <v>Medium</v>
      </c>
      <c r="O748" s="2" t="str">
        <f>IF(AND(Table1[[#This Row],[fixed acidity]]&gt;Sheet1!$C$4,Table1[[#This Row],[pH]]&lt;Sheet1!$K$4),"High","Normal")</f>
        <v>Normal</v>
      </c>
      <c r="P748" s="1">
        <f>(Table1[[#This Row],[alcohol]]*2)+(Table1[[#This Row],[sulphates]]*1.5)-(Table1[[#This Row],[volatile acidity]]*2)</f>
        <v>18.024999999999999</v>
      </c>
      <c r="Q748" s="1">
        <f>RANK(Table1[[#This Row],[Quality_score_index]],Table1[Quality_score_index],0)</f>
        <v>1517</v>
      </c>
      <c r="R748" s="1">
        <f>Table1[[#This Row],[total sulfur dioxide]]-Table1[[#This Row],[free sulfur dioxide]]</f>
        <v>45</v>
      </c>
      <c r="S748" s="1" t="str">
        <f>IF(AND(Table1[[#This Row],[pH]]&gt;=3.2,Table1[[#This Row],[alcohol]]&gt;=10),"White wine","Red wine")</f>
        <v>Red wine</v>
      </c>
    </row>
    <row r="749" spans="1:19" x14ac:dyDescent="0.3">
      <c r="A749" s="13">
        <v>748</v>
      </c>
      <c r="B749" s="1">
        <v>8.6</v>
      </c>
      <c r="C749" s="1">
        <v>0.33</v>
      </c>
      <c r="D749" s="1">
        <v>0.4</v>
      </c>
      <c r="E749" s="1">
        <v>2.6</v>
      </c>
      <c r="F749" s="1">
        <v>8.3000000000000004E-2</v>
      </c>
      <c r="G749" s="1">
        <v>16</v>
      </c>
      <c r="H749" s="1">
        <v>68</v>
      </c>
      <c r="I749" s="1">
        <v>0.99782000000000004</v>
      </c>
      <c r="J749" s="1">
        <v>3.3</v>
      </c>
      <c r="K749" s="1">
        <v>0.48</v>
      </c>
      <c r="L749" s="1">
        <v>9.4</v>
      </c>
      <c r="M749" s="2">
        <v>5</v>
      </c>
      <c r="N749" s="2" t="str" cm="1">
        <f t="array" ref="N749">_xlfn.IFS(Table1[[#This Row],[quality]]&lt;=4,"Low",Table1[[#This Row],[quality]]&lt;=6,"Medium",Table1[[#This Row],[quality]]&gt;=7,"High")</f>
        <v>Medium</v>
      </c>
      <c r="O749" s="2" t="str">
        <f>IF(AND(Table1[[#This Row],[fixed acidity]]&gt;Sheet1!$C$4,Table1[[#This Row],[pH]]&lt;Sheet1!$K$4),"High","Normal")</f>
        <v>High</v>
      </c>
      <c r="P749" s="1">
        <f>(Table1[[#This Row],[alcohol]]*2)+(Table1[[#This Row],[sulphates]]*1.5)-(Table1[[#This Row],[volatile acidity]]*2)</f>
        <v>18.86</v>
      </c>
      <c r="Q749" s="1">
        <f>RANK(Table1[[#This Row],[Quality_score_index]],Table1[Quality_score_index],0)</f>
        <v>1222</v>
      </c>
      <c r="R749" s="1">
        <f>Table1[[#This Row],[total sulfur dioxide]]-Table1[[#This Row],[free sulfur dioxide]]</f>
        <v>52</v>
      </c>
      <c r="S749" s="1" t="str">
        <f>IF(AND(Table1[[#This Row],[pH]]&gt;=3.2,Table1[[#This Row],[alcohol]]&gt;=10),"White wine","Red wine")</f>
        <v>Red wine</v>
      </c>
    </row>
    <row r="750" spans="1:19" x14ac:dyDescent="0.3">
      <c r="A750" s="13">
        <v>749</v>
      </c>
      <c r="B750" s="1">
        <v>7.2</v>
      </c>
      <c r="C750" s="1">
        <v>0.5</v>
      </c>
      <c r="D750" s="1">
        <v>0.18</v>
      </c>
      <c r="E750" s="1">
        <v>2.1</v>
      </c>
      <c r="F750" s="1">
        <v>7.0999999999999994E-2</v>
      </c>
      <c r="G750" s="1">
        <v>12</v>
      </c>
      <c r="H750" s="1">
        <v>31</v>
      </c>
      <c r="I750" s="1">
        <v>0.99761</v>
      </c>
      <c r="J750" s="1">
        <v>3.52</v>
      </c>
      <c r="K750" s="1">
        <v>0.72</v>
      </c>
      <c r="L750" s="1">
        <v>9.6</v>
      </c>
      <c r="M750" s="2">
        <v>6</v>
      </c>
      <c r="N750" s="2" t="str" cm="1">
        <f t="array" ref="N750">_xlfn.IFS(Table1[[#This Row],[quality]]&lt;=4,"Low",Table1[[#This Row],[quality]]&lt;=6,"Medium",Table1[[#This Row],[quality]]&gt;=7,"High")</f>
        <v>Medium</v>
      </c>
      <c r="O750" s="2" t="str">
        <f>IF(AND(Table1[[#This Row],[fixed acidity]]&gt;Sheet1!$C$4,Table1[[#This Row],[pH]]&lt;Sheet1!$K$4),"High","Normal")</f>
        <v>Normal</v>
      </c>
      <c r="P750" s="1">
        <f>(Table1[[#This Row],[alcohol]]*2)+(Table1[[#This Row],[sulphates]]*1.5)-(Table1[[#This Row],[volatile acidity]]*2)</f>
        <v>19.28</v>
      </c>
      <c r="Q750" s="1">
        <f>RANK(Table1[[#This Row],[Quality_score_index]],Table1[Quality_score_index],0)</f>
        <v>1046</v>
      </c>
      <c r="R750" s="1">
        <f>Table1[[#This Row],[total sulfur dioxide]]-Table1[[#This Row],[free sulfur dioxide]]</f>
        <v>19</v>
      </c>
      <c r="S750" s="1" t="str">
        <f>IF(AND(Table1[[#This Row],[pH]]&gt;=3.2,Table1[[#This Row],[alcohol]]&gt;=10),"White wine","Red wine")</f>
        <v>Red wine</v>
      </c>
    </row>
    <row r="751" spans="1:19" x14ac:dyDescent="0.3">
      <c r="A751" s="13">
        <v>750</v>
      </c>
      <c r="B751" s="1">
        <v>7.3</v>
      </c>
      <c r="C751" s="1">
        <v>0.51</v>
      </c>
      <c r="D751" s="1">
        <v>0.18</v>
      </c>
      <c r="E751" s="1">
        <v>2.1</v>
      </c>
      <c r="F751" s="1">
        <v>7.0000000000000007E-2</v>
      </c>
      <c r="G751" s="1">
        <v>12</v>
      </c>
      <c r="H751" s="1">
        <v>28</v>
      </c>
      <c r="I751" s="1">
        <v>0.99768000000000001</v>
      </c>
      <c r="J751" s="1">
        <v>3.52</v>
      </c>
      <c r="K751" s="1">
        <v>0.73</v>
      </c>
      <c r="L751" s="1">
        <v>9.5</v>
      </c>
      <c r="M751" s="2">
        <v>6</v>
      </c>
      <c r="N751" s="2" t="str" cm="1">
        <f t="array" ref="N751">_xlfn.IFS(Table1[[#This Row],[quality]]&lt;=4,"Low",Table1[[#This Row],[quality]]&lt;=6,"Medium",Table1[[#This Row],[quality]]&gt;=7,"High")</f>
        <v>Medium</v>
      </c>
      <c r="O751" s="2" t="str">
        <f>IF(AND(Table1[[#This Row],[fixed acidity]]&gt;Sheet1!$C$4,Table1[[#This Row],[pH]]&lt;Sheet1!$K$4),"High","Normal")</f>
        <v>Normal</v>
      </c>
      <c r="P751" s="1">
        <f>(Table1[[#This Row],[alcohol]]*2)+(Table1[[#This Row],[sulphates]]*1.5)-(Table1[[#This Row],[volatile acidity]]*2)</f>
        <v>19.074999999999999</v>
      </c>
      <c r="Q751" s="1">
        <f>RANK(Table1[[#This Row],[Quality_score_index]],Table1[Quality_score_index],0)</f>
        <v>1134</v>
      </c>
      <c r="R751" s="1">
        <f>Table1[[#This Row],[total sulfur dioxide]]-Table1[[#This Row],[free sulfur dioxide]]</f>
        <v>16</v>
      </c>
      <c r="S751" s="1" t="str">
        <f>IF(AND(Table1[[#This Row],[pH]]&gt;=3.2,Table1[[#This Row],[alcohol]]&gt;=10),"White wine","Red wine")</f>
        <v>Red wine</v>
      </c>
    </row>
    <row r="752" spans="1:19" x14ac:dyDescent="0.3">
      <c r="A752" s="13">
        <v>751</v>
      </c>
      <c r="B752" s="1">
        <v>8.3000000000000007</v>
      </c>
      <c r="C752" s="1">
        <v>0.65</v>
      </c>
      <c r="D752" s="1">
        <v>0.1</v>
      </c>
      <c r="E752" s="1">
        <v>2.9</v>
      </c>
      <c r="F752" s="1">
        <v>8.8999999999999996E-2</v>
      </c>
      <c r="G752" s="1">
        <v>17</v>
      </c>
      <c r="H752" s="1">
        <v>40</v>
      </c>
      <c r="I752" s="1">
        <v>0.99802999999999997</v>
      </c>
      <c r="J752" s="1">
        <v>3.29</v>
      </c>
      <c r="K752" s="1">
        <v>0.55000000000000004</v>
      </c>
      <c r="L752" s="1">
        <v>9.5</v>
      </c>
      <c r="M752" s="2">
        <v>5</v>
      </c>
      <c r="N752" s="2" t="str" cm="1">
        <f t="array" ref="N752">_xlfn.IFS(Table1[[#This Row],[quality]]&lt;=4,"Low",Table1[[#This Row],[quality]]&lt;=6,"Medium",Table1[[#This Row],[quality]]&gt;=7,"High")</f>
        <v>Medium</v>
      </c>
      <c r="O752" s="2" t="str">
        <f>IF(AND(Table1[[#This Row],[fixed acidity]]&gt;Sheet1!$C$4,Table1[[#This Row],[pH]]&lt;Sheet1!$K$4),"High","Normal")</f>
        <v>Normal</v>
      </c>
      <c r="P752" s="1">
        <f>(Table1[[#This Row],[alcohol]]*2)+(Table1[[#This Row],[sulphates]]*1.5)-(Table1[[#This Row],[volatile acidity]]*2)</f>
        <v>18.524999999999999</v>
      </c>
      <c r="Q752" s="1">
        <f>RANK(Table1[[#This Row],[Quality_score_index]],Table1[Quality_score_index],0)</f>
        <v>1369</v>
      </c>
      <c r="R752" s="1">
        <f>Table1[[#This Row],[total sulfur dioxide]]-Table1[[#This Row],[free sulfur dioxide]]</f>
        <v>23</v>
      </c>
      <c r="S752" s="1" t="str">
        <f>IF(AND(Table1[[#This Row],[pH]]&gt;=3.2,Table1[[#This Row],[alcohol]]&gt;=10),"White wine","Red wine")</f>
        <v>Red wine</v>
      </c>
    </row>
    <row r="753" spans="1:19" x14ac:dyDescent="0.3">
      <c r="A753" s="13">
        <v>752</v>
      </c>
      <c r="B753" s="1">
        <v>8.3000000000000007</v>
      </c>
      <c r="C753" s="1">
        <v>0.65</v>
      </c>
      <c r="D753" s="1">
        <v>0.1</v>
      </c>
      <c r="E753" s="1">
        <v>2.9</v>
      </c>
      <c r="F753" s="1">
        <v>8.8999999999999996E-2</v>
      </c>
      <c r="G753" s="1">
        <v>17</v>
      </c>
      <c r="H753" s="1">
        <v>40</v>
      </c>
      <c r="I753" s="1">
        <v>0.99802999999999997</v>
      </c>
      <c r="J753" s="1">
        <v>3.29</v>
      </c>
      <c r="K753" s="1">
        <v>0.55000000000000004</v>
      </c>
      <c r="L753" s="1">
        <v>9.5</v>
      </c>
      <c r="M753" s="2">
        <v>5</v>
      </c>
      <c r="N753" s="2" t="str" cm="1">
        <f t="array" ref="N753">_xlfn.IFS(Table1[[#This Row],[quality]]&lt;=4,"Low",Table1[[#This Row],[quality]]&lt;=6,"Medium",Table1[[#This Row],[quality]]&gt;=7,"High")</f>
        <v>Medium</v>
      </c>
      <c r="O753" s="2" t="str">
        <f>IF(AND(Table1[[#This Row],[fixed acidity]]&gt;Sheet1!$C$4,Table1[[#This Row],[pH]]&lt;Sheet1!$K$4),"High","Normal")</f>
        <v>Normal</v>
      </c>
      <c r="P753" s="1">
        <f>(Table1[[#This Row],[alcohol]]*2)+(Table1[[#This Row],[sulphates]]*1.5)-(Table1[[#This Row],[volatile acidity]]*2)</f>
        <v>18.524999999999999</v>
      </c>
      <c r="Q753" s="1">
        <f>RANK(Table1[[#This Row],[Quality_score_index]],Table1[Quality_score_index],0)</f>
        <v>1369</v>
      </c>
      <c r="R753" s="1">
        <f>Table1[[#This Row],[total sulfur dioxide]]-Table1[[#This Row],[free sulfur dioxide]]</f>
        <v>23</v>
      </c>
      <c r="S753" s="1" t="str">
        <f>IF(AND(Table1[[#This Row],[pH]]&gt;=3.2,Table1[[#This Row],[alcohol]]&gt;=10),"White wine","Red wine")</f>
        <v>Red wine</v>
      </c>
    </row>
    <row r="754" spans="1:19" x14ac:dyDescent="0.3">
      <c r="A754" s="13">
        <v>753</v>
      </c>
      <c r="B754" s="1">
        <v>7.6</v>
      </c>
      <c r="C754" s="1">
        <v>0.54</v>
      </c>
      <c r="D754" s="1">
        <v>0.13</v>
      </c>
      <c r="E754" s="1">
        <v>2.5</v>
      </c>
      <c r="F754" s="1">
        <v>9.7000000000000003E-2</v>
      </c>
      <c r="G754" s="1">
        <v>24</v>
      </c>
      <c r="H754" s="1">
        <v>66</v>
      </c>
      <c r="I754" s="1">
        <v>0.99785000000000001</v>
      </c>
      <c r="J754" s="1">
        <v>3.39</v>
      </c>
      <c r="K754" s="1">
        <v>0.61</v>
      </c>
      <c r="L754" s="1">
        <v>9.4</v>
      </c>
      <c r="M754" s="2">
        <v>5</v>
      </c>
      <c r="N754" s="2" t="str" cm="1">
        <f t="array" ref="N754">_xlfn.IFS(Table1[[#This Row],[quality]]&lt;=4,"Low",Table1[[#This Row],[quality]]&lt;=6,"Medium",Table1[[#This Row],[quality]]&gt;=7,"High")</f>
        <v>Medium</v>
      </c>
      <c r="O754" s="2" t="str">
        <f>IF(AND(Table1[[#This Row],[fixed acidity]]&gt;Sheet1!$C$4,Table1[[#This Row],[pH]]&lt;Sheet1!$K$4),"High","Normal")</f>
        <v>Normal</v>
      </c>
      <c r="P754" s="1">
        <f>(Table1[[#This Row],[alcohol]]*2)+(Table1[[#This Row],[sulphates]]*1.5)-(Table1[[#This Row],[volatile acidity]]*2)</f>
        <v>18.634999999999998</v>
      </c>
      <c r="Q754" s="1">
        <f>RANK(Table1[[#This Row],[Quality_score_index]],Table1[Quality_score_index],0)</f>
        <v>1328</v>
      </c>
      <c r="R754" s="1">
        <f>Table1[[#This Row],[total sulfur dioxide]]-Table1[[#This Row],[free sulfur dioxide]]</f>
        <v>42</v>
      </c>
      <c r="S754" s="1" t="str">
        <f>IF(AND(Table1[[#This Row],[pH]]&gt;=3.2,Table1[[#This Row],[alcohol]]&gt;=10),"White wine","Red wine")</f>
        <v>Red wine</v>
      </c>
    </row>
    <row r="755" spans="1:19" x14ac:dyDescent="0.3">
      <c r="A755" s="13">
        <v>754</v>
      </c>
      <c r="B755" s="1">
        <v>8.3000000000000007</v>
      </c>
      <c r="C755" s="1">
        <v>0.65</v>
      </c>
      <c r="D755" s="1">
        <v>0.1</v>
      </c>
      <c r="E755" s="1">
        <v>2.9</v>
      </c>
      <c r="F755" s="1">
        <v>8.8999999999999996E-2</v>
      </c>
      <c r="G755" s="1">
        <v>17</v>
      </c>
      <c r="H755" s="1">
        <v>40</v>
      </c>
      <c r="I755" s="1">
        <v>0.99802999999999997</v>
      </c>
      <c r="J755" s="1">
        <v>3.29</v>
      </c>
      <c r="K755" s="1">
        <v>0.55000000000000004</v>
      </c>
      <c r="L755" s="1">
        <v>9.5</v>
      </c>
      <c r="M755" s="2">
        <v>5</v>
      </c>
      <c r="N755" s="2" t="str" cm="1">
        <f t="array" ref="N755">_xlfn.IFS(Table1[[#This Row],[quality]]&lt;=4,"Low",Table1[[#This Row],[quality]]&lt;=6,"Medium",Table1[[#This Row],[quality]]&gt;=7,"High")</f>
        <v>Medium</v>
      </c>
      <c r="O755" s="2" t="str">
        <f>IF(AND(Table1[[#This Row],[fixed acidity]]&gt;Sheet1!$C$4,Table1[[#This Row],[pH]]&lt;Sheet1!$K$4),"High","Normal")</f>
        <v>Normal</v>
      </c>
      <c r="P755" s="1">
        <f>(Table1[[#This Row],[alcohol]]*2)+(Table1[[#This Row],[sulphates]]*1.5)-(Table1[[#This Row],[volatile acidity]]*2)</f>
        <v>18.524999999999999</v>
      </c>
      <c r="Q755" s="1">
        <f>RANK(Table1[[#This Row],[Quality_score_index]],Table1[Quality_score_index],0)</f>
        <v>1369</v>
      </c>
      <c r="R755" s="1">
        <f>Table1[[#This Row],[total sulfur dioxide]]-Table1[[#This Row],[free sulfur dioxide]]</f>
        <v>23</v>
      </c>
      <c r="S755" s="1" t="str">
        <f>IF(AND(Table1[[#This Row],[pH]]&gt;=3.2,Table1[[#This Row],[alcohol]]&gt;=10),"White wine","Red wine")</f>
        <v>Red wine</v>
      </c>
    </row>
    <row r="756" spans="1:19" x14ac:dyDescent="0.3">
      <c r="A756" s="13">
        <v>755</v>
      </c>
      <c r="B756" s="1">
        <v>7.8</v>
      </c>
      <c r="C756" s="1">
        <v>0.48</v>
      </c>
      <c r="D756" s="1">
        <v>0.68</v>
      </c>
      <c r="E756" s="1">
        <v>1.7</v>
      </c>
      <c r="F756" s="1">
        <v>0.41499999999999998</v>
      </c>
      <c r="G756" s="1">
        <v>14</v>
      </c>
      <c r="H756" s="1">
        <v>32</v>
      </c>
      <c r="I756" s="1">
        <v>0.99656</v>
      </c>
      <c r="J756" s="1">
        <v>3.09</v>
      </c>
      <c r="K756" s="1">
        <v>1.06</v>
      </c>
      <c r="L756" s="1">
        <v>9.1</v>
      </c>
      <c r="M756" s="2">
        <v>6</v>
      </c>
      <c r="N756" s="2" t="str" cm="1">
        <f t="array" ref="N756">_xlfn.IFS(Table1[[#This Row],[quality]]&lt;=4,"Low",Table1[[#This Row],[quality]]&lt;=6,"Medium",Table1[[#This Row],[quality]]&gt;=7,"High")</f>
        <v>Medium</v>
      </c>
      <c r="O756" s="2" t="str">
        <f>IF(AND(Table1[[#This Row],[fixed acidity]]&gt;Sheet1!$C$4,Table1[[#This Row],[pH]]&lt;Sheet1!$K$4),"High","Normal")</f>
        <v>Normal</v>
      </c>
      <c r="P756" s="1">
        <f>(Table1[[#This Row],[alcohol]]*2)+(Table1[[#This Row],[sulphates]]*1.5)-(Table1[[#This Row],[volatile acidity]]*2)</f>
        <v>18.829999999999998</v>
      </c>
      <c r="Q756" s="1">
        <f>RANK(Table1[[#This Row],[Quality_score_index]],Table1[Quality_score_index],0)</f>
        <v>1235</v>
      </c>
      <c r="R756" s="1">
        <f>Table1[[#This Row],[total sulfur dioxide]]-Table1[[#This Row],[free sulfur dioxide]]</f>
        <v>18</v>
      </c>
      <c r="S756" s="1" t="str">
        <f>IF(AND(Table1[[#This Row],[pH]]&gt;=3.2,Table1[[#This Row],[alcohol]]&gt;=10),"White wine","Red wine")</f>
        <v>Red wine</v>
      </c>
    </row>
    <row r="757" spans="1:19" x14ac:dyDescent="0.3">
      <c r="A757" s="13">
        <v>756</v>
      </c>
      <c r="B757" s="1">
        <v>7.8</v>
      </c>
      <c r="C757" s="1">
        <v>0.91</v>
      </c>
      <c r="D757" s="1">
        <v>7.0000000000000007E-2</v>
      </c>
      <c r="E757" s="1">
        <v>1.9</v>
      </c>
      <c r="F757" s="1">
        <v>5.8000000000000003E-2</v>
      </c>
      <c r="G757" s="1">
        <v>22</v>
      </c>
      <c r="H757" s="1">
        <v>47</v>
      </c>
      <c r="I757" s="1">
        <v>0.99524999999999997</v>
      </c>
      <c r="J757" s="1">
        <v>3.51</v>
      </c>
      <c r="K757" s="1">
        <v>0.43</v>
      </c>
      <c r="L757" s="1">
        <v>10.7</v>
      </c>
      <c r="M757" s="2">
        <v>6</v>
      </c>
      <c r="N757" s="2" t="str" cm="1">
        <f t="array" ref="N757">_xlfn.IFS(Table1[[#This Row],[quality]]&lt;=4,"Low",Table1[[#This Row],[quality]]&lt;=6,"Medium",Table1[[#This Row],[quality]]&gt;=7,"High")</f>
        <v>Medium</v>
      </c>
      <c r="O757" s="2" t="str">
        <f>IF(AND(Table1[[#This Row],[fixed acidity]]&gt;Sheet1!$C$4,Table1[[#This Row],[pH]]&lt;Sheet1!$K$4),"High","Normal")</f>
        <v>Normal</v>
      </c>
      <c r="P757" s="1">
        <f>(Table1[[#This Row],[alcohol]]*2)+(Table1[[#This Row],[sulphates]]*1.5)-(Table1[[#This Row],[volatile acidity]]*2)</f>
        <v>20.224999999999998</v>
      </c>
      <c r="Q757" s="1">
        <f>RANK(Table1[[#This Row],[Quality_score_index]],Table1[Quality_score_index],0)</f>
        <v>806</v>
      </c>
      <c r="R757" s="1">
        <f>Table1[[#This Row],[total sulfur dioxide]]-Table1[[#This Row],[free sulfur dioxide]]</f>
        <v>25</v>
      </c>
      <c r="S757" s="1" t="str">
        <f>IF(AND(Table1[[#This Row],[pH]]&gt;=3.2,Table1[[#This Row],[alcohol]]&gt;=10),"White wine","Red wine")</f>
        <v>White wine</v>
      </c>
    </row>
    <row r="758" spans="1:19" x14ac:dyDescent="0.3">
      <c r="A758" s="13">
        <v>757</v>
      </c>
      <c r="B758" s="1">
        <v>6.3</v>
      </c>
      <c r="C758" s="1">
        <v>0.98</v>
      </c>
      <c r="D758" s="1">
        <v>0.01</v>
      </c>
      <c r="E758" s="1">
        <v>2</v>
      </c>
      <c r="F758" s="1">
        <v>5.7000000000000002E-2</v>
      </c>
      <c r="G758" s="1">
        <v>15</v>
      </c>
      <c r="H758" s="1">
        <v>33</v>
      </c>
      <c r="I758" s="1">
        <v>0.99487999999999999</v>
      </c>
      <c r="J758" s="1">
        <v>3.6</v>
      </c>
      <c r="K758" s="1">
        <v>0.46</v>
      </c>
      <c r="L758" s="1">
        <v>11.2</v>
      </c>
      <c r="M758" s="2">
        <v>6</v>
      </c>
      <c r="N758" s="2" t="str" cm="1">
        <f t="array" ref="N758">_xlfn.IFS(Table1[[#This Row],[quality]]&lt;=4,"Low",Table1[[#This Row],[quality]]&lt;=6,"Medium",Table1[[#This Row],[quality]]&gt;=7,"High")</f>
        <v>Medium</v>
      </c>
      <c r="O758" s="2" t="str">
        <f>IF(AND(Table1[[#This Row],[fixed acidity]]&gt;Sheet1!$C$4,Table1[[#This Row],[pH]]&lt;Sheet1!$K$4),"High","Normal")</f>
        <v>Normal</v>
      </c>
      <c r="P758" s="1">
        <f>(Table1[[#This Row],[alcohol]]*2)+(Table1[[#This Row],[sulphates]]*1.5)-(Table1[[#This Row],[volatile acidity]]*2)</f>
        <v>21.13</v>
      </c>
      <c r="Q758" s="1">
        <f>RANK(Table1[[#This Row],[Quality_score_index]],Table1[Quality_score_index],0)</f>
        <v>627</v>
      </c>
      <c r="R758" s="1">
        <f>Table1[[#This Row],[total sulfur dioxide]]-Table1[[#This Row],[free sulfur dioxide]]</f>
        <v>18</v>
      </c>
      <c r="S758" s="1" t="str">
        <f>IF(AND(Table1[[#This Row],[pH]]&gt;=3.2,Table1[[#This Row],[alcohol]]&gt;=10),"White wine","Red wine")</f>
        <v>White wine</v>
      </c>
    </row>
    <row r="759" spans="1:19" x14ac:dyDescent="0.3">
      <c r="A759" s="13">
        <v>758</v>
      </c>
      <c r="B759" s="1">
        <v>8.1</v>
      </c>
      <c r="C759" s="1">
        <v>0.87</v>
      </c>
      <c r="D759" s="1">
        <v>0</v>
      </c>
      <c r="E759" s="1">
        <v>2.2000000000000002</v>
      </c>
      <c r="F759" s="1">
        <v>8.4000000000000005E-2</v>
      </c>
      <c r="G759" s="1">
        <v>10</v>
      </c>
      <c r="H759" s="1">
        <v>31</v>
      </c>
      <c r="I759" s="1">
        <v>0.99656</v>
      </c>
      <c r="J759" s="1">
        <v>3.25</v>
      </c>
      <c r="K759" s="1">
        <v>0.5</v>
      </c>
      <c r="L759" s="1">
        <v>9.8000000000000007</v>
      </c>
      <c r="M759" s="2">
        <v>5</v>
      </c>
      <c r="N759" s="2" t="str" cm="1">
        <f t="array" ref="N759">_xlfn.IFS(Table1[[#This Row],[quality]]&lt;=4,"Low",Table1[[#This Row],[quality]]&lt;=6,"Medium",Table1[[#This Row],[quality]]&gt;=7,"High")</f>
        <v>Medium</v>
      </c>
      <c r="O759" s="2" t="str">
        <f>IF(AND(Table1[[#This Row],[fixed acidity]]&gt;Sheet1!$C$4,Table1[[#This Row],[pH]]&lt;Sheet1!$K$4),"High","Normal")</f>
        <v>Normal</v>
      </c>
      <c r="P759" s="1">
        <f>(Table1[[#This Row],[alcohol]]*2)+(Table1[[#This Row],[sulphates]]*1.5)-(Table1[[#This Row],[volatile acidity]]*2)</f>
        <v>18.610000000000003</v>
      </c>
      <c r="Q759" s="1">
        <f>RANK(Table1[[#This Row],[Quality_score_index]],Table1[Quality_score_index],0)</f>
        <v>1340</v>
      </c>
      <c r="R759" s="1">
        <f>Table1[[#This Row],[total sulfur dioxide]]-Table1[[#This Row],[free sulfur dioxide]]</f>
        <v>21</v>
      </c>
      <c r="S759" s="1" t="str">
        <f>IF(AND(Table1[[#This Row],[pH]]&gt;=3.2,Table1[[#This Row],[alcohol]]&gt;=10),"White wine","Red wine")</f>
        <v>Red wine</v>
      </c>
    </row>
    <row r="760" spans="1:19" x14ac:dyDescent="0.3">
      <c r="A760" s="13">
        <v>759</v>
      </c>
      <c r="B760" s="1">
        <v>8.1</v>
      </c>
      <c r="C760" s="1">
        <v>0.87</v>
      </c>
      <c r="D760" s="1">
        <v>0</v>
      </c>
      <c r="E760" s="1">
        <v>2.2000000000000002</v>
      </c>
      <c r="F760" s="1">
        <v>8.4000000000000005E-2</v>
      </c>
      <c r="G760" s="1">
        <v>10</v>
      </c>
      <c r="H760" s="1">
        <v>31</v>
      </c>
      <c r="I760" s="1">
        <v>0.99656</v>
      </c>
      <c r="J760" s="1">
        <v>3.25</v>
      </c>
      <c r="K760" s="1">
        <v>0.5</v>
      </c>
      <c r="L760" s="1">
        <v>9.8000000000000007</v>
      </c>
      <c r="M760" s="2">
        <v>5</v>
      </c>
      <c r="N760" s="2" t="str" cm="1">
        <f t="array" ref="N760">_xlfn.IFS(Table1[[#This Row],[quality]]&lt;=4,"Low",Table1[[#This Row],[quality]]&lt;=6,"Medium",Table1[[#This Row],[quality]]&gt;=7,"High")</f>
        <v>Medium</v>
      </c>
      <c r="O760" s="2" t="str">
        <f>IF(AND(Table1[[#This Row],[fixed acidity]]&gt;Sheet1!$C$4,Table1[[#This Row],[pH]]&lt;Sheet1!$K$4),"High","Normal")</f>
        <v>Normal</v>
      </c>
      <c r="P760" s="1">
        <f>(Table1[[#This Row],[alcohol]]*2)+(Table1[[#This Row],[sulphates]]*1.5)-(Table1[[#This Row],[volatile acidity]]*2)</f>
        <v>18.610000000000003</v>
      </c>
      <c r="Q760" s="1">
        <f>RANK(Table1[[#This Row],[Quality_score_index]],Table1[Quality_score_index],0)</f>
        <v>1340</v>
      </c>
      <c r="R760" s="1">
        <f>Table1[[#This Row],[total sulfur dioxide]]-Table1[[#This Row],[free sulfur dioxide]]</f>
        <v>21</v>
      </c>
      <c r="S760" s="1" t="str">
        <f>IF(AND(Table1[[#This Row],[pH]]&gt;=3.2,Table1[[#This Row],[alcohol]]&gt;=10),"White wine","Red wine")</f>
        <v>Red wine</v>
      </c>
    </row>
    <row r="761" spans="1:19" x14ac:dyDescent="0.3">
      <c r="A761" s="13">
        <v>760</v>
      </c>
      <c r="B761" s="1">
        <v>8.8000000000000007</v>
      </c>
      <c r="C761" s="1">
        <v>0.42</v>
      </c>
      <c r="D761" s="1">
        <v>0.21</v>
      </c>
      <c r="E761" s="1">
        <v>2.5</v>
      </c>
      <c r="F761" s="1">
        <v>9.1999999999999998E-2</v>
      </c>
      <c r="G761" s="1">
        <v>33</v>
      </c>
      <c r="H761" s="1">
        <v>88</v>
      </c>
      <c r="I761" s="1">
        <v>0.99822999999999995</v>
      </c>
      <c r="J761" s="1">
        <v>3.19</v>
      </c>
      <c r="K761" s="1">
        <v>0.52</v>
      </c>
      <c r="L761" s="1">
        <v>9.1999999999999993</v>
      </c>
      <c r="M761" s="2">
        <v>5</v>
      </c>
      <c r="N761" s="2" t="str" cm="1">
        <f t="array" ref="N761">_xlfn.IFS(Table1[[#This Row],[quality]]&lt;=4,"Low",Table1[[#This Row],[quality]]&lt;=6,"Medium",Table1[[#This Row],[quality]]&gt;=7,"High")</f>
        <v>Medium</v>
      </c>
      <c r="O761" s="2" t="str">
        <f>IF(AND(Table1[[#This Row],[fixed acidity]]&gt;Sheet1!$C$4,Table1[[#This Row],[pH]]&lt;Sheet1!$K$4),"High","Normal")</f>
        <v>High</v>
      </c>
      <c r="P761" s="1">
        <f>(Table1[[#This Row],[alcohol]]*2)+(Table1[[#This Row],[sulphates]]*1.5)-(Table1[[#This Row],[volatile acidity]]*2)</f>
        <v>18.34</v>
      </c>
      <c r="Q761" s="1">
        <f>RANK(Table1[[#This Row],[Quality_score_index]],Table1[Quality_score_index],0)</f>
        <v>1440</v>
      </c>
      <c r="R761" s="1">
        <f>Table1[[#This Row],[total sulfur dioxide]]-Table1[[#This Row],[free sulfur dioxide]]</f>
        <v>55</v>
      </c>
      <c r="S761" s="1" t="str">
        <f>IF(AND(Table1[[#This Row],[pH]]&gt;=3.2,Table1[[#This Row],[alcohol]]&gt;=10),"White wine","Red wine")</f>
        <v>Red wine</v>
      </c>
    </row>
    <row r="762" spans="1:19" x14ac:dyDescent="0.3">
      <c r="A762" s="13">
        <v>761</v>
      </c>
      <c r="B762" s="1">
        <v>9</v>
      </c>
      <c r="C762" s="1">
        <v>0.57999999999999996</v>
      </c>
      <c r="D762" s="1">
        <v>0.25</v>
      </c>
      <c r="E762" s="1">
        <v>2.8</v>
      </c>
      <c r="F762" s="1">
        <v>7.4999999999999997E-2</v>
      </c>
      <c r="G762" s="1">
        <v>9</v>
      </c>
      <c r="H762" s="1">
        <v>104</v>
      </c>
      <c r="I762" s="1">
        <v>0.99778999999999995</v>
      </c>
      <c r="J762" s="1">
        <v>3.23</v>
      </c>
      <c r="K762" s="1">
        <v>0.56999999999999995</v>
      </c>
      <c r="L762" s="1">
        <v>9.6999999999999993</v>
      </c>
      <c r="M762" s="2">
        <v>5</v>
      </c>
      <c r="N762" s="2" t="str" cm="1">
        <f t="array" ref="N762">_xlfn.IFS(Table1[[#This Row],[quality]]&lt;=4,"Low",Table1[[#This Row],[quality]]&lt;=6,"Medium",Table1[[#This Row],[quality]]&gt;=7,"High")</f>
        <v>Medium</v>
      </c>
      <c r="O762" s="2" t="str">
        <f>IF(AND(Table1[[#This Row],[fixed acidity]]&gt;Sheet1!$C$4,Table1[[#This Row],[pH]]&lt;Sheet1!$K$4),"High","Normal")</f>
        <v>High</v>
      </c>
      <c r="P762" s="1">
        <f>(Table1[[#This Row],[alcohol]]*2)+(Table1[[#This Row],[sulphates]]*1.5)-(Table1[[#This Row],[volatile acidity]]*2)</f>
        <v>19.094999999999999</v>
      </c>
      <c r="Q762" s="1">
        <f>RANK(Table1[[#This Row],[Quality_score_index]],Table1[Quality_score_index],0)</f>
        <v>1124</v>
      </c>
      <c r="R762" s="1">
        <f>Table1[[#This Row],[total sulfur dioxide]]-Table1[[#This Row],[free sulfur dioxide]]</f>
        <v>95</v>
      </c>
      <c r="S762" s="1" t="str">
        <f>IF(AND(Table1[[#This Row],[pH]]&gt;=3.2,Table1[[#This Row],[alcohol]]&gt;=10),"White wine","Red wine")</f>
        <v>Red wine</v>
      </c>
    </row>
    <row r="763" spans="1:19" x14ac:dyDescent="0.3">
      <c r="A763" s="13">
        <v>762</v>
      </c>
      <c r="B763" s="1">
        <v>9.3000000000000007</v>
      </c>
      <c r="C763" s="1">
        <v>0.65500000000000003</v>
      </c>
      <c r="D763" s="1">
        <v>0.26</v>
      </c>
      <c r="E763" s="1">
        <v>2</v>
      </c>
      <c r="F763" s="1">
        <v>9.6000000000000002E-2</v>
      </c>
      <c r="G763" s="1">
        <v>5</v>
      </c>
      <c r="H763" s="1">
        <v>35</v>
      </c>
      <c r="I763" s="1">
        <v>0.99738000000000004</v>
      </c>
      <c r="J763" s="1">
        <v>3.25</v>
      </c>
      <c r="K763" s="1">
        <v>0.42</v>
      </c>
      <c r="L763" s="1">
        <v>9.6</v>
      </c>
      <c r="M763" s="2">
        <v>5</v>
      </c>
      <c r="N763" s="2" t="str" cm="1">
        <f t="array" ref="N763">_xlfn.IFS(Table1[[#This Row],[quality]]&lt;=4,"Low",Table1[[#This Row],[quality]]&lt;=6,"Medium",Table1[[#This Row],[quality]]&gt;=7,"High")</f>
        <v>Medium</v>
      </c>
      <c r="O763" s="2" t="str">
        <f>IF(AND(Table1[[#This Row],[fixed acidity]]&gt;Sheet1!$C$4,Table1[[#This Row],[pH]]&lt;Sheet1!$K$4),"High","Normal")</f>
        <v>High</v>
      </c>
      <c r="P763" s="1">
        <f>(Table1[[#This Row],[alcohol]]*2)+(Table1[[#This Row],[sulphates]]*1.5)-(Table1[[#This Row],[volatile acidity]]*2)</f>
        <v>18.52</v>
      </c>
      <c r="Q763" s="1">
        <f>RANK(Table1[[#This Row],[Quality_score_index]],Table1[Quality_score_index],0)</f>
        <v>1374</v>
      </c>
      <c r="R763" s="1">
        <f>Table1[[#This Row],[total sulfur dioxide]]-Table1[[#This Row],[free sulfur dioxide]]</f>
        <v>30</v>
      </c>
      <c r="S763" s="1" t="str">
        <f>IF(AND(Table1[[#This Row],[pH]]&gt;=3.2,Table1[[#This Row],[alcohol]]&gt;=10),"White wine","Red wine")</f>
        <v>Red wine</v>
      </c>
    </row>
    <row r="764" spans="1:19" x14ac:dyDescent="0.3">
      <c r="A764" s="13">
        <v>763</v>
      </c>
      <c r="B764" s="1">
        <v>8.8000000000000007</v>
      </c>
      <c r="C764" s="1">
        <v>0.7</v>
      </c>
      <c r="D764" s="1">
        <v>0</v>
      </c>
      <c r="E764" s="1">
        <v>1.7</v>
      </c>
      <c r="F764" s="1">
        <v>6.9000000000000006E-2</v>
      </c>
      <c r="G764" s="1">
        <v>8</v>
      </c>
      <c r="H764" s="1">
        <v>19</v>
      </c>
      <c r="I764" s="1">
        <v>0.99700999999999995</v>
      </c>
      <c r="J764" s="1">
        <v>3.31</v>
      </c>
      <c r="K764" s="1">
        <v>0.53</v>
      </c>
      <c r="L764" s="1">
        <v>10</v>
      </c>
      <c r="M764" s="2">
        <v>6</v>
      </c>
      <c r="N764" s="2" t="str" cm="1">
        <f t="array" ref="N764">_xlfn.IFS(Table1[[#This Row],[quality]]&lt;=4,"Low",Table1[[#This Row],[quality]]&lt;=6,"Medium",Table1[[#This Row],[quality]]&gt;=7,"High")</f>
        <v>Medium</v>
      </c>
      <c r="O764" s="2" t="str">
        <f>IF(AND(Table1[[#This Row],[fixed acidity]]&gt;Sheet1!$C$4,Table1[[#This Row],[pH]]&lt;Sheet1!$K$4),"High","Normal")</f>
        <v>High</v>
      </c>
      <c r="P764" s="1">
        <f>(Table1[[#This Row],[alcohol]]*2)+(Table1[[#This Row],[sulphates]]*1.5)-(Table1[[#This Row],[volatile acidity]]*2)</f>
        <v>19.395000000000003</v>
      </c>
      <c r="Q764" s="1">
        <f>RANK(Table1[[#This Row],[Quality_score_index]],Table1[Quality_score_index],0)</f>
        <v>1007</v>
      </c>
      <c r="R764" s="1">
        <f>Table1[[#This Row],[total sulfur dioxide]]-Table1[[#This Row],[free sulfur dioxide]]</f>
        <v>11</v>
      </c>
      <c r="S764" s="1" t="str">
        <f>IF(AND(Table1[[#This Row],[pH]]&gt;=3.2,Table1[[#This Row],[alcohol]]&gt;=10),"White wine","Red wine")</f>
        <v>White wine</v>
      </c>
    </row>
    <row r="765" spans="1:19" x14ac:dyDescent="0.3">
      <c r="A765" s="13">
        <v>764</v>
      </c>
      <c r="B765" s="1">
        <v>9.3000000000000007</v>
      </c>
      <c r="C765" s="1">
        <v>0.65500000000000003</v>
      </c>
      <c r="D765" s="1">
        <v>0.26</v>
      </c>
      <c r="E765" s="1">
        <v>2</v>
      </c>
      <c r="F765" s="1">
        <v>9.6000000000000002E-2</v>
      </c>
      <c r="G765" s="1">
        <v>5</v>
      </c>
      <c r="H765" s="1">
        <v>35</v>
      </c>
      <c r="I765" s="1">
        <v>0.99738000000000004</v>
      </c>
      <c r="J765" s="1">
        <v>3.25</v>
      </c>
      <c r="K765" s="1">
        <v>0.42</v>
      </c>
      <c r="L765" s="1">
        <v>9.6</v>
      </c>
      <c r="M765" s="2">
        <v>5</v>
      </c>
      <c r="N765" s="2" t="str" cm="1">
        <f t="array" ref="N765">_xlfn.IFS(Table1[[#This Row],[quality]]&lt;=4,"Low",Table1[[#This Row],[quality]]&lt;=6,"Medium",Table1[[#This Row],[quality]]&gt;=7,"High")</f>
        <v>Medium</v>
      </c>
      <c r="O765" s="2" t="str">
        <f>IF(AND(Table1[[#This Row],[fixed acidity]]&gt;Sheet1!$C$4,Table1[[#This Row],[pH]]&lt;Sheet1!$K$4),"High","Normal")</f>
        <v>High</v>
      </c>
      <c r="P765" s="1">
        <f>(Table1[[#This Row],[alcohol]]*2)+(Table1[[#This Row],[sulphates]]*1.5)-(Table1[[#This Row],[volatile acidity]]*2)</f>
        <v>18.52</v>
      </c>
      <c r="Q765" s="1">
        <f>RANK(Table1[[#This Row],[Quality_score_index]],Table1[Quality_score_index],0)</f>
        <v>1374</v>
      </c>
      <c r="R765" s="1">
        <f>Table1[[#This Row],[total sulfur dioxide]]-Table1[[#This Row],[free sulfur dioxide]]</f>
        <v>30</v>
      </c>
      <c r="S765" s="1" t="str">
        <f>IF(AND(Table1[[#This Row],[pH]]&gt;=3.2,Table1[[#This Row],[alcohol]]&gt;=10),"White wine","Red wine")</f>
        <v>Red wine</v>
      </c>
    </row>
    <row r="766" spans="1:19" x14ac:dyDescent="0.3">
      <c r="A766" s="13">
        <v>765</v>
      </c>
      <c r="B766" s="1">
        <v>9.1</v>
      </c>
      <c r="C766" s="1">
        <v>0.68</v>
      </c>
      <c r="D766" s="1">
        <v>0.11</v>
      </c>
      <c r="E766" s="1">
        <v>2.8</v>
      </c>
      <c r="F766" s="1">
        <v>9.2999999999999999E-2</v>
      </c>
      <c r="G766" s="1">
        <v>11</v>
      </c>
      <c r="H766" s="1">
        <v>44</v>
      </c>
      <c r="I766" s="1">
        <v>0.99887999999999999</v>
      </c>
      <c r="J766" s="1">
        <v>3.31</v>
      </c>
      <c r="K766" s="1">
        <v>0.55000000000000004</v>
      </c>
      <c r="L766" s="1">
        <v>9.5</v>
      </c>
      <c r="M766" s="2">
        <v>6</v>
      </c>
      <c r="N766" s="2" t="str" cm="1">
        <f t="array" ref="N766">_xlfn.IFS(Table1[[#This Row],[quality]]&lt;=4,"Low",Table1[[#This Row],[quality]]&lt;=6,"Medium",Table1[[#This Row],[quality]]&gt;=7,"High")</f>
        <v>Medium</v>
      </c>
      <c r="O766" s="2" t="str">
        <f>IF(AND(Table1[[#This Row],[fixed acidity]]&gt;Sheet1!$C$4,Table1[[#This Row],[pH]]&lt;Sheet1!$K$4),"High","Normal")</f>
        <v>High</v>
      </c>
      <c r="P766" s="1">
        <f>(Table1[[#This Row],[alcohol]]*2)+(Table1[[#This Row],[sulphates]]*1.5)-(Table1[[#This Row],[volatile acidity]]*2)</f>
        <v>18.465</v>
      </c>
      <c r="Q766" s="1">
        <f>RANK(Table1[[#This Row],[Quality_score_index]],Table1[Quality_score_index],0)</f>
        <v>1387</v>
      </c>
      <c r="R766" s="1">
        <f>Table1[[#This Row],[total sulfur dioxide]]-Table1[[#This Row],[free sulfur dioxide]]</f>
        <v>33</v>
      </c>
      <c r="S766" s="1" t="str">
        <f>IF(AND(Table1[[#This Row],[pH]]&gt;=3.2,Table1[[#This Row],[alcohol]]&gt;=10),"White wine","Red wine")</f>
        <v>Red wine</v>
      </c>
    </row>
    <row r="767" spans="1:19" x14ac:dyDescent="0.3">
      <c r="A767" s="13">
        <v>766</v>
      </c>
      <c r="B767" s="1">
        <v>9.1999999999999993</v>
      </c>
      <c r="C767" s="1">
        <v>0.67</v>
      </c>
      <c r="D767" s="1">
        <v>0.1</v>
      </c>
      <c r="E767" s="1">
        <v>3</v>
      </c>
      <c r="F767" s="1">
        <v>9.0999999999999998E-2</v>
      </c>
      <c r="G767" s="1">
        <v>12</v>
      </c>
      <c r="H767" s="1">
        <v>48</v>
      </c>
      <c r="I767" s="1">
        <v>0.99887999999999999</v>
      </c>
      <c r="J767" s="1">
        <v>3.31</v>
      </c>
      <c r="K767" s="1">
        <v>0.54</v>
      </c>
      <c r="L767" s="1">
        <v>9.5</v>
      </c>
      <c r="M767" s="2">
        <v>6</v>
      </c>
      <c r="N767" s="2" t="str" cm="1">
        <f t="array" ref="N767">_xlfn.IFS(Table1[[#This Row],[quality]]&lt;=4,"Low",Table1[[#This Row],[quality]]&lt;=6,"Medium",Table1[[#This Row],[quality]]&gt;=7,"High")</f>
        <v>Medium</v>
      </c>
      <c r="O767" s="2" t="str">
        <f>IF(AND(Table1[[#This Row],[fixed acidity]]&gt;Sheet1!$C$4,Table1[[#This Row],[pH]]&lt;Sheet1!$K$4),"High","Normal")</f>
        <v>High</v>
      </c>
      <c r="P767" s="1">
        <f>(Table1[[#This Row],[alcohol]]*2)+(Table1[[#This Row],[sulphates]]*1.5)-(Table1[[#This Row],[volatile acidity]]*2)</f>
        <v>18.47</v>
      </c>
      <c r="Q767" s="1">
        <f>RANK(Table1[[#This Row],[Quality_score_index]],Table1[Quality_score_index],0)</f>
        <v>1384</v>
      </c>
      <c r="R767" s="1">
        <f>Table1[[#This Row],[total sulfur dioxide]]-Table1[[#This Row],[free sulfur dioxide]]</f>
        <v>36</v>
      </c>
      <c r="S767" s="1" t="str">
        <f>IF(AND(Table1[[#This Row],[pH]]&gt;=3.2,Table1[[#This Row],[alcohol]]&gt;=10),"White wine","Red wine")</f>
        <v>Red wine</v>
      </c>
    </row>
    <row r="768" spans="1:19" x14ac:dyDescent="0.3">
      <c r="A768" s="13">
        <v>767</v>
      </c>
      <c r="B768" s="1">
        <v>8.8000000000000007</v>
      </c>
      <c r="C768" s="1">
        <v>0.59</v>
      </c>
      <c r="D768" s="1">
        <v>0.18</v>
      </c>
      <c r="E768" s="1">
        <v>2.9</v>
      </c>
      <c r="F768" s="1">
        <v>8.8999999999999996E-2</v>
      </c>
      <c r="G768" s="1">
        <v>12</v>
      </c>
      <c r="H768" s="1">
        <v>74</v>
      </c>
      <c r="I768" s="1">
        <v>0.99738000000000004</v>
      </c>
      <c r="J768" s="1">
        <v>3.14</v>
      </c>
      <c r="K768" s="1">
        <v>0.54</v>
      </c>
      <c r="L768" s="1">
        <v>9.4</v>
      </c>
      <c r="M768" s="2">
        <v>5</v>
      </c>
      <c r="N768" s="2" t="str" cm="1">
        <f t="array" ref="N768">_xlfn.IFS(Table1[[#This Row],[quality]]&lt;=4,"Low",Table1[[#This Row],[quality]]&lt;=6,"Medium",Table1[[#This Row],[quality]]&gt;=7,"High")</f>
        <v>Medium</v>
      </c>
      <c r="O768" s="2" t="str">
        <f>IF(AND(Table1[[#This Row],[fixed acidity]]&gt;Sheet1!$C$4,Table1[[#This Row],[pH]]&lt;Sheet1!$K$4),"High","Normal")</f>
        <v>High</v>
      </c>
      <c r="P768" s="1">
        <f>(Table1[[#This Row],[alcohol]]*2)+(Table1[[#This Row],[sulphates]]*1.5)-(Table1[[#This Row],[volatile acidity]]*2)</f>
        <v>18.43</v>
      </c>
      <c r="Q768" s="1">
        <f>RANK(Table1[[#This Row],[Quality_score_index]],Table1[Quality_score_index],0)</f>
        <v>1399</v>
      </c>
      <c r="R768" s="1">
        <f>Table1[[#This Row],[total sulfur dioxide]]-Table1[[#This Row],[free sulfur dioxide]]</f>
        <v>62</v>
      </c>
      <c r="S768" s="1" t="str">
        <f>IF(AND(Table1[[#This Row],[pH]]&gt;=3.2,Table1[[#This Row],[alcohol]]&gt;=10),"White wine","Red wine")</f>
        <v>Red wine</v>
      </c>
    </row>
    <row r="769" spans="1:19" x14ac:dyDescent="0.3">
      <c r="A769" s="13">
        <v>768</v>
      </c>
      <c r="B769" s="1">
        <v>7.5</v>
      </c>
      <c r="C769" s="1">
        <v>0.6</v>
      </c>
      <c r="D769" s="1">
        <v>0.32</v>
      </c>
      <c r="E769" s="1">
        <v>2.7</v>
      </c>
      <c r="F769" s="1">
        <v>0.10299999999999999</v>
      </c>
      <c r="G769" s="1">
        <v>13</v>
      </c>
      <c r="H769" s="1">
        <v>98</v>
      </c>
      <c r="I769" s="1">
        <v>0.99938000000000005</v>
      </c>
      <c r="J769" s="1">
        <v>3.45</v>
      </c>
      <c r="K769" s="1">
        <v>0.62</v>
      </c>
      <c r="L769" s="1">
        <v>9.5</v>
      </c>
      <c r="M769" s="2">
        <v>5</v>
      </c>
      <c r="N769" s="2" t="str" cm="1">
        <f t="array" ref="N769">_xlfn.IFS(Table1[[#This Row],[quality]]&lt;=4,"Low",Table1[[#This Row],[quality]]&lt;=6,"Medium",Table1[[#This Row],[quality]]&gt;=7,"High")</f>
        <v>Medium</v>
      </c>
      <c r="O769" s="2" t="str">
        <f>IF(AND(Table1[[#This Row],[fixed acidity]]&gt;Sheet1!$C$4,Table1[[#This Row],[pH]]&lt;Sheet1!$K$4),"High","Normal")</f>
        <v>Normal</v>
      </c>
      <c r="P769" s="1">
        <f>(Table1[[#This Row],[alcohol]]*2)+(Table1[[#This Row],[sulphates]]*1.5)-(Table1[[#This Row],[volatile acidity]]*2)</f>
        <v>18.73</v>
      </c>
      <c r="Q769" s="1">
        <f>RANK(Table1[[#This Row],[Quality_score_index]],Table1[Quality_score_index],0)</f>
        <v>1270</v>
      </c>
      <c r="R769" s="1">
        <f>Table1[[#This Row],[total sulfur dioxide]]-Table1[[#This Row],[free sulfur dioxide]]</f>
        <v>85</v>
      </c>
      <c r="S769" s="1" t="str">
        <f>IF(AND(Table1[[#This Row],[pH]]&gt;=3.2,Table1[[#This Row],[alcohol]]&gt;=10),"White wine","Red wine")</f>
        <v>Red wine</v>
      </c>
    </row>
    <row r="770" spans="1:19" x14ac:dyDescent="0.3">
      <c r="A770" s="13">
        <v>769</v>
      </c>
      <c r="B770" s="1">
        <v>7.1</v>
      </c>
      <c r="C770" s="1">
        <v>0.59</v>
      </c>
      <c r="D770" s="1">
        <v>0.02</v>
      </c>
      <c r="E770" s="1">
        <v>2.2999999999999998</v>
      </c>
      <c r="F770" s="1">
        <v>8.2000000000000003E-2</v>
      </c>
      <c r="G770" s="1">
        <v>24</v>
      </c>
      <c r="H770" s="1">
        <v>94</v>
      </c>
      <c r="I770" s="1">
        <v>0.99743999999999999</v>
      </c>
      <c r="J770" s="1">
        <v>3.55</v>
      </c>
      <c r="K770" s="1">
        <v>0.53</v>
      </c>
      <c r="L770" s="1">
        <v>9.6999999999999993</v>
      </c>
      <c r="M770" s="2">
        <v>6</v>
      </c>
      <c r="N770" s="2" t="str" cm="1">
        <f t="array" ref="N770">_xlfn.IFS(Table1[[#This Row],[quality]]&lt;=4,"Low",Table1[[#This Row],[quality]]&lt;=6,"Medium",Table1[[#This Row],[quality]]&gt;=7,"High")</f>
        <v>Medium</v>
      </c>
      <c r="O770" s="2" t="str">
        <f>IF(AND(Table1[[#This Row],[fixed acidity]]&gt;Sheet1!$C$4,Table1[[#This Row],[pH]]&lt;Sheet1!$K$4),"High","Normal")</f>
        <v>Normal</v>
      </c>
      <c r="P770" s="1">
        <f>(Table1[[#This Row],[alcohol]]*2)+(Table1[[#This Row],[sulphates]]*1.5)-(Table1[[#This Row],[volatile acidity]]*2)</f>
        <v>19.015000000000001</v>
      </c>
      <c r="Q770" s="1">
        <f>RANK(Table1[[#This Row],[Quality_score_index]],Table1[Quality_score_index],0)</f>
        <v>1159</v>
      </c>
      <c r="R770" s="1">
        <f>Table1[[#This Row],[total sulfur dioxide]]-Table1[[#This Row],[free sulfur dioxide]]</f>
        <v>70</v>
      </c>
      <c r="S770" s="1" t="str">
        <f>IF(AND(Table1[[#This Row],[pH]]&gt;=3.2,Table1[[#This Row],[alcohol]]&gt;=10),"White wine","Red wine")</f>
        <v>Red wine</v>
      </c>
    </row>
    <row r="771" spans="1:19" x14ac:dyDescent="0.3">
      <c r="A771" s="13">
        <v>770</v>
      </c>
      <c r="B771" s="1">
        <v>7.9</v>
      </c>
      <c r="C771" s="1">
        <v>0.72</v>
      </c>
      <c r="D771" s="1">
        <v>0.01</v>
      </c>
      <c r="E771" s="1">
        <v>1.9</v>
      </c>
      <c r="F771" s="1">
        <v>7.5999999999999998E-2</v>
      </c>
      <c r="G771" s="1">
        <v>7</v>
      </c>
      <c r="H771" s="1">
        <v>32</v>
      </c>
      <c r="I771" s="1">
        <v>0.99668000000000001</v>
      </c>
      <c r="J771" s="1">
        <v>3.39</v>
      </c>
      <c r="K771" s="1">
        <v>0.54</v>
      </c>
      <c r="L771" s="1">
        <v>9.6</v>
      </c>
      <c r="M771" s="2">
        <v>5</v>
      </c>
      <c r="N771" s="2" t="str" cm="1">
        <f t="array" ref="N771">_xlfn.IFS(Table1[[#This Row],[quality]]&lt;=4,"Low",Table1[[#This Row],[quality]]&lt;=6,"Medium",Table1[[#This Row],[quality]]&gt;=7,"High")</f>
        <v>Medium</v>
      </c>
      <c r="O771" s="2" t="str">
        <f>IF(AND(Table1[[#This Row],[fixed acidity]]&gt;Sheet1!$C$4,Table1[[#This Row],[pH]]&lt;Sheet1!$K$4),"High","Normal")</f>
        <v>Normal</v>
      </c>
      <c r="P771" s="1">
        <f>(Table1[[#This Row],[alcohol]]*2)+(Table1[[#This Row],[sulphates]]*1.5)-(Table1[[#This Row],[volatile acidity]]*2)</f>
        <v>18.569999999999997</v>
      </c>
      <c r="Q771" s="1">
        <f>RANK(Table1[[#This Row],[Quality_score_index]],Table1[Quality_score_index],0)</f>
        <v>1354</v>
      </c>
      <c r="R771" s="1">
        <f>Table1[[#This Row],[total sulfur dioxide]]-Table1[[#This Row],[free sulfur dioxide]]</f>
        <v>25</v>
      </c>
      <c r="S771" s="1" t="str">
        <f>IF(AND(Table1[[#This Row],[pH]]&gt;=3.2,Table1[[#This Row],[alcohol]]&gt;=10),"White wine","Red wine")</f>
        <v>Red wine</v>
      </c>
    </row>
    <row r="772" spans="1:19" x14ac:dyDescent="0.3">
      <c r="A772" s="13">
        <v>771</v>
      </c>
      <c r="B772" s="1">
        <v>7.1</v>
      </c>
      <c r="C772" s="1">
        <v>0.59</v>
      </c>
      <c r="D772" s="1">
        <v>0.02</v>
      </c>
      <c r="E772" s="1">
        <v>2.2999999999999998</v>
      </c>
      <c r="F772" s="1">
        <v>8.2000000000000003E-2</v>
      </c>
      <c r="G772" s="1">
        <v>24</v>
      </c>
      <c r="H772" s="1">
        <v>94</v>
      </c>
      <c r="I772" s="1">
        <v>0.99743999999999999</v>
      </c>
      <c r="J772" s="1">
        <v>3.55</v>
      </c>
      <c r="K772" s="1">
        <v>0.53</v>
      </c>
      <c r="L772" s="1">
        <v>9.6999999999999993</v>
      </c>
      <c r="M772" s="2">
        <v>6</v>
      </c>
      <c r="N772" s="2" t="str" cm="1">
        <f t="array" ref="N772">_xlfn.IFS(Table1[[#This Row],[quality]]&lt;=4,"Low",Table1[[#This Row],[quality]]&lt;=6,"Medium",Table1[[#This Row],[quality]]&gt;=7,"High")</f>
        <v>Medium</v>
      </c>
      <c r="O772" s="2" t="str">
        <f>IF(AND(Table1[[#This Row],[fixed acidity]]&gt;Sheet1!$C$4,Table1[[#This Row],[pH]]&lt;Sheet1!$K$4),"High","Normal")</f>
        <v>Normal</v>
      </c>
      <c r="P772" s="1">
        <f>(Table1[[#This Row],[alcohol]]*2)+(Table1[[#This Row],[sulphates]]*1.5)-(Table1[[#This Row],[volatile acidity]]*2)</f>
        <v>19.015000000000001</v>
      </c>
      <c r="Q772" s="1">
        <f>RANK(Table1[[#This Row],[Quality_score_index]],Table1[Quality_score_index],0)</f>
        <v>1159</v>
      </c>
      <c r="R772" s="1">
        <f>Table1[[#This Row],[total sulfur dioxide]]-Table1[[#This Row],[free sulfur dioxide]]</f>
        <v>70</v>
      </c>
      <c r="S772" s="1" t="str">
        <f>IF(AND(Table1[[#This Row],[pH]]&gt;=3.2,Table1[[#This Row],[alcohol]]&gt;=10),"White wine","Red wine")</f>
        <v>Red wine</v>
      </c>
    </row>
    <row r="773" spans="1:19" x14ac:dyDescent="0.3">
      <c r="A773" s="13">
        <v>772</v>
      </c>
      <c r="B773" s="1">
        <v>9.4</v>
      </c>
      <c r="C773" s="1">
        <v>0.68500000000000005</v>
      </c>
      <c r="D773" s="1">
        <v>0.26</v>
      </c>
      <c r="E773" s="1">
        <v>2.4</v>
      </c>
      <c r="F773" s="1">
        <v>8.2000000000000003E-2</v>
      </c>
      <c r="G773" s="1">
        <v>23</v>
      </c>
      <c r="H773" s="1">
        <v>143</v>
      </c>
      <c r="I773" s="1">
        <v>0.99780000000000002</v>
      </c>
      <c r="J773" s="1">
        <v>3.28</v>
      </c>
      <c r="K773" s="1">
        <v>0.55000000000000004</v>
      </c>
      <c r="L773" s="1">
        <v>9.4</v>
      </c>
      <c r="M773" s="2">
        <v>5</v>
      </c>
      <c r="N773" s="2" t="str" cm="1">
        <f t="array" ref="N773">_xlfn.IFS(Table1[[#This Row],[quality]]&lt;=4,"Low",Table1[[#This Row],[quality]]&lt;=6,"Medium",Table1[[#This Row],[quality]]&gt;=7,"High")</f>
        <v>Medium</v>
      </c>
      <c r="O773" s="2" t="str">
        <f>IF(AND(Table1[[#This Row],[fixed acidity]]&gt;Sheet1!$C$4,Table1[[#This Row],[pH]]&lt;Sheet1!$K$4),"High","Normal")</f>
        <v>High</v>
      </c>
      <c r="P773" s="1">
        <f>(Table1[[#This Row],[alcohol]]*2)+(Table1[[#This Row],[sulphates]]*1.5)-(Table1[[#This Row],[volatile acidity]]*2)</f>
        <v>18.254999999999999</v>
      </c>
      <c r="Q773" s="1">
        <f>RANK(Table1[[#This Row],[Quality_score_index]],Table1[Quality_score_index],0)</f>
        <v>1466</v>
      </c>
      <c r="R773" s="1">
        <f>Table1[[#This Row],[total sulfur dioxide]]-Table1[[#This Row],[free sulfur dioxide]]</f>
        <v>120</v>
      </c>
      <c r="S773" s="1" t="str">
        <f>IF(AND(Table1[[#This Row],[pH]]&gt;=3.2,Table1[[#This Row],[alcohol]]&gt;=10),"White wine","Red wine")</f>
        <v>Red wine</v>
      </c>
    </row>
    <row r="774" spans="1:19" x14ac:dyDescent="0.3">
      <c r="A774" s="13">
        <v>773</v>
      </c>
      <c r="B774" s="1">
        <v>9.5</v>
      </c>
      <c r="C774" s="1">
        <v>0.56999999999999995</v>
      </c>
      <c r="D774" s="1">
        <v>0.27</v>
      </c>
      <c r="E774" s="1">
        <v>2.2999999999999998</v>
      </c>
      <c r="F774" s="1">
        <v>8.2000000000000003E-2</v>
      </c>
      <c r="G774" s="1">
        <v>23</v>
      </c>
      <c r="H774" s="1">
        <v>144</v>
      </c>
      <c r="I774" s="1">
        <v>0.99782000000000004</v>
      </c>
      <c r="J774" s="1">
        <v>3.27</v>
      </c>
      <c r="K774" s="1">
        <v>0.55000000000000004</v>
      </c>
      <c r="L774" s="1">
        <v>9.4</v>
      </c>
      <c r="M774" s="2">
        <v>5</v>
      </c>
      <c r="N774" s="2" t="str" cm="1">
        <f t="array" ref="N774">_xlfn.IFS(Table1[[#This Row],[quality]]&lt;=4,"Low",Table1[[#This Row],[quality]]&lt;=6,"Medium",Table1[[#This Row],[quality]]&gt;=7,"High")</f>
        <v>Medium</v>
      </c>
      <c r="O774" s="2" t="str">
        <f>IF(AND(Table1[[#This Row],[fixed acidity]]&gt;Sheet1!$C$4,Table1[[#This Row],[pH]]&lt;Sheet1!$K$4),"High","Normal")</f>
        <v>High</v>
      </c>
      <c r="P774" s="1">
        <f>(Table1[[#This Row],[alcohol]]*2)+(Table1[[#This Row],[sulphates]]*1.5)-(Table1[[#This Row],[volatile acidity]]*2)</f>
        <v>18.484999999999999</v>
      </c>
      <c r="Q774" s="1">
        <f>RANK(Table1[[#This Row],[Quality_score_index]],Table1[Quality_score_index],0)</f>
        <v>1379</v>
      </c>
      <c r="R774" s="1">
        <f>Table1[[#This Row],[total sulfur dioxide]]-Table1[[#This Row],[free sulfur dioxide]]</f>
        <v>121</v>
      </c>
      <c r="S774" s="1" t="str">
        <f>IF(AND(Table1[[#This Row],[pH]]&gt;=3.2,Table1[[#This Row],[alcohol]]&gt;=10),"White wine","Red wine")</f>
        <v>Red wine</v>
      </c>
    </row>
    <row r="775" spans="1:19" x14ac:dyDescent="0.3">
      <c r="A775" s="13">
        <v>774</v>
      </c>
      <c r="B775" s="1">
        <v>7.9</v>
      </c>
      <c r="C775" s="1">
        <v>0.4</v>
      </c>
      <c r="D775" s="1">
        <v>0.28999999999999998</v>
      </c>
      <c r="E775" s="1">
        <v>1.8</v>
      </c>
      <c r="F775" s="1">
        <v>0.157</v>
      </c>
      <c r="G775" s="1">
        <v>1</v>
      </c>
      <c r="H775" s="1">
        <v>44</v>
      </c>
      <c r="I775" s="1">
        <v>0.99729999999999996</v>
      </c>
      <c r="J775" s="1">
        <v>3.3</v>
      </c>
      <c r="K775" s="1">
        <v>0.92</v>
      </c>
      <c r="L775" s="1">
        <v>9.5</v>
      </c>
      <c r="M775" s="2">
        <v>6</v>
      </c>
      <c r="N775" s="2" t="str" cm="1">
        <f t="array" ref="N775">_xlfn.IFS(Table1[[#This Row],[quality]]&lt;=4,"Low",Table1[[#This Row],[quality]]&lt;=6,"Medium",Table1[[#This Row],[quality]]&gt;=7,"High")</f>
        <v>Medium</v>
      </c>
      <c r="O775" s="2" t="str">
        <f>IF(AND(Table1[[#This Row],[fixed acidity]]&gt;Sheet1!$C$4,Table1[[#This Row],[pH]]&lt;Sheet1!$K$4),"High","Normal")</f>
        <v>Normal</v>
      </c>
      <c r="P775" s="1">
        <f>(Table1[[#This Row],[alcohol]]*2)+(Table1[[#This Row],[sulphates]]*1.5)-(Table1[[#This Row],[volatile acidity]]*2)</f>
        <v>19.579999999999998</v>
      </c>
      <c r="Q775" s="1">
        <f>RANK(Table1[[#This Row],[Quality_score_index]],Table1[Quality_score_index],0)</f>
        <v>955</v>
      </c>
      <c r="R775" s="1">
        <f>Table1[[#This Row],[total sulfur dioxide]]-Table1[[#This Row],[free sulfur dioxide]]</f>
        <v>43</v>
      </c>
      <c r="S775" s="1" t="str">
        <f>IF(AND(Table1[[#This Row],[pH]]&gt;=3.2,Table1[[#This Row],[alcohol]]&gt;=10),"White wine","Red wine")</f>
        <v>Red wine</v>
      </c>
    </row>
    <row r="776" spans="1:19" x14ac:dyDescent="0.3">
      <c r="A776" s="13">
        <v>775</v>
      </c>
      <c r="B776" s="1">
        <v>7.9</v>
      </c>
      <c r="C776" s="1">
        <v>0.4</v>
      </c>
      <c r="D776" s="1">
        <v>0.3</v>
      </c>
      <c r="E776" s="1">
        <v>1.8</v>
      </c>
      <c r="F776" s="1">
        <v>0.157</v>
      </c>
      <c r="G776" s="1">
        <v>2</v>
      </c>
      <c r="H776" s="1">
        <v>45</v>
      </c>
      <c r="I776" s="1">
        <v>0.99726999999999999</v>
      </c>
      <c r="J776" s="1">
        <v>3.31</v>
      </c>
      <c r="K776" s="1">
        <v>0.91</v>
      </c>
      <c r="L776" s="1">
        <v>9.5</v>
      </c>
      <c r="M776" s="2">
        <v>6</v>
      </c>
      <c r="N776" s="2" t="str" cm="1">
        <f t="array" ref="N776">_xlfn.IFS(Table1[[#This Row],[quality]]&lt;=4,"Low",Table1[[#This Row],[quality]]&lt;=6,"Medium",Table1[[#This Row],[quality]]&gt;=7,"High")</f>
        <v>Medium</v>
      </c>
      <c r="O776" s="2" t="str">
        <f>IF(AND(Table1[[#This Row],[fixed acidity]]&gt;Sheet1!$C$4,Table1[[#This Row],[pH]]&lt;Sheet1!$K$4),"High","Normal")</f>
        <v>Normal</v>
      </c>
      <c r="P776" s="1">
        <f>(Table1[[#This Row],[alcohol]]*2)+(Table1[[#This Row],[sulphates]]*1.5)-(Table1[[#This Row],[volatile acidity]]*2)</f>
        <v>19.564999999999998</v>
      </c>
      <c r="Q776" s="1">
        <f>RANK(Table1[[#This Row],[Quality_score_index]],Table1[Quality_score_index],0)</f>
        <v>961</v>
      </c>
      <c r="R776" s="1">
        <f>Table1[[#This Row],[total sulfur dioxide]]-Table1[[#This Row],[free sulfur dioxide]]</f>
        <v>43</v>
      </c>
      <c r="S776" s="1" t="str">
        <f>IF(AND(Table1[[#This Row],[pH]]&gt;=3.2,Table1[[#This Row],[alcohol]]&gt;=10),"White wine","Red wine")</f>
        <v>Red wine</v>
      </c>
    </row>
    <row r="777" spans="1:19" x14ac:dyDescent="0.3">
      <c r="A777" s="13">
        <v>776</v>
      </c>
      <c r="B777" s="1">
        <v>7.2</v>
      </c>
      <c r="C777" s="1">
        <v>1</v>
      </c>
      <c r="D777" s="1">
        <v>0</v>
      </c>
      <c r="E777" s="1">
        <v>3</v>
      </c>
      <c r="F777" s="1">
        <v>0.10199999999999999</v>
      </c>
      <c r="G777" s="1">
        <v>7</v>
      </c>
      <c r="H777" s="1">
        <v>16</v>
      </c>
      <c r="I777" s="1">
        <v>0.99585999999999997</v>
      </c>
      <c r="J777" s="1">
        <v>3.43</v>
      </c>
      <c r="K777" s="1">
        <v>0.46</v>
      </c>
      <c r="L777" s="1">
        <v>10</v>
      </c>
      <c r="M777" s="2">
        <v>5</v>
      </c>
      <c r="N777" s="2" t="str" cm="1">
        <f t="array" ref="N777">_xlfn.IFS(Table1[[#This Row],[quality]]&lt;=4,"Low",Table1[[#This Row],[quality]]&lt;=6,"Medium",Table1[[#This Row],[quality]]&gt;=7,"High")</f>
        <v>Medium</v>
      </c>
      <c r="O777" s="2" t="str">
        <f>IF(AND(Table1[[#This Row],[fixed acidity]]&gt;Sheet1!$C$4,Table1[[#This Row],[pH]]&lt;Sheet1!$K$4),"High","Normal")</f>
        <v>Normal</v>
      </c>
      <c r="P777" s="1">
        <f>(Table1[[#This Row],[alcohol]]*2)+(Table1[[#This Row],[sulphates]]*1.5)-(Table1[[#This Row],[volatile acidity]]*2)</f>
        <v>18.690000000000001</v>
      </c>
      <c r="Q777" s="1">
        <f>RANK(Table1[[#This Row],[Quality_score_index]],Table1[Quality_score_index],0)</f>
        <v>1296</v>
      </c>
      <c r="R777" s="1">
        <f>Table1[[#This Row],[total sulfur dioxide]]-Table1[[#This Row],[free sulfur dioxide]]</f>
        <v>9</v>
      </c>
      <c r="S777" s="1" t="str">
        <f>IF(AND(Table1[[#This Row],[pH]]&gt;=3.2,Table1[[#This Row],[alcohol]]&gt;=10),"White wine","Red wine")</f>
        <v>White wine</v>
      </c>
    </row>
    <row r="778" spans="1:19" x14ac:dyDescent="0.3">
      <c r="A778" s="13">
        <v>777</v>
      </c>
      <c r="B778" s="1">
        <v>6.9</v>
      </c>
      <c r="C778" s="1">
        <v>0.76500000000000001</v>
      </c>
      <c r="D778" s="1">
        <v>0.18</v>
      </c>
      <c r="E778" s="1">
        <v>2.4</v>
      </c>
      <c r="F778" s="1">
        <v>0.24299999999999999</v>
      </c>
      <c r="G778" s="1">
        <v>5.5</v>
      </c>
      <c r="H778" s="1">
        <v>48</v>
      </c>
      <c r="I778" s="1">
        <v>0.99612000000000001</v>
      </c>
      <c r="J778" s="1">
        <v>3.4</v>
      </c>
      <c r="K778" s="1">
        <v>0.6</v>
      </c>
      <c r="L778" s="1">
        <v>10.3</v>
      </c>
      <c r="M778" s="2">
        <v>6</v>
      </c>
      <c r="N778" s="2" t="str" cm="1">
        <f t="array" ref="N778">_xlfn.IFS(Table1[[#This Row],[quality]]&lt;=4,"Low",Table1[[#This Row],[quality]]&lt;=6,"Medium",Table1[[#This Row],[quality]]&gt;=7,"High")</f>
        <v>Medium</v>
      </c>
      <c r="O778" s="2" t="str">
        <f>IF(AND(Table1[[#This Row],[fixed acidity]]&gt;Sheet1!$C$4,Table1[[#This Row],[pH]]&lt;Sheet1!$K$4),"High","Normal")</f>
        <v>Normal</v>
      </c>
      <c r="P778" s="1">
        <f>(Table1[[#This Row],[alcohol]]*2)+(Table1[[#This Row],[sulphates]]*1.5)-(Table1[[#This Row],[volatile acidity]]*2)</f>
        <v>19.97</v>
      </c>
      <c r="Q778" s="1">
        <f>RANK(Table1[[#This Row],[Quality_score_index]],Table1[Quality_score_index],0)</f>
        <v>860</v>
      </c>
      <c r="R778" s="1">
        <f>Table1[[#This Row],[total sulfur dioxide]]-Table1[[#This Row],[free sulfur dioxide]]</f>
        <v>42.5</v>
      </c>
      <c r="S778" s="1" t="str">
        <f>IF(AND(Table1[[#This Row],[pH]]&gt;=3.2,Table1[[#This Row],[alcohol]]&gt;=10),"White wine","Red wine")</f>
        <v>White wine</v>
      </c>
    </row>
    <row r="779" spans="1:19" x14ac:dyDescent="0.3">
      <c r="A779" s="13">
        <v>778</v>
      </c>
      <c r="B779" s="1">
        <v>6.9</v>
      </c>
      <c r="C779" s="1">
        <v>0.63500000000000001</v>
      </c>
      <c r="D779" s="1">
        <v>0.17</v>
      </c>
      <c r="E779" s="1">
        <v>2.4</v>
      </c>
      <c r="F779" s="1">
        <v>0.24099999999999999</v>
      </c>
      <c r="G779" s="1">
        <v>6</v>
      </c>
      <c r="H779" s="1">
        <v>18</v>
      </c>
      <c r="I779" s="1">
        <v>0.99609999999999999</v>
      </c>
      <c r="J779" s="1">
        <v>3.4</v>
      </c>
      <c r="K779" s="1">
        <v>0.59</v>
      </c>
      <c r="L779" s="1">
        <v>10.3</v>
      </c>
      <c r="M779" s="2">
        <v>6</v>
      </c>
      <c r="N779" s="2" t="str" cm="1">
        <f t="array" ref="N779">_xlfn.IFS(Table1[[#This Row],[quality]]&lt;=4,"Low",Table1[[#This Row],[quality]]&lt;=6,"Medium",Table1[[#This Row],[quality]]&gt;=7,"High")</f>
        <v>Medium</v>
      </c>
      <c r="O779" s="2" t="str">
        <f>IF(AND(Table1[[#This Row],[fixed acidity]]&gt;Sheet1!$C$4,Table1[[#This Row],[pH]]&lt;Sheet1!$K$4),"High","Normal")</f>
        <v>Normal</v>
      </c>
      <c r="P779" s="1">
        <f>(Table1[[#This Row],[alcohol]]*2)+(Table1[[#This Row],[sulphates]]*1.5)-(Table1[[#This Row],[volatile acidity]]*2)</f>
        <v>20.215000000000003</v>
      </c>
      <c r="Q779" s="1">
        <f>RANK(Table1[[#This Row],[Quality_score_index]],Table1[Quality_score_index],0)</f>
        <v>810</v>
      </c>
      <c r="R779" s="1">
        <f>Table1[[#This Row],[total sulfur dioxide]]-Table1[[#This Row],[free sulfur dioxide]]</f>
        <v>12</v>
      </c>
      <c r="S779" s="1" t="str">
        <f>IF(AND(Table1[[#This Row],[pH]]&gt;=3.2,Table1[[#This Row],[alcohol]]&gt;=10),"White wine","Red wine")</f>
        <v>White wine</v>
      </c>
    </row>
    <row r="780" spans="1:19" x14ac:dyDescent="0.3">
      <c r="A780" s="13">
        <v>779</v>
      </c>
      <c r="B780" s="1">
        <v>8.3000000000000007</v>
      </c>
      <c r="C780" s="1">
        <v>0.43</v>
      </c>
      <c r="D780" s="1">
        <v>0.3</v>
      </c>
      <c r="E780" s="1">
        <v>3.4</v>
      </c>
      <c r="F780" s="1">
        <v>7.9000000000000001E-2</v>
      </c>
      <c r="G780" s="1">
        <v>7</v>
      </c>
      <c r="H780" s="1">
        <v>34</v>
      </c>
      <c r="I780" s="1">
        <v>0.99787999999999999</v>
      </c>
      <c r="J780" s="1">
        <v>3.36</v>
      </c>
      <c r="K780" s="1">
        <v>0.61</v>
      </c>
      <c r="L780" s="1">
        <v>10.5</v>
      </c>
      <c r="M780" s="2">
        <v>5</v>
      </c>
      <c r="N780" s="2" t="str" cm="1">
        <f t="array" ref="N780">_xlfn.IFS(Table1[[#This Row],[quality]]&lt;=4,"Low",Table1[[#This Row],[quality]]&lt;=6,"Medium",Table1[[#This Row],[quality]]&gt;=7,"High")</f>
        <v>Medium</v>
      </c>
      <c r="O780" s="2" t="str">
        <f>IF(AND(Table1[[#This Row],[fixed acidity]]&gt;Sheet1!$C$4,Table1[[#This Row],[pH]]&lt;Sheet1!$K$4),"High","Normal")</f>
        <v>Normal</v>
      </c>
      <c r="P780" s="1">
        <f>(Table1[[#This Row],[alcohol]]*2)+(Table1[[#This Row],[sulphates]]*1.5)-(Table1[[#This Row],[volatile acidity]]*2)</f>
        <v>21.055</v>
      </c>
      <c r="Q780" s="1">
        <f>RANK(Table1[[#This Row],[Quality_score_index]],Table1[Quality_score_index],0)</f>
        <v>641</v>
      </c>
      <c r="R780" s="1">
        <f>Table1[[#This Row],[total sulfur dioxide]]-Table1[[#This Row],[free sulfur dioxide]]</f>
        <v>27</v>
      </c>
      <c r="S780" s="1" t="str">
        <f>IF(AND(Table1[[#This Row],[pH]]&gt;=3.2,Table1[[#This Row],[alcohol]]&gt;=10),"White wine","Red wine")</f>
        <v>White wine</v>
      </c>
    </row>
    <row r="781" spans="1:19" x14ac:dyDescent="0.3">
      <c r="A781" s="13">
        <v>780</v>
      </c>
      <c r="B781" s="1">
        <v>7.1</v>
      </c>
      <c r="C781" s="1">
        <v>0.52</v>
      </c>
      <c r="D781" s="1">
        <v>0.03</v>
      </c>
      <c r="E781" s="1">
        <v>2.6</v>
      </c>
      <c r="F781" s="1">
        <v>7.5999999999999998E-2</v>
      </c>
      <c r="G781" s="1">
        <v>21</v>
      </c>
      <c r="H781" s="1">
        <v>92</v>
      </c>
      <c r="I781" s="1">
        <v>0.99744999999999995</v>
      </c>
      <c r="J781" s="1">
        <v>3.5</v>
      </c>
      <c r="K781" s="1">
        <v>0.6</v>
      </c>
      <c r="L781" s="1">
        <v>9.8000000000000007</v>
      </c>
      <c r="M781" s="2">
        <v>5</v>
      </c>
      <c r="N781" s="2" t="str" cm="1">
        <f t="array" ref="N781">_xlfn.IFS(Table1[[#This Row],[quality]]&lt;=4,"Low",Table1[[#This Row],[quality]]&lt;=6,"Medium",Table1[[#This Row],[quality]]&gt;=7,"High")</f>
        <v>Medium</v>
      </c>
      <c r="O781" s="2" t="str">
        <f>IF(AND(Table1[[#This Row],[fixed acidity]]&gt;Sheet1!$C$4,Table1[[#This Row],[pH]]&lt;Sheet1!$K$4),"High","Normal")</f>
        <v>Normal</v>
      </c>
      <c r="P781" s="1">
        <f>(Table1[[#This Row],[alcohol]]*2)+(Table1[[#This Row],[sulphates]]*1.5)-(Table1[[#This Row],[volatile acidity]]*2)</f>
        <v>19.46</v>
      </c>
      <c r="Q781" s="1">
        <f>RANK(Table1[[#This Row],[Quality_score_index]],Table1[Quality_score_index],0)</f>
        <v>991</v>
      </c>
      <c r="R781" s="1">
        <f>Table1[[#This Row],[total sulfur dioxide]]-Table1[[#This Row],[free sulfur dioxide]]</f>
        <v>71</v>
      </c>
      <c r="S781" s="1" t="str">
        <f>IF(AND(Table1[[#This Row],[pH]]&gt;=3.2,Table1[[#This Row],[alcohol]]&gt;=10),"White wine","Red wine")</f>
        <v>Red wine</v>
      </c>
    </row>
    <row r="782" spans="1:19" x14ac:dyDescent="0.3">
      <c r="A782" s="13">
        <v>781</v>
      </c>
      <c r="B782" s="1">
        <v>7</v>
      </c>
      <c r="C782" s="1">
        <v>0.56999999999999995</v>
      </c>
      <c r="D782" s="1">
        <v>0</v>
      </c>
      <c r="E782" s="1">
        <v>2</v>
      </c>
      <c r="F782" s="1">
        <v>0.19</v>
      </c>
      <c r="G782" s="1">
        <v>12</v>
      </c>
      <c r="H782" s="1">
        <v>45</v>
      </c>
      <c r="I782" s="1">
        <v>0.99675999999999998</v>
      </c>
      <c r="J782" s="1">
        <v>3.31</v>
      </c>
      <c r="K782" s="1">
        <v>0.6</v>
      </c>
      <c r="L782" s="1">
        <v>9.4</v>
      </c>
      <c r="M782" s="2">
        <v>6</v>
      </c>
      <c r="N782" s="2" t="str" cm="1">
        <f t="array" ref="N782">_xlfn.IFS(Table1[[#This Row],[quality]]&lt;=4,"Low",Table1[[#This Row],[quality]]&lt;=6,"Medium",Table1[[#This Row],[quality]]&gt;=7,"High")</f>
        <v>Medium</v>
      </c>
      <c r="O782" s="2" t="str">
        <f>IF(AND(Table1[[#This Row],[fixed acidity]]&gt;Sheet1!$C$4,Table1[[#This Row],[pH]]&lt;Sheet1!$K$4),"High","Normal")</f>
        <v>Normal</v>
      </c>
      <c r="P782" s="1">
        <f>(Table1[[#This Row],[alcohol]]*2)+(Table1[[#This Row],[sulphates]]*1.5)-(Table1[[#This Row],[volatile acidity]]*2)</f>
        <v>18.559999999999999</v>
      </c>
      <c r="Q782" s="1">
        <f>RANK(Table1[[#This Row],[Quality_score_index]],Table1[Quality_score_index],0)</f>
        <v>1355</v>
      </c>
      <c r="R782" s="1">
        <f>Table1[[#This Row],[total sulfur dioxide]]-Table1[[#This Row],[free sulfur dioxide]]</f>
        <v>33</v>
      </c>
      <c r="S782" s="1" t="str">
        <f>IF(AND(Table1[[#This Row],[pH]]&gt;=3.2,Table1[[#This Row],[alcohol]]&gt;=10),"White wine","Red wine")</f>
        <v>Red wine</v>
      </c>
    </row>
    <row r="783" spans="1:19" x14ac:dyDescent="0.3">
      <c r="A783" s="13">
        <v>782</v>
      </c>
      <c r="B783" s="1">
        <v>6.5</v>
      </c>
      <c r="C783" s="1">
        <v>0.46</v>
      </c>
      <c r="D783" s="1">
        <v>0.14000000000000001</v>
      </c>
      <c r="E783" s="1">
        <v>2.4</v>
      </c>
      <c r="F783" s="1">
        <v>0.114</v>
      </c>
      <c r="G783" s="1">
        <v>9</v>
      </c>
      <c r="H783" s="1">
        <v>37</v>
      </c>
      <c r="I783" s="1">
        <v>0.99731999999999998</v>
      </c>
      <c r="J783" s="1">
        <v>3.66</v>
      </c>
      <c r="K783" s="1">
        <v>0.65</v>
      </c>
      <c r="L783" s="1">
        <v>9.8000000000000007</v>
      </c>
      <c r="M783" s="2">
        <v>5</v>
      </c>
      <c r="N783" s="2" t="str" cm="1">
        <f t="array" ref="N783">_xlfn.IFS(Table1[[#This Row],[quality]]&lt;=4,"Low",Table1[[#This Row],[quality]]&lt;=6,"Medium",Table1[[#This Row],[quality]]&gt;=7,"High")</f>
        <v>Medium</v>
      </c>
      <c r="O783" s="2" t="str">
        <f>IF(AND(Table1[[#This Row],[fixed acidity]]&gt;Sheet1!$C$4,Table1[[#This Row],[pH]]&lt;Sheet1!$K$4),"High","Normal")</f>
        <v>Normal</v>
      </c>
      <c r="P783" s="1">
        <f>(Table1[[#This Row],[alcohol]]*2)+(Table1[[#This Row],[sulphates]]*1.5)-(Table1[[#This Row],[volatile acidity]]*2)</f>
        <v>19.655000000000001</v>
      </c>
      <c r="Q783" s="1">
        <f>RANK(Table1[[#This Row],[Quality_score_index]],Table1[Quality_score_index],0)</f>
        <v>936</v>
      </c>
      <c r="R783" s="1">
        <f>Table1[[#This Row],[total sulfur dioxide]]-Table1[[#This Row],[free sulfur dioxide]]</f>
        <v>28</v>
      </c>
      <c r="S783" s="1" t="str">
        <f>IF(AND(Table1[[#This Row],[pH]]&gt;=3.2,Table1[[#This Row],[alcohol]]&gt;=10),"White wine","Red wine")</f>
        <v>Red wine</v>
      </c>
    </row>
    <row r="784" spans="1:19" x14ac:dyDescent="0.3">
      <c r="A784" s="13">
        <v>783</v>
      </c>
      <c r="B784" s="1">
        <v>9</v>
      </c>
      <c r="C784" s="1">
        <v>0.82</v>
      </c>
      <c r="D784" s="1">
        <v>0.05</v>
      </c>
      <c r="E784" s="1">
        <v>2.4</v>
      </c>
      <c r="F784" s="1">
        <v>8.1000000000000003E-2</v>
      </c>
      <c r="G784" s="1">
        <v>26</v>
      </c>
      <c r="H784" s="1">
        <v>96</v>
      </c>
      <c r="I784" s="1">
        <v>0.99814000000000003</v>
      </c>
      <c r="J784" s="1">
        <v>3.36</v>
      </c>
      <c r="K784" s="1">
        <v>0.53</v>
      </c>
      <c r="L784" s="1">
        <v>10</v>
      </c>
      <c r="M784" s="2">
        <v>5</v>
      </c>
      <c r="N784" s="2" t="str" cm="1">
        <f t="array" ref="N784">_xlfn.IFS(Table1[[#This Row],[quality]]&lt;=4,"Low",Table1[[#This Row],[quality]]&lt;=6,"Medium",Table1[[#This Row],[quality]]&gt;=7,"High")</f>
        <v>Medium</v>
      </c>
      <c r="O784" s="2" t="str">
        <f>IF(AND(Table1[[#This Row],[fixed acidity]]&gt;Sheet1!$C$4,Table1[[#This Row],[pH]]&lt;Sheet1!$K$4),"High","Normal")</f>
        <v>Normal</v>
      </c>
      <c r="P784" s="1">
        <f>(Table1[[#This Row],[alcohol]]*2)+(Table1[[#This Row],[sulphates]]*1.5)-(Table1[[#This Row],[volatile acidity]]*2)</f>
        <v>19.155000000000001</v>
      </c>
      <c r="Q784" s="1">
        <f>RANK(Table1[[#This Row],[Quality_score_index]],Table1[Quality_score_index],0)</f>
        <v>1104</v>
      </c>
      <c r="R784" s="1">
        <f>Table1[[#This Row],[total sulfur dioxide]]-Table1[[#This Row],[free sulfur dioxide]]</f>
        <v>70</v>
      </c>
      <c r="S784" s="1" t="str">
        <f>IF(AND(Table1[[#This Row],[pH]]&gt;=3.2,Table1[[#This Row],[alcohol]]&gt;=10),"White wine","Red wine")</f>
        <v>White wine</v>
      </c>
    </row>
    <row r="785" spans="1:19" x14ac:dyDescent="0.3">
      <c r="A785" s="13">
        <v>784</v>
      </c>
      <c r="B785" s="1">
        <v>6.5</v>
      </c>
      <c r="C785" s="1">
        <v>0.46</v>
      </c>
      <c r="D785" s="1">
        <v>0.14000000000000001</v>
      </c>
      <c r="E785" s="1">
        <v>2.4</v>
      </c>
      <c r="F785" s="1">
        <v>0.114</v>
      </c>
      <c r="G785" s="1">
        <v>9</v>
      </c>
      <c r="H785" s="1">
        <v>37</v>
      </c>
      <c r="I785" s="1">
        <v>0.99731999999999998</v>
      </c>
      <c r="J785" s="1">
        <v>3.66</v>
      </c>
      <c r="K785" s="1">
        <v>0.65</v>
      </c>
      <c r="L785" s="1">
        <v>9.8000000000000007</v>
      </c>
      <c r="M785" s="2">
        <v>5</v>
      </c>
      <c r="N785" s="2" t="str" cm="1">
        <f t="array" ref="N785">_xlfn.IFS(Table1[[#This Row],[quality]]&lt;=4,"Low",Table1[[#This Row],[quality]]&lt;=6,"Medium",Table1[[#This Row],[quality]]&gt;=7,"High")</f>
        <v>Medium</v>
      </c>
      <c r="O785" s="2" t="str">
        <f>IF(AND(Table1[[#This Row],[fixed acidity]]&gt;Sheet1!$C$4,Table1[[#This Row],[pH]]&lt;Sheet1!$K$4),"High","Normal")</f>
        <v>Normal</v>
      </c>
      <c r="P785" s="1">
        <f>(Table1[[#This Row],[alcohol]]*2)+(Table1[[#This Row],[sulphates]]*1.5)-(Table1[[#This Row],[volatile acidity]]*2)</f>
        <v>19.655000000000001</v>
      </c>
      <c r="Q785" s="1">
        <f>RANK(Table1[[#This Row],[Quality_score_index]],Table1[Quality_score_index],0)</f>
        <v>936</v>
      </c>
      <c r="R785" s="1">
        <f>Table1[[#This Row],[total sulfur dioxide]]-Table1[[#This Row],[free sulfur dioxide]]</f>
        <v>28</v>
      </c>
      <c r="S785" s="1" t="str">
        <f>IF(AND(Table1[[#This Row],[pH]]&gt;=3.2,Table1[[#This Row],[alcohol]]&gt;=10),"White wine","Red wine")</f>
        <v>Red wine</v>
      </c>
    </row>
    <row r="786" spans="1:19" x14ac:dyDescent="0.3">
      <c r="A786" s="13">
        <v>785</v>
      </c>
      <c r="B786" s="1">
        <v>7.1</v>
      </c>
      <c r="C786" s="1">
        <v>0.59</v>
      </c>
      <c r="D786" s="1">
        <v>0.01</v>
      </c>
      <c r="E786" s="1">
        <v>2.5</v>
      </c>
      <c r="F786" s="1">
        <v>7.6999999999999999E-2</v>
      </c>
      <c r="G786" s="1">
        <v>20</v>
      </c>
      <c r="H786" s="1">
        <v>85</v>
      </c>
      <c r="I786" s="1">
        <v>0.99746000000000001</v>
      </c>
      <c r="J786" s="1">
        <v>3.55</v>
      </c>
      <c r="K786" s="1">
        <v>0.59</v>
      </c>
      <c r="L786" s="1">
        <v>9.8000000000000007</v>
      </c>
      <c r="M786" s="2">
        <v>5</v>
      </c>
      <c r="N786" s="2" t="str" cm="1">
        <f t="array" ref="N786">_xlfn.IFS(Table1[[#This Row],[quality]]&lt;=4,"Low",Table1[[#This Row],[quality]]&lt;=6,"Medium",Table1[[#This Row],[quality]]&gt;=7,"High")</f>
        <v>Medium</v>
      </c>
      <c r="O786" s="2" t="str">
        <f>IF(AND(Table1[[#This Row],[fixed acidity]]&gt;Sheet1!$C$4,Table1[[#This Row],[pH]]&lt;Sheet1!$K$4),"High","Normal")</f>
        <v>Normal</v>
      </c>
      <c r="P786" s="1">
        <f>(Table1[[#This Row],[alcohol]]*2)+(Table1[[#This Row],[sulphates]]*1.5)-(Table1[[#This Row],[volatile acidity]]*2)</f>
        <v>19.305000000000003</v>
      </c>
      <c r="Q786" s="1">
        <f>RANK(Table1[[#This Row],[Quality_score_index]],Table1[Quality_score_index],0)</f>
        <v>1041</v>
      </c>
      <c r="R786" s="1">
        <f>Table1[[#This Row],[total sulfur dioxide]]-Table1[[#This Row],[free sulfur dioxide]]</f>
        <v>65</v>
      </c>
      <c r="S786" s="1" t="str">
        <f>IF(AND(Table1[[#This Row],[pH]]&gt;=3.2,Table1[[#This Row],[alcohol]]&gt;=10),"White wine","Red wine")</f>
        <v>Red wine</v>
      </c>
    </row>
    <row r="787" spans="1:19" x14ac:dyDescent="0.3">
      <c r="A787" s="13">
        <v>786</v>
      </c>
      <c r="B787" s="1">
        <v>9.9</v>
      </c>
      <c r="C787" s="1">
        <v>0.35</v>
      </c>
      <c r="D787" s="1">
        <v>0.41</v>
      </c>
      <c r="E787" s="1">
        <v>2.2999999999999998</v>
      </c>
      <c r="F787" s="1">
        <v>8.3000000000000004E-2</v>
      </c>
      <c r="G787" s="1">
        <v>11</v>
      </c>
      <c r="H787" s="1">
        <v>61</v>
      </c>
      <c r="I787" s="1">
        <v>0.99819999999999998</v>
      </c>
      <c r="J787" s="1">
        <v>3.21</v>
      </c>
      <c r="K787" s="1">
        <v>0.5</v>
      </c>
      <c r="L787" s="1">
        <v>9.5</v>
      </c>
      <c r="M787" s="2">
        <v>5</v>
      </c>
      <c r="N787" s="2" t="str" cm="1">
        <f t="array" ref="N787">_xlfn.IFS(Table1[[#This Row],[quality]]&lt;=4,"Low",Table1[[#This Row],[quality]]&lt;=6,"Medium",Table1[[#This Row],[quality]]&gt;=7,"High")</f>
        <v>Medium</v>
      </c>
      <c r="O787" s="2" t="str">
        <f>IF(AND(Table1[[#This Row],[fixed acidity]]&gt;Sheet1!$C$4,Table1[[#This Row],[pH]]&lt;Sheet1!$K$4),"High","Normal")</f>
        <v>High</v>
      </c>
      <c r="P787" s="1">
        <f>(Table1[[#This Row],[alcohol]]*2)+(Table1[[#This Row],[sulphates]]*1.5)-(Table1[[#This Row],[volatile acidity]]*2)</f>
        <v>19.05</v>
      </c>
      <c r="Q787" s="1">
        <f>RANK(Table1[[#This Row],[Quality_score_index]],Table1[Quality_score_index],0)</f>
        <v>1147</v>
      </c>
      <c r="R787" s="1">
        <f>Table1[[#This Row],[total sulfur dioxide]]-Table1[[#This Row],[free sulfur dioxide]]</f>
        <v>50</v>
      </c>
      <c r="S787" s="1" t="str">
        <f>IF(AND(Table1[[#This Row],[pH]]&gt;=3.2,Table1[[#This Row],[alcohol]]&gt;=10),"White wine","Red wine")</f>
        <v>Red wine</v>
      </c>
    </row>
    <row r="788" spans="1:19" x14ac:dyDescent="0.3">
      <c r="A788" s="13">
        <v>787</v>
      </c>
      <c r="B788" s="1">
        <v>9.9</v>
      </c>
      <c r="C788" s="1">
        <v>0.35</v>
      </c>
      <c r="D788" s="1">
        <v>0.41</v>
      </c>
      <c r="E788" s="1">
        <v>2.2999999999999998</v>
      </c>
      <c r="F788" s="1">
        <v>8.3000000000000004E-2</v>
      </c>
      <c r="G788" s="1">
        <v>11</v>
      </c>
      <c r="H788" s="1">
        <v>61</v>
      </c>
      <c r="I788" s="1">
        <v>0.99819999999999998</v>
      </c>
      <c r="J788" s="1">
        <v>3.21</v>
      </c>
      <c r="K788" s="1">
        <v>0.5</v>
      </c>
      <c r="L788" s="1">
        <v>9.5</v>
      </c>
      <c r="M788" s="2">
        <v>5</v>
      </c>
      <c r="N788" s="2" t="str" cm="1">
        <f t="array" ref="N788">_xlfn.IFS(Table1[[#This Row],[quality]]&lt;=4,"Low",Table1[[#This Row],[quality]]&lt;=6,"Medium",Table1[[#This Row],[quality]]&gt;=7,"High")</f>
        <v>Medium</v>
      </c>
      <c r="O788" s="2" t="str">
        <f>IF(AND(Table1[[#This Row],[fixed acidity]]&gt;Sheet1!$C$4,Table1[[#This Row],[pH]]&lt;Sheet1!$K$4),"High","Normal")</f>
        <v>High</v>
      </c>
      <c r="P788" s="1">
        <f>(Table1[[#This Row],[alcohol]]*2)+(Table1[[#This Row],[sulphates]]*1.5)-(Table1[[#This Row],[volatile acidity]]*2)</f>
        <v>19.05</v>
      </c>
      <c r="Q788" s="1">
        <f>RANK(Table1[[#This Row],[Quality_score_index]],Table1[Quality_score_index],0)</f>
        <v>1147</v>
      </c>
      <c r="R788" s="1">
        <f>Table1[[#This Row],[total sulfur dioxide]]-Table1[[#This Row],[free sulfur dioxide]]</f>
        <v>50</v>
      </c>
      <c r="S788" s="1" t="str">
        <f>IF(AND(Table1[[#This Row],[pH]]&gt;=3.2,Table1[[#This Row],[alcohol]]&gt;=10),"White wine","Red wine")</f>
        <v>Red wine</v>
      </c>
    </row>
    <row r="789" spans="1:19" x14ac:dyDescent="0.3">
      <c r="A789" s="13">
        <v>788</v>
      </c>
      <c r="B789" s="1">
        <v>10</v>
      </c>
      <c r="C789" s="1">
        <v>0.56000000000000005</v>
      </c>
      <c r="D789" s="1">
        <v>0.24</v>
      </c>
      <c r="E789" s="1">
        <v>2.2000000000000002</v>
      </c>
      <c r="F789" s="1">
        <v>7.9000000000000001E-2</v>
      </c>
      <c r="G789" s="1">
        <v>19</v>
      </c>
      <c r="H789" s="1">
        <v>58</v>
      </c>
      <c r="I789" s="1">
        <v>0.99909999999999999</v>
      </c>
      <c r="J789" s="1">
        <v>3.18</v>
      </c>
      <c r="K789" s="1">
        <v>0.56000000000000005</v>
      </c>
      <c r="L789" s="1">
        <v>10.1</v>
      </c>
      <c r="M789" s="2">
        <v>6</v>
      </c>
      <c r="N789" s="2" t="str" cm="1">
        <f t="array" ref="N789">_xlfn.IFS(Table1[[#This Row],[quality]]&lt;=4,"Low",Table1[[#This Row],[quality]]&lt;=6,"Medium",Table1[[#This Row],[quality]]&gt;=7,"High")</f>
        <v>Medium</v>
      </c>
      <c r="O789" s="2" t="str">
        <f>IF(AND(Table1[[#This Row],[fixed acidity]]&gt;Sheet1!$C$4,Table1[[#This Row],[pH]]&lt;Sheet1!$K$4),"High","Normal")</f>
        <v>High</v>
      </c>
      <c r="P789" s="1">
        <f>(Table1[[#This Row],[alcohol]]*2)+(Table1[[#This Row],[sulphates]]*1.5)-(Table1[[#This Row],[volatile acidity]]*2)</f>
        <v>19.919999999999998</v>
      </c>
      <c r="Q789" s="1">
        <f>RANK(Table1[[#This Row],[Quality_score_index]],Table1[Quality_score_index],0)</f>
        <v>873</v>
      </c>
      <c r="R789" s="1">
        <f>Table1[[#This Row],[total sulfur dioxide]]-Table1[[#This Row],[free sulfur dioxide]]</f>
        <v>39</v>
      </c>
      <c r="S789" s="1" t="str">
        <f>IF(AND(Table1[[#This Row],[pH]]&gt;=3.2,Table1[[#This Row],[alcohol]]&gt;=10),"White wine","Red wine")</f>
        <v>Red wine</v>
      </c>
    </row>
    <row r="790" spans="1:19" x14ac:dyDescent="0.3">
      <c r="A790" s="13">
        <v>789</v>
      </c>
      <c r="B790" s="1">
        <v>10</v>
      </c>
      <c r="C790" s="1">
        <v>0.56000000000000005</v>
      </c>
      <c r="D790" s="1">
        <v>0.24</v>
      </c>
      <c r="E790" s="1">
        <v>2.2000000000000002</v>
      </c>
      <c r="F790" s="1">
        <v>7.9000000000000001E-2</v>
      </c>
      <c r="G790" s="1">
        <v>19</v>
      </c>
      <c r="H790" s="1">
        <v>58</v>
      </c>
      <c r="I790" s="1">
        <v>0.99909999999999999</v>
      </c>
      <c r="J790" s="1">
        <v>3.18</v>
      </c>
      <c r="K790" s="1">
        <v>0.56000000000000005</v>
      </c>
      <c r="L790" s="1">
        <v>10.1</v>
      </c>
      <c r="M790" s="2">
        <v>6</v>
      </c>
      <c r="N790" s="2" t="str" cm="1">
        <f t="array" ref="N790">_xlfn.IFS(Table1[[#This Row],[quality]]&lt;=4,"Low",Table1[[#This Row],[quality]]&lt;=6,"Medium",Table1[[#This Row],[quality]]&gt;=7,"High")</f>
        <v>Medium</v>
      </c>
      <c r="O790" s="2" t="str">
        <f>IF(AND(Table1[[#This Row],[fixed acidity]]&gt;Sheet1!$C$4,Table1[[#This Row],[pH]]&lt;Sheet1!$K$4),"High","Normal")</f>
        <v>High</v>
      </c>
      <c r="P790" s="1">
        <f>(Table1[[#This Row],[alcohol]]*2)+(Table1[[#This Row],[sulphates]]*1.5)-(Table1[[#This Row],[volatile acidity]]*2)</f>
        <v>19.919999999999998</v>
      </c>
      <c r="Q790" s="1">
        <f>RANK(Table1[[#This Row],[Quality_score_index]],Table1[Quality_score_index],0)</f>
        <v>873</v>
      </c>
      <c r="R790" s="1">
        <f>Table1[[#This Row],[total sulfur dioxide]]-Table1[[#This Row],[free sulfur dioxide]]</f>
        <v>39</v>
      </c>
      <c r="S790" s="1" t="str">
        <f>IF(AND(Table1[[#This Row],[pH]]&gt;=3.2,Table1[[#This Row],[alcohol]]&gt;=10),"White wine","Red wine")</f>
        <v>Red wine</v>
      </c>
    </row>
    <row r="791" spans="1:19" x14ac:dyDescent="0.3">
      <c r="A791" s="13">
        <v>790</v>
      </c>
      <c r="B791" s="1">
        <v>8.6</v>
      </c>
      <c r="C791" s="1">
        <v>0.63</v>
      </c>
      <c r="D791" s="1">
        <v>0.17</v>
      </c>
      <c r="E791" s="1">
        <v>2.9</v>
      </c>
      <c r="F791" s="1">
        <v>9.9000000000000005E-2</v>
      </c>
      <c r="G791" s="1">
        <v>21</v>
      </c>
      <c r="H791" s="1">
        <v>119</v>
      </c>
      <c r="I791" s="1">
        <v>0.998</v>
      </c>
      <c r="J791" s="1">
        <v>3.09</v>
      </c>
      <c r="K791" s="1">
        <v>0.52</v>
      </c>
      <c r="L791" s="1">
        <v>9.3000000000000007</v>
      </c>
      <c r="M791" s="2">
        <v>5</v>
      </c>
      <c r="N791" s="2" t="str" cm="1">
        <f t="array" ref="N791">_xlfn.IFS(Table1[[#This Row],[quality]]&lt;=4,"Low",Table1[[#This Row],[quality]]&lt;=6,"Medium",Table1[[#This Row],[quality]]&gt;=7,"High")</f>
        <v>Medium</v>
      </c>
      <c r="O791" s="2" t="str">
        <f>IF(AND(Table1[[#This Row],[fixed acidity]]&gt;Sheet1!$C$4,Table1[[#This Row],[pH]]&lt;Sheet1!$K$4),"High","Normal")</f>
        <v>High</v>
      </c>
      <c r="P791" s="1">
        <f>(Table1[[#This Row],[alcohol]]*2)+(Table1[[#This Row],[sulphates]]*1.5)-(Table1[[#This Row],[volatile acidity]]*2)</f>
        <v>18.12</v>
      </c>
      <c r="Q791" s="1">
        <f>RANK(Table1[[#This Row],[Quality_score_index]],Table1[Quality_score_index],0)</f>
        <v>1497</v>
      </c>
      <c r="R791" s="1">
        <f>Table1[[#This Row],[total sulfur dioxide]]-Table1[[#This Row],[free sulfur dioxide]]</f>
        <v>98</v>
      </c>
      <c r="S791" s="1" t="str">
        <f>IF(AND(Table1[[#This Row],[pH]]&gt;=3.2,Table1[[#This Row],[alcohol]]&gt;=10),"White wine","Red wine")</f>
        <v>Red wine</v>
      </c>
    </row>
    <row r="792" spans="1:19" x14ac:dyDescent="0.3">
      <c r="A792" s="13">
        <v>791</v>
      </c>
      <c r="B792" s="1">
        <v>7.4</v>
      </c>
      <c r="C792" s="1">
        <v>0.37</v>
      </c>
      <c r="D792" s="1">
        <v>0.43</v>
      </c>
      <c r="E792" s="1">
        <v>2.6</v>
      </c>
      <c r="F792" s="1">
        <v>8.2000000000000003E-2</v>
      </c>
      <c r="G792" s="1">
        <v>18</v>
      </c>
      <c r="H792" s="1">
        <v>82</v>
      </c>
      <c r="I792" s="1">
        <v>0.99707999999999997</v>
      </c>
      <c r="J792" s="1">
        <v>3.33</v>
      </c>
      <c r="K792" s="1">
        <v>0.68</v>
      </c>
      <c r="L792" s="1">
        <v>9.6999999999999993</v>
      </c>
      <c r="M792" s="2">
        <v>6</v>
      </c>
      <c r="N792" s="2" t="str" cm="1">
        <f t="array" ref="N792">_xlfn.IFS(Table1[[#This Row],[quality]]&lt;=4,"Low",Table1[[#This Row],[quality]]&lt;=6,"Medium",Table1[[#This Row],[quality]]&gt;=7,"High")</f>
        <v>Medium</v>
      </c>
      <c r="O792" s="2" t="str">
        <f>IF(AND(Table1[[#This Row],[fixed acidity]]&gt;Sheet1!$C$4,Table1[[#This Row],[pH]]&lt;Sheet1!$K$4),"High","Normal")</f>
        <v>Normal</v>
      </c>
      <c r="P792" s="1">
        <f>(Table1[[#This Row],[alcohol]]*2)+(Table1[[#This Row],[sulphates]]*1.5)-(Table1[[#This Row],[volatile acidity]]*2)</f>
        <v>19.68</v>
      </c>
      <c r="Q792" s="1">
        <f>RANK(Table1[[#This Row],[Quality_score_index]],Table1[Quality_score_index],0)</f>
        <v>929</v>
      </c>
      <c r="R792" s="1">
        <f>Table1[[#This Row],[total sulfur dioxide]]-Table1[[#This Row],[free sulfur dioxide]]</f>
        <v>64</v>
      </c>
      <c r="S792" s="1" t="str">
        <f>IF(AND(Table1[[#This Row],[pH]]&gt;=3.2,Table1[[#This Row],[alcohol]]&gt;=10),"White wine","Red wine")</f>
        <v>Red wine</v>
      </c>
    </row>
    <row r="793" spans="1:19" x14ac:dyDescent="0.3">
      <c r="A793" s="13">
        <v>792</v>
      </c>
      <c r="B793" s="1">
        <v>8.8000000000000007</v>
      </c>
      <c r="C793" s="1">
        <v>0.64</v>
      </c>
      <c r="D793" s="1">
        <v>0.17</v>
      </c>
      <c r="E793" s="1">
        <v>2.9</v>
      </c>
      <c r="F793" s="1">
        <v>8.4000000000000005E-2</v>
      </c>
      <c r="G793" s="1">
        <v>25</v>
      </c>
      <c r="H793" s="1">
        <v>130</v>
      </c>
      <c r="I793" s="1">
        <v>0.99817999999999996</v>
      </c>
      <c r="J793" s="1">
        <v>3.23</v>
      </c>
      <c r="K793" s="1">
        <v>0.54</v>
      </c>
      <c r="L793" s="1">
        <v>9.6</v>
      </c>
      <c r="M793" s="2">
        <v>5</v>
      </c>
      <c r="N793" s="2" t="str" cm="1">
        <f t="array" ref="N793">_xlfn.IFS(Table1[[#This Row],[quality]]&lt;=4,"Low",Table1[[#This Row],[quality]]&lt;=6,"Medium",Table1[[#This Row],[quality]]&gt;=7,"High")</f>
        <v>Medium</v>
      </c>
      <c r="O793" s="2" t="str">
        <f>IF(AND(Table1[[#This Row],[fixed acidity]]&gt;Sheet1!$C$4,Table1[[#This Row],[pH]]&lt;Sheet1!$K$4),"High","Normal")</f>
        <v>High</v>
      </c>
      <c r="P793" s="1">
        <f>(Table1[[#This Row],[alcohol]]*2)+(Table1[[#This Row],[sulphates]]*1.5)-(Table1[[#This Row],[volatile acidity]]*2)</f>
        <v>18.729999999999997</v>
      </c>
      <c r="Q793" s="1">
        <f>RANK(Table1[[#This Row],[Quality_score_index]],Table1[Quality_score_index],0)</f>
        <v>1272</v>
      </c>
      <c r="R793" s="1">
        <f>Table1[[#This Row],[total sulfur dioxide]]-Table1[[#This Row],[free sulfur dioxide]]</f>
        <v>105</v>
      </c>
      <c r="S793" s="1" t="str">
        <f>IF(AND(Table1[[#This Row],[pH]]&gt;=3.2,Table1[[#This Row],[alcohol]]&gt;=10),"White wine","Red wine")</f>
        <v>Red wine</v>
      </c>
    </row>
    <row r="794" spans="1:19" x14ac:dyDescent="0.3">
      <c r="A794" s="13">
        <v>793</v>
      </c>
      <c r="B794" s="1">
        <v>7.1</v>
      </c>
      <c r="C794" s="1">
        <v>0.61</v>
      </c>
      <c r="D794" s="1">
        <v>0.02</v>
      </c>
      <c r="E794" s="1">
        <v>2.5</v>
      </c>
      <c r="F794" s="1">
        <v>8.1000000000000003E-2</v>
      </c>
      <c r="G794" s="1">
        <v>17</v>
      </c>
      <c r="H794" s="1">
        <v>87</v>
      </c>
      <c r="I794" s="1">
        <v>0.99744999999999995</v>
      </c>
      <c r="J794" s="1">
        <v>3.48</v>
      </c>
      <c r="K794" s="1">
        <v>0.6</v>
      </c>
      <c r="L794" s="1">
        <v>9.6999999999999993</v>
      </c>
      <c r="M794" s="2">
        <v>6</v>
      </c>
      <c r="N794" s="2" t="str" cm="1">
        <f t="array" ref="N794">_xlfn.IFS(Table1[[#This Row],[quality]]&lt;=4,"Low",Table1[[#This Row],[quality]]&lt;=6,"Medium",Table1[[#This Row],[quality]]&gt;=7,"High")</f>
        <v>Medium</v>
      </c>
      <c r="O794" s="2" t="str">
        <f>IF(AND(Table1[[#This Row],[fixed acidity]]&gt;Sheet1!$C$4,Table1[[#This Row],[pH]]&lt;Sheet1!$K$4),"High","Normal")</f>
        <v>Normal</v>
      </c>
      <c r="P794" s="1">
        <f>(Table1[[#This Row],[alcohol]]*2)+(Table1[[#This Row],[sulphates]]*1.5)-(Table1[[#This Row],[volatile acidity]]*2)</f>
        <v>19.079999999999998</v>
      </c>
      <c r="Q794" s="1">
        <f>RANK(Table1[[#This Row],[Quality_score_index]],Table1[Quality_score_index],0)</f>
        <v>1133</v>
      </c>
      <c r="R794" s="1">
        <f>Table1[[#This Row],[total sulfur dioxide]]-Table1[[#This Row],[free sulfur dioxide]]</f>
        <v>70</v>
      </c>
      <c r="S794" s="1" t="str">
        <f>IF(AND(Table1[[#This Row],[pH]]&gt;=3.2,Table1[[#This Row],[alcohol]]&gt;=10),"White wine","Red wine")</f>
        <v>Red wine</v>
      </c>
    </row>
    <row r="795" spans="1:19" x14ac:dyDescent="0.3">
      <c r="A795" s="13">
        <v>794</v>
      </c>
      <c r="B795" s="1">
        <v>7.7</v>
      </c>
      <c r="C795" s="1">
        <v>0.6</v>
      </c>
      <c r="D795" s="1">
        <v>0</v>
      </c>
      <c r="E795" s="1">
        <v>2.6</v>
      </c>
      <c r="F795" s="1">
        <v>5.5E-2</v>
      </c>
      <c r="G795" s="1">
        <v>7</v>
      </c>
      <c r="H795" s="1">
        <v>13</v>
      </c>
      <c r="I795" s="1">
        <v>0.99639</v>
      </c>
      <c r="J795" s="1">
        <v>3.38</v>
      </c>
      <c r="K795" s="1">
        <v>0.56000000000000005</v>
      </c>
      <c r="L795" s="1">
        <v>10.8</v>
      </c>
      <c r="M795" s="2">
        <v>5</v>
      </c>
      <c r="N795" s="2" t="str" cm="1">
        <f t="array" ref="N795">_xlfn.IFS(Table1[[#This Row],[quality]]&lt;=4,"Low",Table1[[#This Row],[quality]]&lt;=6,"Medium",Table1[[#This Row],[quality]]&gt;=7,"High")</f>
        <v>Medium</v>
      </c>
      <c r="O795" s="2" t="str">
        <f>IF(AND(Table1[[#This Row],[fixed acidity]]&gt;Sheet1!$C$4,Table1[[#This Row],[pH]]&lt;Sheet1!$K$4),"High","Normal")</f>
        <v>Normal</v>
      </c>
      <c r="P795" s="1">
        <f>(Table1[[#This Row],[alcohol]]*2)+(Table1[[#This Row],[sulphates]]*1.5)-(Table1[[#This Row],[volatile acidity]]*2)</f>
        <v>21.240000000000002</v>
      </c>
      <c r="Q795" s="1">
        <f>RANK(Table1[[#This Row],[Quality_score_index]],Table1[Quality_score_index],0)</f>
        <v>590</v>
      </c>
      <c r="R795" s="1">
        <f>Table1[[#This Row],[total sulfur dioxide]]-Table1[[#This Row],[free sulfur dioxide]]</f>
        <v>6</v>
      </c>
      <c r="S795" s="1" t="str">
        <f>IF(AND(Table1[[#This Row],[pH]]&gt;=3.2,Table1[[#This Row],[alcohol]]&gt;=10),"White wine","Red wine")</f>
        <v>White wine</v>
      </c>
    </row>
    <row r="796" spans="1:19" x14ac:dyDescent="0.3">
      <c r="A796" s="13">
        <v>795</v>
      </c>
      <c r="B796" s="1">
        <v>10.1</v>
      </c>
      <c r="C796" s="1">
        <v>0.27</v>
      </c>
      <c r="D796" s="1">
        <v>0.54</v>
      </c>
      <c r="E796" s="1">
        <v>2.2999999999999998</v>
      </c>
      <c r="F796" s="1">
        <v>6.5000000000000002E-2</v>
      </c>
      <c r="G796" s="1">
        <v>7</v>
      </c>
      <c r="H796" s="1">
        <v>26</v>
      </c>
      <c r="I796" s="1">
        <v>0.99531000000000003</v>
      </c>
      <c r="J796" s="1">
        <v>3.17</v>
      </c>
      <c r="K796" s="1">
        <v>0.53</v>
      </c>
      <c r="L796" s="1">
        <v>12.5</v>
      </c>
      <c r="M796" s="2">
        <v>6</v>
      </c>
      <c r="N796" s="2" t="str" cm="1">
        <f t="array" ref="N796">_xlfn.IFS(Table1[[#This Row],[quality]]&lt;=4,"Low",Table1[[#This Row],[quality]]&lt;=6,"Medium",Table1[[#This Row],[quality]]&gt;=7,"High")</f>
        <v>Medium</v>
      </c>
      <c r="O796" s="2" t="str">
        <f>IF(AND(Table1[[#This Row],[fixed acidity]]&gt;Sheet1!$C$4,Table1[[#This Row],[pH]]&lt;Sheet1!$K$4),"High","Normal")</f>
        <v>High</v>
      </c>
      <c r="P796" s="1">
        <f>(Table1[[#This Row],[alcohol]]*2)+(Table1[[#This Row],[sulphates]]*1.5)-(Table1[[#This Row],[volatile acidity]]*2)</f>
        <v>25.255000000000003</v>
      </c>
      <c r="Q796" s="1">
        <f>RANK(Table1[[#This Row],[Quality_score_index]],Table1[Quality_score_index],0)</f>
        <v>75</v>
      </c>
      <c r="R796" s="1">
        <f>Table1[[#This Row],[total sulfur dioxide]]-Table1[[#This Row],[free sulfur dioxide]]</f>
        <v>19</v>
      </c>
      <c r="S796" s="1" t="str">
        <f>IF(AND(Table1[[#This Row],[pH]]&gt;=3.2,Table1[[#This Row],[alcohol]]&gt;=10),"White wine","Red wine")</f>
        <v>Red wine</v>
      </c>
    </row>
    <row r="797" spans="1:19" x14ac:dyDescent="0.3">
      <c r="A797" s="13">
        <v>796</v>
      </c>
      <c r="B797" s="1">
        <v>10.8</v>
      </c>
      <c r="C797" s="1">
        <v>0.89</v>
      </c>
      <c r="D797" s="1">
        <v>0.3</v>
      </c>
      <c r="E797" s="1">
        <v>2.6</v>
      </c>
      <c r="F797" s="1">
        <v>0.13200000000000001</v>
      </c>
      <c r="G797" s="1">
        <v>7</v>
      </c>
      <c r="H797" s="1">
        <v>60</v>
      </c>
      <c r="I797" s="1">
        <v>0.99785999999999997</v>
      </c>
      <c r="J797" s="1">
        <v>2.99</v>
      </c>
      <c r="K797" s="1">
        <v>1.18</v>
      </c>
      <c r="L797" s="1">
        <v>10.199999999999999</v>
      </c>
      <c r="M797" s="2">
        <v>5</v>
      </c>
      <c r="N797" s="2" t="str" cm="1">
        <f t="array" ref="N797">_xlfn.IFS(Table1[[#This Row],[quality]]&lt;=4,"Low",Table1[[#This Row],[quality]]&lt;=6,"Medium",Table1[[#This Row],[quality]]&gt;=7,"High")</f>
        <v>Medium</v>
      </c>
      <c r="O797" s="2" t="str">
        <f>IF(AND(Table1[[#This Row],[fixed acidity]]&gt;Sheet1!$C$4,Table1[[#This Row],[pH]]&lt;Sheet1!$K$4),"High","Normal")</f>
        <v>High</v>
      </c>
      <c r="P797" s="1">
        <f>(Table1[[#This Row],[alcohol]]*2)+(Table1[[#This Row],[sulphates]]*1.5)-(Table1[[#This Row],[volatile acidity]]*2)</f>
        <v>20.389999999999997</v>
      </c>
      <c r="Q797" s="1">
        <f>RANK(Table1[[#This Row],[Quality_score_index]],Table1[Quality_score_index],0)</f>
        <v>771</v>
      </c>
      <c r="R797" s="1">
        <f>Table1[[#This Row],[total sulfur dioxide]]-Table1[[#This Row],[free sulfur dioxide]]</f>
        <v>53</v>
      </c>
      <c r="S797" s="1" t="str">
        <f>IF(AND(Table1[[#This Row],[pH]]&gt;=3.2,Table1[[#This Row],[alcohol]]&gt;=10),"White wine","Red wine")</f>
        <v>Red wine</v>
      </c>
    </row>
    <row r="798" spans="1:19" x14ac:dyDescent="0.3">
      <c r="A798" s="13">
        <v>797</v>
      </c>
      <c r="B798" s="1">
        <v>8.6999999999999993</v>
      </c>
      <c r="C798" s="1">
        <v>0.46</v>
      </c>
      <c r="D798" s="1">
        <v>0.31</v>
      </c>
      <c r="E798" s="1">
        <v>2.5</v>
      </c>
      <c r="F798" s="1">
        <v>0.126</v>
      </c>
      <c r="G798" s="1">
        <v>24</v>
      </c>
      <c r="H798" s="1">
        <v>64</v>
      </c>
      <c r="I798" s="1">
        <v>0.99746000000000001</v>
      </c>
      <c r="J798" s="1">
        <v>3.1</v>
      </c>
      <c r="K798" s="1">
        <v>0.74</v>
      </c>
      <c r="L798" s="1">
        <v>9.6</v>
      </c>
      <c r="M798" s="2">
        <v>5</v>
      </c>
      <c r="N798" s="2" t="str" cm="1">
        <f t="array" ref="N798">_xlfn.IFS(Table1[[#This Row],[quality]]&lt;=4,"Low",Table1[[#This Row],[quality]]&lt;=6,"Medium",Table1[[#This Row],[quality]]&gt;=7,"High")</f>
        <v>Medium</v>
      </c>
      <c r="O798" s="2" t="str">
        <f>IF(AND(Table1[[#This Row],[fixed acidity]]&gt;Sheet1!$C$4,Table1[[#This Row],[pH]]&lt;Sheet1!$K$4),"High","Normal")</f>
        <v>High</v>
      </c>
      <c r="P798" s="1">
        <f>(Table1[[#This Row],[alcohol]]*2)+(Table1[[#This Row],[sulphates]]*1.5)-(Table1[[#This Row],[volatile acidity]]*2)</f>
        <v>19.389999999999997</v>
      </c>
      <c r="Q798" s="1">
        <f>RANK(Table1[[#This Row],[Quality_score_index]],Table1[Quality_score_index],0)</f>
        <v>1010</v>
      </c>
      <c r="R798" s="1">
        <f>Table1[[#This Row],[total sulfur dioxide]]-Table1[[#This Row],[free sulfur dioxide]]</f>
        <v>40</v>
      </c>
      <c r="S798" s="1" t="str">
        <f>IF(AND(Table1[[#This Row],[pH]]&gt;=3.2,Table1[[#This Row],[alcohol]]&gt;=10),"White wine","Red wine")</f>
        <v>Red wine</v>
      </c>
    </row>
    <row r="799" spans="1:19" x14ac:dyDescent="0.3">
      <c r="A799" s="13">
        <v>798</v>
      </c>
      <c r="B799" s="1">
        <v>9.3000000000000007</v>
      </c>
      <c r="C799" s="1">
        <v>0.37</v>
      </c>
      <c r="D799" s="1">
        <v>0.44</v>
      </c>
      <c r="E799" s="1">
        <v>1.6</v>
      </c>
      <c r="F799" s="1">
        <v>3.7999999999999999E-2</v>
      </c>
      <c r="G799" s="1">
        <v>21</v>
      </c>
      <c r="H799" s="1">
        <v>42</v>
      </c>
      <c r="I799" s="1">
        <v>0.99526000000000003</v>
      </c>
      <c r="J799" s="1">
        <v>3.24</v>
      </c>
      <c r="K799" s="1">
        <v>0.81</v>
      </c>
      <c r="L799" s="1">
        <v>10.8</v>
      </c>
      <c r="M799" s="2">
        <v>7</v>
      </c>
      <c r="N799" s="2" t="str" cm="1">
        <f t="array" ref="N799">_xlfn.IFS(Table1[[#This Row],[quality]]&lt;=4,"Low",Table1[[#This Row],[quality]]&lt;=6,"Medium",Table1[[#This Row],[quality]]&gt;=7,"High")</f>
        <v>High</v>
      </c>
      <c r="O799" s="2" t="str">
        <f>IF(AND(Table1[[#This Row],[fixed acidity]]&gt;Sheet1!$C$4,Table1[[#This Row],[pH]]&lt;Sheet1!$K$4),"High","Normal")</f>
        <v>High</v>
      </c>
      <c r="P799" s="1">
        <f>(Table1[[#This Row],[alcohol]]*2)+(Table1[[#This Row],[sulphates]]*1.5)-(Table1[[#This Row],[volatile acidity]]*2)</f>
        <v>22.075000000000003</v>
      </c>
      <c r="Q799" s="1">
        <f>RANK(Table1[[#This Row],[Quality_score_index]],Table1[Quality_score_index],0)</f>
        <v>444</v>
      </c>
      <c r="R799" s="1">
        <f>Table1[[#This Row],[total sulfur dioxide]]-Table1[[#This Row],[free sulfur dioxide]]</f>
        <v>21</v>
      </c>
      <c r="S799" s="1" t="str">
        <f>IF(AND(Table1[[#This Row],[pH]]&gt;=3.2,Table1[[#This Row],[alcohol]]&gt;=10),"White wine","Red wine")</f>
        <v>White wine</v>
      </c>
    </row>
    <row r="800" spans="1:19" x14ac:dyDescent="0.3">
      <c r="A800" s="13">
        <v>799</v>
      </c>
      <c r="B800" s="1">
        <v>9.4</v>
      </c>
      <c r="C800" s="1">
        <v>0.5</v>
      </c>
      <c r="D800" s="1">
        <v>0.34</v>
      </c>
      <c r="E800" s="1">
        <v>3.6</v>
      </c>
      <c r="F800" s="1">
        <v>8.2000000000000003E-2</v>
      </c>
      <c r="G800" s="1">
        <v>5</v>
      </c>
      <c r="H800" s="1">
        <v>14</v>
      </c>
      <c r="I800" s="1">
        <v>0.99870000000000003</v>
      </c>
      <c r="J800" s="1">
        <v>3.29</v>
      </c>
      <c r="K800" s="1">
        <v>0.52</v>
      </c>
      <c r="L800" s="1">
        <v>10.7</v>
      </c>
      <c r="M800" s="2">
        <v>6</v>
      </c>
      <c r="N800" s="2" t="str" cm="1">
        <f t="array" ref="N800">_xlfn.IFS(Table1[[#This Row],[quality]]&lt;=4,"Low",Table1[[#This Row],[quality]]&lt;=6,"Medium",Table1[[#This Row],[quality]]&gt;=7,"High")</f>
        <v>Medium</v>
      </c>
      <c r="O800" s="2" t="str">
        <f>IF(AND(Table1[[#This Row],[fixed acidity]]&gt;Sheet1!$C$4,Table1[[#This Row],[pH]]&lt;Sheet1!$K$4),"High","Normal")</f>
        <v>High</v>
      </c>
      <c r="P800" s="1">
        <f>(Table1[[#This Row],[alcohol]]*2)+(Table1[[#This Row],[sulphates]]*1.5)-(Table1[[#This Row],[volatile acidity]]*2)</f>
        <v>21.18</v>
      </c>
      <c r="Q800" s="1">
        <f>RANK(Table1[[#This Row],[Quality_score_index]],Table1[Quality_score_index],0)</f>
        <v>610</v>
      </c>
      <c r="R800" s="1">
        <f>Table1[[#This Row],[total sulfur dioxide]]-Table1[[#This Row],[free sulfur dioxide]]</f>
        <v>9</v>
      </c>
      <c r="S800" s="1" t="str">
        <f>IF(AND(Table1[[#This Row],[pH]]&gt;=3.2,Table1[[#This Row],[alcohol]]&gt;=10),"White wine","Red wine")</f>
        <v>White wine</v>
      </c>
    </row>
    <row r="801" spans="1:19" x14ac:dyDescent="0.3">
      <c r="A801" s="13">
        <v>800</v>
      </c>
      <c r="B801" s="1">
        <v>9.4</v>
      </c>
      <c r="C801" s="1">
        <v>0.5</v>
      </c>
      <c r="D801" s="1">
        <v>0.34</v>
      </c>
      <c r="E801" s="1">
        <v>3.6</v>
      </c>
      <c r="F801" s="1">
        <v>8.2000000000000003E-2</v>
      </c>
      <c r="G801" s="1">
        <v>5</v>
      </c>
      <c r="H801" s="1">
        <v>14</v>
      </c>
      <c r="I801" s="1">
        <v>0.99870000000000003</v>
      </c>
      <c r="J801" s="1">
        <v>3.29</v>
      </c>
      <c r="K801" s="1">
        <v>0.52</v>
      </c>
      <c r="L801" s="1">
        <v>10.7</v>
      </c>
      <c r="M801" s="2">
        <v>6</v>
      </c>
      <c r="N801" s="2" t="str" cm="1">
        <f t="array" ref="N801">_xlfn.IFS(Table1[[#This Row],[quality]]&lt;=4,"Low",Table1[[#This Row],[quality]]&lt;=6,"Medium",Table1[[#This Row],[quality]]&gt;=7,"High")</f>
        <v>Medium</v>
      </c>
      <c r="O801" s="2" t="str">
        <f>IF(AND(Table1[[#This Row],[fixed acidity]]&gt;Sheet1!$C$4,Table1[[#This Row],[pH]]&lt;Sheet1!$K$4),"High","Normal")</f>
        <v>High</v>
      </c>
      <c r="P801" s="1">
        <f>(Table1[[#This Row],[alcohol]]*2)+(Table1[[#This Row],[sulphates]]*1.5)-(Table1[[#This Row],[volatile acidity]]*2)</f>
        <v>21.18</v>
      </c>
      <c r="Q801" s="1">
        <f>RANK(Table1[[#This Row],[Quality_score_index]],Table1[Quality_score_index],0)</f>
        <v>610</v>
      </c>
      <c r="R801" s="1">
        <f>Table1[[#This Row],[total sulfur dioxide]]-Table1[[#This Row],[free sulfur dioxide]]</f>
        <v>9</v>
      </c>
      <c r="S801" s="1" t="str">
        <f>IF(AND(Table1[[#This Row],[pH]]&gt;=3.2,Table1[[#This Row],[alcohol]]&gt;=10),"White wine","Red wine")</f>
        <v>White wine</v>
      </c>
    </row>
    <row r="802" spans="1:19" x14ac:dyDescent="0.3">
      <c r="A802" s="13">
        <v>801</v>
      </c>
      <c r="B802" s="1">
        <v>7.2</v>
      </c>
      <c r="C802" s="1">
        <v>0.61</v>
      </c>
      <c r="D802" s="1">
        <v>0.08</v>
      </c>
      <c r="E802" s="1">
        <v>4</v>
      </c>
      <c r="F802" s="1">
        <v>8.2000000000000003E-2</v>
      </c>
      <c r="G802" s="1">
        <v>26</v>
      </c>
      <c r="H802" s="1">
        <v>108</v>
      </c>
      <c r="I802" s="1">
        <v>0.99641000000000002</v>
      </c>
      <c r="J802" s="1">
        <v>3.25</v>
      </c>
      <c r="K802" s="1">
        <v>0.51</v>
      </c>
      <c r="L802" s="1">
        <v>9.4</v>
      </c>
      <c r="M802" s="2">
        <v>5</v>
      </c>
      <c r="N802" s="2" t="str" cm="1">
        <f t="array" ref="N802">_xlfn.IFS(Table1[[#This Row],[quality]]&lt;=4,"Low",Table1[[#This Row],[quality]]&lt;=6,"Medium",Table1[[#This Row],[quality]]&gt;=7,"High")</f>
        <v>Medium</v>
      </c>
      <c r="O802" s="2" t="str">
        <f>IF(AND(Table1[[#This Row],[fixed acidity]]&gt;Sheet1!$C$4,Table1[[#This Row],[pH]]&lt;Sheet1!$K$4),"High","Normal")</f>
        <v>Normal</v>
      </c>
      <c r="P802" s="1">
        <f>(Table1[[#This Row],[alcohol]]*2)+(Table1[[#This Row],[sulphates]]*1.5)-(Table1[[#This Row],[volatile acidity]]*2)</f>
        <v>18.345000000000002</v>
      </c>
      <c r="Q802" s="1">
        <f>RANK(Table1[[#This Row],[Quality_score_index]],Table1[Quality_score_index],0)</f>
        <v>1435</v>
      </c>
      <c r="R802" s="1">
        <f>Table1[[#This Row],[total sulfur dioxide]]-Table1[[#This Row],[free sulfur dioxide]]</f>
        <v>82</v>
      </c>
      <c r="S802" s="1" t="str">
        <f>IF(AND(Table1[[#This Row],[pH]]&gt;=3.2,Table1[[#This Row],[alcohol]]&gt;=10),"White wine","Red wine")</f>
        <v>Red wine</v>
      </c>
    </row>
    <row r="803" spans="1:19" x14ac:dyDescent="0.3">
      <c r="A803" s="13">
        <v>802</v>
      </c>
      <c r="B803" s="1">
        <v>8.6</v>
      </c>
      <c r="C803" s="1">
        <v>0.55000000000000004</v>
      </c>
      <c r="D803" s="1">
        <v>0.09</v>
      </c>
      <c r="E803" s="1">
        <v>3.3</v>
      </c>
      <c r="F803" s="1">
        <v>6.8000000000000005E-2</v>
      </c>
      <c r="G803" s="1">
        <v>8</v>
      </c>
      <c r="H803" s="1">
        <v>17</v>
      </c>
      <c r="I803" s="1">
        <v>0.99734999999999996</v>
      </c>
      <c r="J803" s="1">
        <v>3.23</v>
      </c>
      <c r="K803" s="1">
        <v>0.44</v>
      </c>
      <c r="L803" s="1">
        <v>10</v>
      </c>
      <c r="M803" s="2">
        <v>5</v>
      </c>
      <c r="N803" s="2" t="str" cm="1">
        <f t="array" ref="N803">_xlfn.IFS(Table1[[#This Row],[quality]]&lt;=4,"Low",Table1[[#This Row],[quality]]&lt;=6,"Medium",Table1[[#This Row],[quality]]&gt;=7,"High")</f>
        <v>Medium</v>
      </c>
      <c r="O803" s="2" t="str">
        <f>IF(AND(Table1[[#This Row],[fixed acidity]]&gt;Sheet1!$C$4,Table1[[#This Row],[pH]]&lt;Sheet1!$K$4),"High","Normal")</f>
        <v>High</v>
      </c>
      <c r="P803" s="1">
        <f>(Table1[[#This Row],[alcohol]]*2)+(Table1[[#This Row],[sulphates]]*1.5)-(Table1[[#This Row],[volatile acidity]]*2)</f>
        <v>19.559999999999999</v>
      </c>
      <c r="Q803" s="1">
        <f>RANK(Table1[[#This Row],[Quality_score_index]],Table1[Quality_score_index],0)</f>
        <v>962</v>
      </c>
      <c r="R803" s="1">
        <f>Table1[[#This Row],[total sulfur dioxide]]-Table1[[#This Row],[free sulfur dioxide]]</f>
        <v>9</v>
      </c>
      <c r="S803" s="1" t="str">
        <f>IF(AND(Table1[[#This Row],[pH]]&gt;=3.2,Table1[[#This Row],[alcohol]]&gt;=10),"White wine","Red wine")</f>
        <v>White wine</v>
      </c>
    </row>
    <row r="804" spans="1:19" x14ac:dyDescent="0.3">
      <c r="A804" s="13">
        <v>803</v>
      </c>
      <c r="B804" s="1">
        <v>5.0999999999999996</v>
      </c>
      <c r="C804" s="1">
        <v>0.58499999999999996</v>
      </c>
      <c r="D804" s="1">
        <v>0</v>
      </c>
      <c r="E804" s="1">
        <v>1.7</v>
      </c>
      <c r="F804" s="1">
        <v>4.3999999999999997E-2</v>
      </c>
      <c r="G804" s="1">
        <v>14</v>
      </c>
      <c r="H804" s="1">
        <v>86</v>
      </c>
      <c r="I804" s="1">
        <v>0.99263999999999997</v>
      </c>
      <c r="J804" s="1">
        <v>3.56</v>
      </c>
      <c r="K804" s="1">
        <v>0.94</v>
      </c>
      <c r="L804" s="1">
        <v>12.9</v>
      </c>
      <c r="M804" s="2">
        <v>7</v>
      </c>
      <c r="N804" s="2" t="str" cm="1">
        <f t="array" ref="N804">_xlfn.IFS(Table1[[#This Row],[quality]]&lt;=4,"Low",Table1[[#This Row],[quality]]&lt;=6,"Medium",Table1[[#This Row],[quality]]&gt;=7,"High")</f>
        <v>High</v>
      </c>
      <c r="O804" s="2" t="str">
        <f>IF(AND(Table1[[#This Row],[fixed acidity]]&gt;Sheet1!$C$4,Table1[[#This Row],[pH]]&lt;Sheet1!$K$4),"High","Normal")</f>
        <v>Normal</v>
      </c>
      <c r="P804" s="1">
        <f>(Table1[[#This Row],[alcohol]]*2)+(Table1[[#This Row],[sulphates]]*1.5)-(Table1[[#This Row],[volatile acidity]]*2)</f>
        <v>26.04</v>
      </c>
      <c r="Q804" s="1">
        <f>RANK(Table1[[#This Row],[Quality_score_index]],Table1[Quality_score_index],0)</f>
        <v>32</v>
      </c>
      <c r="R804" s="1">
        <f>Table1[[#This Row],[total sulfur dioxide]]-Table1[[#This Row],[free sulfur dioxide]]</f>
        <v>72</v>
      </c>
      <c r="S804" s="1" t="str">
        <f>IF(AND(Table1[[#This Row],[pH]]&gt;=3.2,Table1[[#This Row],[alcohol]]&gt;=10),"White wine","Red wine")</f>
        <v>White wine</v>
      </c>
    </row>
    <row r="805" spans="1:19" x14ac:dyDescent="0.3">
      <c r="A805" s="13">
        <v>804</v>
      </c>
      <c r="B805" s="1">
        <v>7.7</v>
      </c>
      <c r="C805" s="1">
        <v>0.56000000000000005</v>
      </c>
      <c r="D805" s="1">
        <v>0.08</v>
      </c>
      <c r="E805" s="1">
        <v>2.5</v>
      </c>
      <c r="F805" s="1">
        <v>0.114</v>
      </c>
      <c r="G805" s="1">
        <v>14</v>
      </c>
      <c r="H805" s="1">
        <v>46</v>
      </c>
      <c r="I805" s="1">
        <v>0.99709999999999999</v>
      </c>
      <c r="J805" s="1">
        <v>3.24</v>
      </c>
      <c r="K805" s="1">
        <v>0.66</v>
      </c>
      <c r="L805" s="1">
        <v>9.6</v>
      </c>
      <c r="M805" s="2">
        <v>6</v>
      </c>
      <c r="N805" s="2" t="str" cm="1">
        <f t="array" ref="N805">_xlfn.IFS(Table1[[#This Row],[quality]]&lt;=4,"Low",Table1[[#This Row],[quality]]&lt;=6,"Medium",Table1[[#This Row],[quality]]&gt;=7,"High")</f>
        <v>Medium</v>
      </c>
      <c r="O805" s="2" t="str">
        <f>IF(AND(Table1[[#This Row],[fixed acidity]]&gt;Sheet1!$C$4,Table1[[#This Row],[pH]]&lt;Sheet1!$K$4),"High","Normal")</f>
        <v>Normal</v>
      </c>
      <c r="P805" s="1">
        <f>(Table1[[#This Row],[alcohol]]*2)+(Table1[[#This Row],[sulphates]]*1.5)-(Table1[[#This Row],[volatile acidity]]*2)</f>
        <v>19.069999999999997</v>
      </c>
      <c r="Q805" s="1">
        <f>RANK(Table1[[#This Row],[Quality_score_index]],Table1[Quality_score_index],0)</f>
        <v>1139</v>
      </c>
      <c r="R805" s="1">
        <f>Table1[[#This Row],[total sulfur dioxide]]-Table1[[#This Row],[free sulfur dioxide]]</f>
        <v>32</v>
      </c>
      <c r="S805" s="1" t="str">
        <f>IF(AND(Table1[[#This Row],[pH]]&gt;=3.2,Table1[[#This Row],[alcohol]]&gt;=10),"White wine","Red wine")</f>
        <v>Red wine</v>
      </c>
    </row>
    <row r="806" spans="1:19" x14ac:dyDescent="0.3">
      <c r="A806" s="13">
        <v>805</v>
      </c>
      <c r="B806" s="1">
        <v>8.4</v>
      </c>
      <c r="C806" s="1">
        <v>0.52</v>
      </c>
      <c r="D806" s="1">
        <v>0.22</v>
      </c>
      <c r="E806" s="1">
        <v>2.7</v>
      </c>
      <c r="F806" s="1">
        <v>8.4000000000000005E-2</v>
      </c>
      <c r="G806" s="1">
        <v>4</v>
      </c>
      <c r="H806" s="1">
        <v>18</v>
      </c>
      <c r="I806" s="1">
        <v>0.99682000000000004</v>
      </c>
      <c r="J806" s="1">
        <v>3.26</v>
      </c>
      <c r="K806" s="1">
        <v>0.56999999999999995</v>
      </c>
      <c r="L806" s="1">
        <v>9.9</v>
      </c>
      <c r="M806" s="2">
        <v>6</v>
      </c>
      <c r="N806" s="2" t="str" cm="1">
        <f t="array" ref="N806">_xlfn.IFS(Table1[[#This Row],[quality]]&lt;=4,"Low",Table1[[#This Row],[quality]]&lt;=6,"Medium",Table1[[#This Row],[quality]]&gt;=7,"High")</f>
        <v>Medium</v>
      </c>
      <c r="O806" s="2" t="str">
        <f>IF(AND(Table1[[#This Row],[fixed acidity]]&gt;Sheet1!$C$4,Table1[[#This Row],[pH]]&lt;Sheet1!$K$4),"High","Normal")</f>
        <v>High</v>
      </c>
      <c r="P806" s="1">
        <f>(Table1[[#This Row],[alcohol]]*2)+(Table1[[#This Row],[sulphates]]*1.5)-(Table1[[#This Row],[volatile acidity]]*2)</f>
        <v>19.615000000000002</v>
      </c>
      <c r="Q806" s="1">
        <f>RANK(Table1[[#This Row],[Quality_score_index]],Table1[Quality_score_index],0)</f>
        <v>949</v>
      </c>
      <c r="R806" s="1">
        <f>Table1[[#This Row],[total sulfur dioxide]]-Table1[[#This Row],[free sulfur dioxide]]</f>
        <v>14</v>
      </c>
      <c r="S806" s="1" t="str">
        <f>IF(AND(Table1[[#This Row],[pH]]&gt;=3.2,Table1[[#This Row],[alcohol]]&gt;=10),"White wine","Red wine")</f>
        <v>Red wine</v>
      </c>
    </row>
    <row r="807" spans="1:19" x14ac:dyDescent="0.3">
      <c r="A807" s="13">
        <v>806</v>
      </c>
      <c r="B807" s="1">
        <v>8.1999999999999993</v>
      </c>
      <c r="C807" s="1">
        <v>0.28000000000000003</v>
      </c>
      <c r="D807" s="1">
        <v>0.4</v>
      </c>
      <c r="E807" s="1">
        <v>2.4</v>
      </c>
      <c r="F807" s="1">
        <v>5.1999999999999998E-2</v>
      </c>
      <c r="G807" s="1">
        <v>4</v>
      </c>
      <c r="H807" s="1">
        <v>10</v>
      </c>
      <c r="I807" s="1">
        <v>0.99356</v>
      </c>
      <c r="J807" s="1">
        <v>3.33</v>
      </c>
      <c r="K807" s="1">
        <v>0.7</v>
      </c>
      <c r="L807" s="1">
        <v>12.8</v>
      </c>
      <c r="M807" s="2">
        <v>7</v>
      </c>
      <c r="N807" s="2" t="str" cm="1">
        <f t="array" ref="N807">_xlfn.IFS(Table1[[#This Row],[quality]]&lt;=4,"Low",Table1[[#This Row],[quality]]&lt;=6,"Medium",Table1[[#This Row],[quality]]&gt;=7,"High")</f>
        <v>High</v>
      </c>
      <c r="O807" s="2" t="str">
        <f>IF(AND(Table1[[#This Row],[fixed acidity]]&gt;Sheet1!$C$4,Table1[[#This Row],[pH]]&lt;Sheet1!$K$4),"High","Normal")</f>
        <v>Normal</v>
      </c>
      <c r="P807" s="1">
        <f>(Table1[[#This Row],[alcohol]]*2)+(Table1[[#This Row],[sulphates]]*1.5)-(Table1[[#This Row],[volatile acidity]]*2)</f>
        <v>26.090000000000003</v>
      </c>
      <c r="Q807" s="1">
        <f>RANK(Table1[[#This Row],[Quality_score_index]],Table1[Quality_score_index],0)</f>
        <v>27</v>
      </c>
      <c r="R807" s="1">
        <f>Table1[[#This Row],[total sulfur dioxide]]-Table1[[#This Row],[free sulfur dioxide]]</f>
        <v>6</v>
      </c>
      <c r="S807" s="1" t="str">
        <f>IF(AND(Table1[[#This Row],[pH]]&gt;=3.2,Table1[[#This Row],[alcohol]]&gt;=10),"White wine","Red wine")</f>
        <v>White wine</v>
      </c>
    </row>
    <row r="808" spans="1:19" x14ac:dyDescent="0.3">
      <c r="A808" s="13">
        <v>807</v>
      </c>
      <c r="B808" s="1">
        <v>8.4</v>
      </c>
      <c r="C808" s="1">
        <v>0.25</v>
      </c>
      <c r="D808" s="1">
        <v>0.39</v>
      </c>
      <c r="E808" s="1">
        <v>2</v>
      </c>
      <c r="F808" s="1">
        <v>4.1000000000000002E-2</v>
      </c>
      <c r="G808" s="1">
        <v>4</v>
      </c>
      <c r="H808" s="1">
        <v>10</v>
      </c>
      <c r="I808" s="1">
        <v>0.99385999999999997</v>
      </c>
      <c r="J808" s="1">
        <v>3.27</v>
      </c>
      <c r="K808" s="1">
        <v>0.71</v>
      </c>
      <c r="L808" s="1">
        <v>12.5</v>
      </c>
      <c r="M808" s="2">
        <v>7</v>
      </c>
      <c r="N808" s="2" t="str" cm="1">
        <f t="array" ref="N808">_xlfn.IFS(Table1[[#This Row],[quality]]&lt;=4,"Low",Table1[[#This Row],[quality]]&lt;=6,"Medium",Table1[[#This Row],[quality]]&gt;=7,"High")</f>
        <v>High</v>
      </c>
      <c r="O808" s="2" t="str">
        <f>IF(AND(Table1[[#This Row],[fixed acidity]]&gt;Sheet1!$C$4,Table1[[#This Row],[pH]]&lt;Sheet1!$K$4),"High","Normal")</f>
        <v>High</v>
      </c>
      <c r="P808" s="1">
        <f>(Table1[[#This Row],[alcohol]]*2)+(Table1[[#This Row],[sulphates]]*1.5)-(Table1[[#This Row],[volatile acidity]]*2)</f>
        <v>25.565000000000001</v>
      </c>
      <c r="Q808" s="1">
        <f>RANK(Table1[[#This Row],[Quality_score_index]],Table1[Quality_score_index],0)</f>
        <v>48</v>
      </c>
      <c r="R808" s="1">
        <f>Table1[[#This Row],[total sulfur dioxide]]-Table1[[#This Row],[free sulfur dioxide]]</f>
        <v>6</v>
      </c>
      <c r="S808" s="1" t="str">
        <f>IF(AND(Table1[[#This Row],[pH]]&gt;=3.2,Table1[[#This Row],[alcohol]]&gt;=10),"White wine","Red wine")</f>
        <v>White wine</v>
      </c>
    </row>
    <row r="809" spans="1:19" x14ac:dyDescent="0.3">
      <c r="A809" s="13">
        <v>808</v>
      </c>
      <c r="B809" s="1">
        <v>8.1999999999999993</v>
      </c>
      <c r="C809" s="1">
        <v>0.28000000000000003</v>
      </c>
      <c r="D809" s="1">
        <v>0.4</v>
      </c>
      <c r="E809" s="1">
        <v>2.4</v>
      </c>
      <c r="F809" s="1">
        <v>5.1999999999999998E-2</v>
      </c>
      <c r="G809" s="1">
        <v>4</v>
      </c>
      <c r="H809" s="1">
        <v>10</v>
      </c>
      <c r="I809" s="1">
        <v>0.99356</v>
      </c>
      <c r="J809" s="1">
        <v>3.33</v>
      </c>
      <c r="K809" s="1">
        <v>0.7</v>
      </c>
      <c r="L809" s="1">
        <v>12.8</v>
      </c>
      <c r="M809" s="2">
        <v>7</v>
      </c>
      <c r="N809" s="2" t="str" cm="1">
        <f t="array" ref="N809">_xlfn.IFS(Table1[[#This Row],[quality]]&lt;=4,"Low",Table1[[#This Row],[quality]]&lt;=6,"Medium",Table1[[#This Row],[quality]]&gt;=7,"High")</f>
        <v>High</v>
      </c>
      <c r="O809" s="2" t="str">
        <f>IF(AND(Table1[[#This Row],[fixed acidity]]&gt;Sheet1!$C$4,Table1[[#This Row],[pH]]&lt;Sheet1!$K$4),"High","Normal")</f>
        <v>Normal</v>
      </c>
      <c r="P809" s="1">
        <f>(Table1[[#This Row],[alcohol]]*2)+(Table1[[#This Row],[sulphates]]*1.5)-(Table1[[#This Row],[volatile acidity]]*2)</f>
        <v>26.090000000000003</v>
      </c>
      <c r="Q809" s="1">
        <f>RANK(Table1[[#This Row],[Quality_score_index]],Table1[Quality_score_index],0)</f>
        <v>27</v>
      </c>
      <c r="R809" s="1">
        <f>Table1[[#This Row],[total sulfur dioxide]]-Table1[[#This Row],[free sulfur dioxide]]</f>
        <v>6</v>
      </c>
      <c r="S809" s="1" t="str">
        <f>IF(AND(Table1[[#This Row],[pH]]&gt;=3.2,Table1[[#This Row],[alcohol]]&gt;=10),"White wine","Red wine")</f>
        <v>White wine</v>
      </c>
    </row>
    <row r="810" spans="1:19" x14ac:dyDescent="0.3">
      <c r="A810" s="13">
        <v>809</v>
      </c>
      <c r="B810" s="1">
        <v>7.4</v>
      </c>
      <c r="C810" s="1">
        <v>0.53</v>
      </c>
      <c r="D810" s="1">
        <v>0.12</v>
      </c>
      <c r="E810" s="1">
        <v>1.9</v>
      </c>
      <c r="F810" s="1">
        <v>0.16500000000000001</v>
      </c>
      <c r="G810" s="1">
        <v>4</v>
      </c>
      <c r="H810" s="1">
        <v>12</v>
      </c>
      <c r="I810" s="1">
        <v>0.99702000000000002</v>
      </c>
      <c r="J810" s="1">
        <v>3.26</v>
      </c>
      <c r="K810" s="1">
        <v>0.86</v>
      </c>
      <c r="L810" s="1">
        <v>9.1999999999999993</v>
      </c>
      <c r="M810" s="2">
        <v>5</v>
      </c>
      <c r="N810" s="2" t="str" cm="1">
        <f t="array" ref="N810">_xlfn.IFS(Table1[[#This Row],[quality]]&lt;=4,"Low",Table1[[#This Row],[quality]]&lt;=6,"Medium",Table1[[#This Row],[quality]]&gt;=7,"High")</f>
        <v>Medium</v>
      </c>
      <c r="O810" s="2" t="str">
        <f>IF(AND(Table1[[#This Row],[fixed acidity]]&gt;Sheet1!$C$4,Table1[[#This Row],[pH]]&lt;Sheet1!$K$4),"High","Normal")</f>
        <v>Normal</v>
      </c>
      <c r="P810" s="1">
        <f>(Table1[[#This Row],[alcohol]]*2)+(Table1[[#This Row],[sulphates]]*1.5)-(Table1[[#This Row],[volatile acidity]]*2)</f>
        <v>18.63</v>
      </c>
      <c r="Q810" s="1">
        <f>RANK(Table1[[#This Row],[Quality_score_index]],Table1[Quality_score_index],0)</f>
        <v>1332</v>
      </c>
      <c r="R810" s="1">
        <f>Table1[[#This Row],[total sulfur dioxide]]-Table1[[#This Row],[free sulfur dioxide]]</f>
        <v>8</v>
      </c>
      <c r="S810" s="1" t="str">
        <f>IF(AND(Table1[[#This Row],[pH]]&gt;=3.2,Table1[[#This Row],[alcohol]]&gt;=10),"White wine","Red wine")</f>
        <v>Red wine</v>
      </c>
    </row>
    <row r="811" spans="1:19" x14ac:dyDescent="0.3">
      <c r="A811" s="13">
        <v>810</v>
      </c>
      <c r="B811" s="1">
        <v>7.6</v>
      </c>
      <c r="C811" s="1">
        <v>0.48</v>
      </c>
      <c r="D811" s="1">
        <v>0.31</v>
      </c>
      <c r="E811" s="1">
        <v>2.8</v>
      </c>
      <c r="F811" s="1">
        <v>7.0000000000000007E-2</v>
      </c>
      <c r="G811" s="1">
        <v>4</v>
      </c>
      <c r="H811" s="1">
        <v>15</v>
      </c>
      <c r="I811" s="1">
        <v>0.99692999999999998</v>
      </c>
      <c r="J811" s="1">
        <v>3.22</v>
      </c>
      <c r="K811" s="1">
        <v>0.55000000000000004</v>
      </c>
      <c r="L811" s="1">
        <v>10.3</v>
      </c>
      <c r="M811" s="2">
        <v>6</v>
      </c>
      <c r="N811" s="2" t="str" cm="1">
        <f t="array" ref="N811">_xlfn.IFS(Table1[[#This Row],[quality]]&lt;=4,"Low",Table1[[#This Row],[quality]]&lt;=6,"Medium",Table1[[#This Row],[quality]]&gt;=7,"High")</f>
        <v>Medium</v>
      </c>
      <c r="O811" s="2" t="str">
        <f>IF(AND(Table1[[#This Row],[fixed acidity]]&gt;Sheet1!$C$4,Table1[[#This Row],[pH]]&lt;Sheet1!$K$4),"High","Normal")</f>
        <v>Normal</v>
      </c>
      <c r="P811" s="1">
        <f>(Table1[[#This Row],[alcohol]]*2)+(Table1[[#This Row],[sulphates]]*1.5)-(Table1[[#This Row],[volatile acidity]]*2)</f>
        <v>20.465</v>
      </c>
      <c r="Q811" s="1">
        <f>RANK(Table1[[#This Row],[Quality_score_index]],Table1[Quality_score_index],0)</f>
        <v>758</v>
      </c>
      <c r="R811" s="1">
        <f>Table1[[#This Row],[total sulfur dioxide]]-Table1[[#This Row],[free sulfur dioxide]]</f>
        <v>11</v>
      </c>
      <c r="S811" s="1" t="str">
        <f>IF(AND(Table1[[#This Row],[pH]]&gt;=3.2,Table1[[#This Row],[alcohol]]&gt;=10),"White wine","Red wine")</f>
        <v>White wine</v>
      </c>
    </row>
    <row r="812" spans="1:19" x14ac:dyDescent="0.3">
      <c r="A812" s="13">
        <v>811</v>
      </c>
      <c r="B812" s="1">
        <v>7.3</v>
      </c>
      <c r="C812" s="1">
        <v>0.49</v>
      </c>
      <c r="D812" s="1">
        <v>0.1</v>
      </c>
      <c r="E812" s="1">
        <v>2.6</v>
      </c>
      <c r="F812" s="1">
        <v>6.8000000000000005E-2</v>
      </c>
      <c r="G812" s="1">
        <v>4</v>
      </c>
      <c r="H812" s="1">
        <v>14</v>
      </c>
      <c r="I812" s="1">
        <v>0.99561999999999995</v>
      </c>
      <c r="J812" s="1">
        <v>3.3</v>
      </c>
      <c r="K812" s="1">
        <v>0.47</v>
      </c>
      <c r="L812" s="1">
        <v>10.5</v>
      </c>
      <c r="M812" s="2">
        <v>5</v>
      </c>
      <c r="N812" s="2" t="str" cm="1">
        <f t="array" ref="N812">_xlfn.IFS(Table1[[#This Row],[quality]]&lt;=4,"Low",Table1[[#This Row],[quality]]&lt;=6,"Medium",Table1[[#This Row],[quality]]&gt;=7,"High")</f>
        <v>Medium</v>
      </c>
      <c r="O812" s="2" t="str">
        <f>IF(AND(Table1[[#This Row],[fixed acidity]]&gt;Sheet1!$C$4,Table1[[#This Row],[pH]]&lt;Sheet1!$K$4),"High","Normal")</f>
        <v>Normal</v>
      </c>
      <c r="P812" s="1">
        <f>(Table1[[#This Row],[alcohol]]*2)+(Table1[[#This Row],[sulphates]]*1.5)-(Table1[[#This Row],[volatile acidity]]*2)</f>
        <v>20.724999999999998</v>
      </c>
      <c r="Q812" s="1">
        <f>RANK(Table1[[#This Row],[Quality_score_index]],Table1[Quality_score_index],0)</f>
        <v>720</v>
      </c>
      <c r="R812" s="1">
        <f>Table1[[#This Row],[total sulfur dioxide]]-Table1[[#This Row],[free sulfur dioxide]]</f>
        <v>10</v>
      </c>
      <c r="S812" s="1" t="str">
        <f>IF(AND(Table1[[#This Row],[pH]]&gt;=3.2,Table1[[#This Row],[alcohol]]&gt;=10),"White wine","Red wine")</f>
        <v>White wine</v>
      </c>
    </row>
    <row r="813" spans="1:19" x14ac:dyDescent="0.3">
      <c r="A813" s="13">
        <v>812</v>
      </c>
      <c r="B813" s="1">
        <v>12.9</v>
      </c>
      <c r="C813" s="1">
        <v>0.5</v>
      </c>
      <c r="D813" s="1">
        <v>0.55000000000000004</v>
      </c>
      <c r="E813" s="1">
        <v>2.8</v>
      </c>
      <c r="F813" s="1">
        <v>7.1999999999999995E-2</v>
      </c>
      <c r="G813" s="1">
        <v>7</v>
      </c>
      <c r="H813" s="1">
        <v>24</v>
      </c>
      <c r="I813" s="1">
        <v>1.0001199999999999</v>
      </c>
      <c r="J813" s="1">
        <v>3.09</v>
      </c>
      <c r="K813" s="1">
        <v>0.68</v>
      </c>
      <c r="L813" s="1">
        <v>10.9</v>
      </c>
      <c r="M813" s="2">
        <v>6</v>
      </c>
      <c r="N813" s="2" t="str" cm="1">
        <f t="array" ref="N813">_xlfn.IFS(Table1[[#This Row],[quality]]&lt;=4,"Low",Table1[[#This Row],[quality]]&lt;=6,"Medium",Table1[[#This Row],[quality]]&gt;=7,"High")</f>
        <v>Medium</v>
      </c>
      <c r="O813" s="2" t="str">
        <f>IF(AND(Table1[[#This Row],[fixed acidity]]&gt;Sheet1!$C$4,Table1[[#This Row],[pH]]&lt;Sheet1!$K$4),"High","Normal")</f>
        <v>High</v>
      </c>
      <c r="P813" s="1">
        <f>(Table1[[#This Row],[alcohol]]*2)+(Table1[[#This Row],[sulphates]]*1.5)-(Table1[[#This Row],[volatile acidity]]*2)</f>
        <v>21.82</v>
      </c>
      <c r="Q813" s="1">
        <f>RANK(Table1[[#This Row],[Quality_score_index]],Table1[Quality_score_index],0)</f>
        <v>476</v>
      </c>
      <c r="R813" s="1">
        <f>Table1[[#This Row],[total sulfur dioxide]]-Table1[[#This Row],[free sulfur dioxide]]</f>
        <v>17</v>
      </c>
      <c r="S813" s="1" t="str">
        <f>IF(AND(Table1[[#This Row],[pH]]&gt;=3.2,Table1[[#This Row],[alcohol]]&gt;=10),"White wine","Red wine")</f>
        <v>Red wine</v>
      </c>
    </row>
    <row r="814" spans="1:19" x14ac:dyDescent="0.3">
      <c r="A814" s="13">
        <v>813</v>
      </c>
      <c r="B814" s="1">
        <v>10.8</v>
      </c>
      <c r="C814" s="1">
        <v>0.45</v>
      </c>
      <c r="D814" s="1">
        <v>0.33</v>
      </c>
      <c r="E814" s="1">
        <v>2.5</v>
      </c>
      <c r="F814" s="1">
        <v>9.9000000000000005E-2</v>
      </c>
      <c r="G814" s="1">
        <v>20</v>
      </c>
      <c r="H814" s="1">
        <v>38</v>
      </c>
      <c r="I814" s="1">
        <v>0.99817999999999996</v>
      </c>
      <c r="J814" s="1">
        <v>3.24</v>
      </c>
      <c r="K814" s="1">
        <v>0.71</v>
      </c>
      <c r="L814" s="1">
        <v>10.8</v>
      </c>
      <c r="M814" s="2">
        <v>5</v>
      </c>
      <c r="N814" s="2" t="str" cm="1">
        <f t="array" ref="N814">_xlfn.IFS(Table1[[#This Row],[quality]]&lt;=4,"Low",Table1[[#This Row],[quality]]&lt;=6,"Medium",Table1[[#This Row],[quality]]&gt;=7,"High")</f>
        <v>Medium</v>
      </c>
      <c r="O814" s="2" t="str">
        <f>IF(AND(Table1[[#This Row],[fixed acidity]]&gt;Sheet1!$C$4,Table1[[#This Row],[pH]]&lt;Sheet1!$K$4),"High","Normal")</f>
        <v>High</v>
      </c>
      <c r="P814" s="1">
        <f>(Table1[[#This Row],[alcohol]]*2)+(Table1[[#This Row],[sulphates]]*1.5)-(Table1[[#This Row],[volatile acidity]]*2)</f>
        <v>21.765000000000004</v>
      </c>
      <c r="Q814" s="1">
        <f>RANK(Table1[[#This Row],[Quality_score_index]],Table1[Quality_score_index],0)</f>
        <v>490</v>
      </c>
      <c r="R814" s="1">
        <f>Table1[[#This Row],[total sulfur dioxide]]-Table1[[#This Row],[free sulfur dioxide]]</f>
        <v>18</v>
      </c>
      <c r="S814" s="1" t="str">
        <f>IF(AND(Table1[[#This Row],[pH]]&gt;=3.2,Table1[[#This Row],[alcohol]]&gt;=10),"White wine","Red wine")</f>
        <v>White wine</v>
      </c>
    </row>
    <row r="815" spans="1:19" x14ac:dyDescent="0.3">
      <c r="A815" s="13">
        <v>814</v>
      </c>
      <c r="B815" s="1">
        <v>6.9</v>
      </c>
      <c r="C815" s="1">
        <v>0.39</v>
      </c>
      <c r="D815" s="1">
        <v>0.24</v>
      </c>
      <c r="E815" s="1">
        <v>2.1</v>
      </c>
      <c r="F815" s="1">
        <v>0.10199999999999999</v>
      </c>
      <c r="G815" s="1">
        <v>4</v>
      </c>
      <c r="H815" s="1">
        <v>7</v>
      </c>
      <c r="I815" s="1">
        <v>0.99461999999999995</v>
      </c>
      <c r="J815" s="1">
        <v>3.44</v>
      </c>
      <c r="K815" s="1">
        <v>0.57999999999999996</v>
      </c>
      <c r="L815" s="1">
        <v>11.4</v>
      </c>
      <c r="M815" s="2">
        <v>4</v>
      </c>
      <c r="N815" s="2" t="str" cm="1">
        <f t="array" ref="N815">_xlfn.IFS(Table1[[#This Row],[quality]]&lt;=4,"Low",Table1[[#This Row],[quality]]&lt;=6,"Medium",Table1[[#This Row],[quality]]&gt;=7,"High")</f>
        <v>Low</v>
      </c>
      <c r="O815" s="2" t="str">
        <f>IF(AND(Table1[[#This Row],[fixed acidity]]&gt;Sheet1!$C$4,Table1[[#This Row],[pH]]&lt;Sheet1!$K$4),"High","Normal")</f>
        <v>Normal</v>
      </c>
      <c r="P815" s="1">
        <f>(Table1[[#This Row],[alcohol]]*2)+(Table1[[#This Row],[sulphates]]*1.5)-(Table1[[#This Row],[volatile acidity]]*2)</f>
        <v>22.89</v>
      </c>
      <c r="Q815" s="1">
        <f>RANK(Table1[[#This Row],[Quality_score_index]],Table1[Quality_score_index],0)</f>
        <v>292</v>
      </c>
      <c r="R815" s="1">
        <f>Table1[[#This Row],[total sulfur dioxide]]-Table1[[#This Row],[free sulfur dioxide]]</f>
        <v>3</v>
      </c>
      <c r="S815" s="1" t="str">
        <f>IF(AND(Table1[[#This Row],[pH]]&gt;=3.2,Table1[[#This Row],[alcohol]]&gt;=10),"White wine","Red wine")</f>
        <v>White wine</v>
      </c>
    </row>
    <row r="816" spans="1:19" x14ac:dyDescent="0.3">
      <c r="A816" s="13">
        <v>815</v>
      </c>
      <c r="B816" s="1">
        <v>12.6</v>
      </c>
      <c r="C816" s="1">
        <v>0.41</v>
      </c>
      <c r="D816" s="1">
        <v>0.54</v>
      </c>
      <c r="E816" s="1">
        <v>2.8</v>
      </c>
      <c r="F816" s="1">
        <v>0.10299999999999999</v>
      </c>
      <c r="G816" s="1">
        <v>19</v>
      </c>
      <c r="H816" s="1">
        <v>41</v>
      </c>
      <c r="I816" s="1">
        <v>0.99939</v>
      </c>
      <c r="J816" s="1">
        <v>3.21</v>
      </c>
      <c r="K816" s="1">
        <v>0.76</v>
      </c>
      <c r="L816" s="1">
        <v>11.3</v>
      </c>
      <c r="M816" s="2">
        <v>6</v>
      </c>
      <c r="N816" s="2" t="str" cm="1">
        <f t="array" ref="N816">_xlfn.IFS(Table1[[#This Row],[quality]]&lt;=4,"Low",Table1[[#This Row],[quality]]&lt;=6,"Medium",Table1[[#This Row],[quality]]&gt;=7,"High")</f>
        <v>Medium</v>
      </c>
      <c r="O816" s="2" t="str">
        <f>IF(AND(Table1[[#This Row],[fixed acidity]]&gt;Sheet1!$C$4,Table1[[#This Row],[pH]]&lt;Sheet1!$K$4),"High","Normal")</f>
        <v>High</v>
      </c>
      <c r="P816" s="1">
        <f>(Table1[[#This Row],[alcohol]]*2)+(Table1[[#This Row],[sulphates]]*1.5)-(Table1[[#This Row],[volatile acidity]]*2)</f>
        <v>22.92</v>
      </c>
      <c r="Q816" s="1">
        <f>RANK(Table1[[#This Row],[Quality_score_index]],Table1[Quality_score_index],0)</f>
        <v>287</v>
      </c>
      <c r="R816" s="1">
        <f>Table1[[#This Row],[total sulfur dioxide]]-Table1[[#This Row],[free sulfur dioxide]]</f>
        <v>22</v>
      </c>
      <c r="S816" s="1" t="str">
        <f>IF(AND(Table1[[#This Row],[pH]]&gt;=3.2,Table1[[#This Row],[alcohol]]&gt;=10),"White wine","Red wine")</f>
        <v>White wine</v>
      </c>
    </row>
    <row r="817" spans="1:19" x14ac:dyDescent="0.3">
      <c r="A817" s="13">
        <v>816</v>
      </c>
      <c r="B817" s="1">
        <v>10.8</v>
      </c>
      <c r="C817" s="1">
        <v>0.45</v>
      </c>
      <c r="D817" s="1">
        <v>0.33</v>
      </c>
      <c r="E817" s="1">
        <v>2.5</v>
      </c>
      <c r="F817" s="1">
        <v>9.9000000000000005E-2</v>
      </c>
      <c r="G817" s="1">
        <v>20</v>
      </c>
      <c r="H817" s="1">
        <v>38</v>
      </c>
      <c r="I817" s="1">
        <v>0.99817999999999996</v>
      </c>
      <c r="J817" s="1">
        <v>3.24</v>
      </c>
      <c r="K817" s="1">
        <v>0.71</v>
      </c>
      <c r="L817" s="1">
        <v>10.8</v>
      </c>
      <c r="M817" s="2">
        <v>5</v>
      </c>
      <c r="N817" s="2" t="str" cm="1">
        <f t="array" ref="N817">_xlfn.IFS(Table1[[#This Row],[quality]]&lt;=4,"Low",Table1[[#This Row],[quality]]&lt;=6,"Medium",Table1[[#This Row],[quality]]&gt;=7,"High")</f>
        <v>Medium</v>
      </c>
      <c r="O817" s="2" t="str">
        <f>IF(AND(Table1[[#This Row],[fixed acidity]]&gt;Sheet1!$C$4,Table1[[#This Row],[pH]]&lt;Sheet1!$K$4),"High","Normal")</f>
        <v>High</v>
      </c>
      <c r="P817" s="1">
        <f>(Table1[[#This Row],[alcohol]]*2)+(Table1[[#This Row],[sulphates]]*1.5)-(Table1[[#This Row],[volatile acidity]]*2)</f>
        <v>21.765000000000004</v>
      </c>
      <c r="Q817" s="1">
        <f>RANK(Table1[[#This Row],[Quality_score_index]],Table1[Quality_score_index],0)</f>
        <v>490</v>
      </c>
      <c r="R817" s="1">
        <f>Table1[[#This Row],[total sulfur dioxide]]-Table1[[#This Row],[free sulfur dioxide]]</f>
        <v>18</v>
      </c>
      <c r="S817" s="1" t="str">
        <f>IF(AND(Table1[[#This Row],[pH]]&gt;=3.2,Table1[[#This Row],[alcohol]]&gt;=10),"White wine","Red wine")</f>
        <v>White wine</v>
      </c>
    </row>
    <row r="818" spans="1:19" x14ac:dyDescent="0.3">
      <c r="A818" s="13">
        <v>817</v>
      </c>
      <c r="B818" s="1">
        <v>9.8000000000000007</v>
      </c>
      <c r="C818" s="1">
        <v>0.51</v>
      </c>
      <c r="D818" s="1">
        <v>0.19</v>
      </c>
      <c r="E818" s="1">
        <v>3.2</v>
      </c>
      <c r="F818" s="1">
        <v>8.1000000000000003E-2</v>
      </c>
      <c r="G818" s="1">
        <v>8</v>
      </c>
      <c r="H818" s="1">
        <v>30</v>
      </c>
      <c r="I818" s="1">
        <v>0.99839999999999995</v>
      </c>
      <c r="J818" s="1">
        <v>3.23</v>
      </c>
      <c r="K818" s="1">
        <v>0.57999999999999996</v>
      </c>
      <c r="L818" s="1">
        <v>10.5</v>
      </c>
      <c r="M818" s="2">
        <v>6</v>
      </c>
      <c r="N818" s="2" t="str" cm="1">
        <f t="array" ref="N818">_xlfn.IFS(Table1[[#This Row],[quality]]&lt;=4,"Low",Table1[[#This Row],[quality]]&lt;=6,"Medium",Table1[[#This Row],[quality]]&gt;=7,"High")</f>
        <v>Medium</v>
      </c>
      <c r="O818" s="2" t="str">
        <f>IF(AND(Table1[[#This Row],[fixed acidity]]&gt;Sheet1!$C$4,Table1[[#This Row],[pH]]&lt;Sheet1!$K$4),"High","Normal")</f>
        <v>High</v>
      </c>
      <c r="P818" s="1">
        <f>(Table1[[#This Row],[alcohol]]*2)+(Table1[[#This Row],[sulphates]]*1.5)-(Table1[[#This Row],[volatile acidity]]*2)</f>
        <v>20.85</v>
      </c>
      <c r="Q818" s="1">
        <f>RANK(Table1[[#This Row],[Quality_score_index]],Table1[Quality_score_index],0)</f>
        <v>685</v>
      </c>
      <c r="R818" s="1">
        <f>Table1[[#This Row],[total sulfur dioxide]]-Table1[[#This Row],[free sulfur dioxide]]</f>
        <v>22</v>
      </c>
      <c r="S818" s="1" t="str">
        <f>IF(AND(Table1[[#This Row],[pH]]&gt;=3.2,Table1[[#This Row],[alcohol]]&gt;=10),"White wine","Red wine")</f>
        <v>White wine</v>
      </c>
    </row>
    <row r="819" spans="1:19" x14ac:dyDescent="0.3">
      <c r="A819" s="13">
        <v>818</v>
      </c>
      <c r="B819" s="1">
        <v>10.8</v>
      </c>
      <c r="C819" s="1">
        <v>0.28999999999999998</v>
      </c>
      <c r="D819" s="1">
        <v>0.42</v>
      </c>
      <c r="E819" s="1">
        <v>1.6</v>
      </c>
      <c r="F819" s="1">
        <v>8.4000000000000005E-2</v>
      </c>
      <c r="G819" s="1">
        <v>19</v>
      </c>
      <c r="H819" s="1">
        <v>27</v>
      </c>
      <c r="I819" s="1">
        <v>0.99544999999999995</v>
      </c>
      <c r="J819" s="1">
        <v>3.28</v>
      </c>
      <c r="K819" s="1">
        <v>0.73</v>
      </c>
      <c r="L819" s="1">
        <v>11.9</v>
      </c>
      <c r="M819" s="2">
        <v>6</v>
      </c>
      <c r="N819" s="2" t="str" cm="1">
        <f t="array" ref="N819">_xlfn.IFS(Table1[[#This Row],[quality]]&lt;=4,"Low",Table1[[#This Row],[quality]]&lt;=6,"Medium",Table1[[#This Row],[quality]]&gt;=7,"High")</f>
        <v>Medium</v>
      </c>
      <c r="O819" s="2" t="str">
        <f>IF(AND(Table1[[#This Row],[fixed acidity]]&gt;Sheet1!$C$4,Table1[[#This Row],[pH]]&lt;Sheet1!$K$4),"High","Normal")</f>
        <v>High</v>
      </c>
      <c r="P819" s="1">
        <f>(Table1[[#This Row],[alcohol]]*2)+(Table1[[#This Row],[sulphates]]*1.5)-(Table1[[#This Row],[volatile acidity]]*2)</f>
        <v>24.315000000000001</v>
      </c>
      <c r="Q819" s="1">
        <f>RANK(Table1[[#This Row],[Quality_score_index]],Table1[Quality_score_index],0)</f>
        <v>150</v>
      </c>
      <c r="R819" s="1">
        <f>Table1[[#This Row],[total sulfur dioxide]]-Table1[[#This Row],[free sulfur dioxide]]</f>
        <v>8</v>
      </c>
      <c r="S819" s="1" t="str">
        <f>IF(AND(Table1[[#This Row],[pH]]&gt;=3.2,Table1[[#This Row],[alcohol]]&gt;=10),"White wine","Red wine")</f>
        <v>White wine</v>
      </c>
    </row>
    <row r="820" spans="1:19" x14ac:dyDescent="0.3">
      <c r="A820" s="13">
        <v>819</v>
      </c>
      <c r="B820" s="1">
        <v>7.1</v>
      </c>
      <c r="C820" s="1">
        <v>0.71499999999999997</v>
      </c>
      <c r="D820" s="1">
        <v>0</v>
      </c>
      <c r="E820" s="1">
        <v>2.35</v>
      </c>
      <c r="F820" s="1">
        <v>7.0999999999999994E-2</v>
      </c>
      <c r="G820" s="1">
        <v>21</v>
      </c>
      <c r="H820" s="1">
        <v>47</v>
      </c>
      <c r="I820" s="1">
        <v>0.99631999999999998</v>
      </c>
      <c r="J820" s="1">
        <v>3.29</v>
      </c>
      <c r="K820" s="1">
        <v>0.45</v>
      </c>
      <c r="L820" s="1">
        <v>9.4</v>
      </c>
      <c r="M820" s="2">
        <v>5</v>
      </c>
      <c r="N820" s="2" t="str" cm="1">
        <f t="array" ref="N820">_xlfn.IFS(Table1[[#This Row],[quality]]&lt;=4,"Low",Table1[[#This Row],[quality]]&lt;=6,"Medium",Table1[[#This Row],[quality]]&gt;=7,"High")</f>
        <v>Medium</v>
      </c>
      <c r="O820" s="2" t="str">
        <f>IF(AND(Table1[[#This Row],[fixed acidity]]&gt;Sheet1!$C$4,Table1[[#This Row],[pH]]&lt;Sheet1!$K$4),"High","Normal")</f>
        <v>Normal</v>
      </c>
      <c r="P820" s="1">
        <f>(Table1[[#This Row],[alcohol]]*2)+(Table1[[#This Row],[sulphates]]*1.5)-(Table1[[#This Row],[volatile acidity]]*2)</f>
        <v>18.045000000000002</v>
      </c>
      <c r="Q820" s="1">
        <f>RANK(Table1[[#This Row],[Quality_score_index]],Table1[Quality_score_index],0)</f>
        <v>1514</v>
      </c>
      <c r="R820" s="1">
        <f>Table1[[#This Row],[total sulfur dioxide]]-Table1[[#This Row],[free sulfur dioxide]]</f>
        <v>26</v>
      </c>
      <c r="S820" s="1" t="str">
        <f>IF(AND(Table1[[#This Row],[pH]]&gt;=3.2,Table1[[#This Row],[alcohol]]&gt;=10),"White wine","Red wine")</f>
        <v>Red wine</v>
      </c>
    </row>
    <row r="821" spans="1:19" x14ac:dyDescent="0.3">
      <c r="A821" s="13">
        <v>820</v>
      </c>
      <c r="B821" s="1">
        <v>9.1</v>
      </c>
      <c r="C821" s="1">
        <v>0.66</v>
      </c>
      <c r="D821" s="1">
        <v>0.15</v>
      </c>
      <c r="E821" s="1">
        <v>3.2</v>
      </c>
      <c r="F821" s="1">
        <v>9.7000000000000003E-2</v>
      </c>
      <c r="G821" s="1">
        <v>9</v>
      </c>
      <c r="H821" s="1">
        <v>59</v>
      </c>
      <c r="I821" s="1">
        <v>0.99975999999999998</v>
      </c>
      <c r="J821" s="1">
        <v>3.28</v>
      </c>
      <c r="K821" s="1">
        <v>0.54</v>
      </c>
      <c r="L821" s="1">
        <v>9.6</v>
      </c>
      <c r="M821" s="2">
        <v>5</v>
      </c>
      <c r="N821" s="2" t="str" cm="1">
        <f t="array" ref="N821">_xlfn.IFS(Table1[[#This Row],[quality]]&lt;=4,"Low",Table1[[#This Row],[quality]]&lt;=6,"Medium",Table1[[#This Row],[quality]]&gt;=7,"High")</f>
        <v>Medium</v>
      </c>
      <c r="O821" s="2" t="str">
        <f>IF(AND(Table1[[#This Row],[fixed acidity]]&gt;Sheet1!$C$4,Table1[[#This Row],[pH]]&lt;Sheet1!$K$4),"High","Normal")</f>
        <v>High</v>
      </c>
      <c r="P821" s="1">
        <f>(Table1[[#This Row],[alcohol]]*2)+(Table1[[#This Row],[sulphates]]*1.5)-(Table1[[#This Row],[volatile acidity]]*2)</f>
        <v>18.689999999999998</v>
      </c>
      <c r="Q821" s="1">
        <f>RANK(Table1[[#This Row],[Quality_score_index]],Table1[Quality_score_index],0)</f>
        <v>1297</v>
      </c>
      <c r="R821" s="1">
        <f>Table1[[#This Row],[total sulfur dioxide]]-Table1[[#This Row],[free sulfur dioxide]]</f>
        <v>50</v>
      </c>
      <c r="S821" s="1" t="str">
        <f>IF(AND(Table1[[#This Row],[pH]]&gt;=3.2,Table1[[#This Row],[alcohol]]&gt;=10),"White wine","Red wine")</f>
        <v>Red wine</v>
      </c>
    </row>
    <row r="822" spans="1:19" x14ac:dyDescent="0.3">
      <c r="A822" s="13">
        <v>821</v>
      </c>
      <c r="B822" s="1">
        <v>7</v>
      </c>
      <c r="C822" s="1">
        <v>0.68500000000000005</v>
      </c>
      <c r="D822" s="1">
        <v>0</v>
      </c>
      <c r="E822" s="1">
        <v>1.9</v>
      </c>
      <c r="F822" s="1">
        <v>9.9000000000000005E-2</v>
      </c>
      <c r="G822" s="1">
        <v>9</v>
      </c>
      <c r="H822" s="1">
        <v>22</v>
      </c>
      <c r="I822" s="1">
        <v>0.99605999999999995</v>
      </c>
      <c r="J822" s="1">
        <v>3.34</v>
      </c>
      <c r="K822" s="1">
        <v>0.6</v>
      </c>
      <c r="L822" s="1">
        <v>9.6999999999999993</v>
      </c>
      <c r="M822" s="2">
        <v>5</v>
      </c>
      <c r="N822" s="2" t="str" cm="1">
        <f t="array" ref="N822">_xlfn.IFS(Table1[[#This Row],[quality]]&lt;=4,"Low",Table1[[#This Row],[quality]]&lt;=6,"Medium",Table1[[#This Row],[quality]]&gt;=7,"High")</f>
        <v>Medium</v>
      </c>
      <c r="O822" s="2" t="str">
        <f>IF(AND(Table1[[#This Row],[fixed acidity]]&gt;Sheet1!$C$4,Table1[[#This Row],[pH]]&lt;Sheet1!$K$4),"High","Normal")</f>
        <v>Normal</v>
      </c>
      <c r="P822" s="1">
        <f>(Table1[[#This Row],[alcohol]]*2)+(Table1[[#This Row],[sulphates]]*1.5)-(Table1[[#This Row],[volatile acidity]]*2)</f>
        <v>18.929999999999996</v>
      </c>
      <c r="Q822" s="1">
        <f>RANK(Table1[[#This Row],[Quality_score_index]],Table1[Quality_score_index],0)</f>
        <v>1192</v>
      </c>
      <c r="R822" s="1">
        <f>Table1[[#This Row],[total sulfur dioxide]]-Table1[[#This Row],[free sulfur dioxide]]</f>
        <v>13</v>
      </c>
      <c r="S822" s="1" t="str">
        <f>IF(AND(Table1[[#This Row],[pH]]&gt;=3.2,Table1[[#This Row],[alcohol]]&gt;=10),"White wine","Red wine")</f>
        <v>Red wine</v>
      </c>
    </row>
    <row r="823" spans="1:19" x14ac:dyDescent="0.3">
      <c r="A823" s="13">
        <v>822</v>
      </c>
      <c r="B823" s="1">
        <v>4.9000000000000004</v>
      </c>
      <c r="C823" s="1">
        <v>0.42</v>
      </c>
      <c r="D823" s="1">
        <v>0</v>
      </c>
      <c r="E823" s="1">
        <v>2.1</v>
      </c>
      <c r="F823" s="1">
        <v>4.8000000000000001E-2</v>
      </c>
      <c r="G823" s="1">
        <v>16</v>
      </c>
      <c r="H823" s="1">
        <v>42</v>
      </c>
      <c r="I823" s="1">
        <v>0.99153999999999998</v>
      </c>
      <c r="J823" s="1">
        <v>3.71</v>
      </c>
      <c r="K823" s="1">
        <v>0.74</v>
      </c>
      <c r="L823" s="1">
        <v>14</v>
      </c>
      <c r="M823" s="2">
        <v>7</v>
      </c>
      <c r="N823" s="2" t="str" cm="1">
        <f t="array" ref="N823">_xlfn.IFS(Table1[[#This Row],[quality]]&lt;=4,"Low",Table1[[#This Row],[quality]]&lt;=6,"Medium",Table1[[#This Row],[quality]]&gt;=7,"High")</f>
        <v>High</v>
      </c>
      <c r="O823" s="2" t="str">
        <f>IF(AND(Table1[[#This Row],[fixed acidity]]&gt;Sheet1!$C$4,Table1[[#This Row],[pH]]&lt;Sheet1!$K$4),"High","Normal")</f>
        <v>Normal</v>
      </c>
      <c r="P823" s="1">
        <f>(Table1[[#This Row],[alcohol]]*2)+(Table1[[#This Row],[sulphates]]*1.5)-(Table1[[#This Row],[volatile acidity]]*2)</f>
        <v>28.27</v>
      </c>
      <c r="Q823" s="1">
        <f>RANK(Table1[[#This Row],[Quality_score_index]],Table1[Quality_score_index],0)</f>
        <v>5</v>
      </c>
      <c r="R823" s="1">
        <f>Table1[[#This Row],[total sulfur dioxide]]-Table1[[#This Row],[free sulfur dioxide]]</f>
        <v>26</v>
      </c>
      <c r="S823" s="1" t="str">
        <f>IF(AND(Table1[[#This Row],[pH]]&gt;=3.2,Table1[[#This Row],[alcohol]]&gt;=10),"White wine","Red wine")</f>
        <v>White wine</v>
      </c>
    </row>
    <row r="824" spans="1:19" x14ac:dyDescent="0.3">
      <c r="A824" s="13">
        <v>823</v>
      </c>
      <c r="B824" s="1">
        <v>6.7</v>
      </c>
      <c r="C824" s="1">
        <v>0.54</v>
      </c>
      <c r="D824" s="1">
        <v>0.13</v>
      </c>
      <c r="E824" s="1">
        <v>2</v>
      </c>
      <c r="F824" s="1">
        <v>7.5999999999999998E-2</v>
      </c>
      <c r="G824" s="1">
        <v>15</v>
      </c>
      <c r="H824" s="1">
        <v>36</v>
      </c>
      <c r="I824" s="1">
        <v>0.99729999999999996</v>
      </c>
      <c r="J824" s="1">
        <v>3.61</v>
      </c>
      <c r="K824" s="1">
        <v>0.64</v>
      </c>
      <c r="L824" s="1">
        <v>9.8000000000000007</v>
      </c>
      <c r="M824" s="2">
        <v>5</v>
      </c>
      <c r="N824" s="2" t="str" cm="1">
        <f t="array" ref="N824">_xlfn.IFS(Table1[[#This Row],[quality]]&lt;=4,"Low",Table1[[#This Row],[quality]]&lt;=6,"Medium",Table1[[#This Row],[quality]]&gt;=7,"High")</f>
        <v>Medium</v>
      </c>
      <c r="O824" s="2" t="str">
        <f>IF(AND(Table1[[#This Row],[fixed acidity]]&gt;Sheet1!$C$4,Table1[[#This Row],[pH]]&lt;Sheet1!$K$4),"High","Normal")</f>
        <v>Normal</v>
      </c>
      <c r="P824" s="1">
        <f>(Table1[[#This Row],[alcohol]]*2)+(Table1[[#This Row],[sulphates]]*1.5)-(Table1[[#This Row],[volatile acidity]]*2)</f>
        <v>19.480000000000004</v>
      </c>
      <c r="Q824" s="1">
        <f>RANK(Table1[[#This Row],[Quality_score_index]],Table1[Quality_score_index],0)</f>
        <v>981</v>
      </c>
      <c r="R824" s="1">
        <f>Table1[[#This Row],[total sulfur dioxide]]-Table1[[#This Row],[free sulfur dioxide]]</f>
        <v>21</v>
      </c>
      <c r="S824" s="1" t="str">
        <f>IF(AND(Table1[[#This Row],[pH]]&gt;=3.2,Table1[[#This Row],[alcohol]]&gt;=10),"White wine","Red wine")</f>
        <v>Red wine</v>
      </c>
    </row>
    <row r="825" spans="1:19" x14ac:dyDescent="0.3">
      <c r="A825" s="13">
        <v>824</v>
      </c>
      <c r="B825" s="1">
        <v>6.7</v>
      </c>
      <c r="C825" s="1">
        <v>0.54</v>
      </c>
      <c r="D825" s="1">
        <v>0.13</v>
      </c>
      <c r="E825" s="1">
        <v>2</v>
      </c>
      <c r="F825" s="1">
        <v>7.5999999999999998E-2</v>
      </c>
      <c r="G825" s="1">
        <v>15</v>
      </c>
      <c r="H825" s="1">
        <v>36</v>
      </c>
      <c r="I825" s="1">
        <v>0.99729999999999996</v>
      </c>
      <c r="J825" s="1">
        <v>3.61</v>
      </c>
      <c r="K825" s="1">
        <v>0.64</v>
      </c>
      <c r="L825" s="1">
        <v>9.8000000000000007</v>
      </c>
      <c r="M825" s="2">
        <v>5</v>
      </c>
      <c r="N825" s="2" t="str" cm="1">
        <f t="array" ref="N825">_xlfn.IFS(Table1[[#This Row],[quality]]&lt;=4,"Low",Table1[[#This Row],[quality]]&lt;=6,"Medium",Table1[[#This Row],[quality]]&gt;=7,"High")</f>
        <v>Medium</v>
      </c>
      <c r="O825" s="2" t="str">
        <f>IF(AND(Table1[[#This Row],[fixed acidity]]&gt;Sheet1!$C$4,Table1[[#This Row],[pH]]&lt;Sheet1!$K$4),"High","Normal")</f>
        <v>Normal</v>
      </c>
      <c r="P825" s="1">
        <f>(Table1[[#This Row],[alcohol]]*2)+(Table1[[#This Row],[sulphates]]*1.5)-(Table1[[#This Row],[volatile acidity]]*2)</f>
        <v>19.480000000000004</v>
      </c>
      <c r="Q825" s="1">
        <f>RANK(Table1[[#This Row],[Quality_score_index]],Table1[Quality_score_index],0)</f>
        <v>981</v>
      </c>
      <c r="R825" s="1">
        <f>Table1[[#This Row],[total sulfur dioxide]]-Table1[[#This Row],[free sulfur dioxide]]</f>
        <v>21</v>
      </c>
      <c r="S825" s="1" t="str">
        <f>IF(AND(Table1[[#This Row],[pH]]&gt;=3.2,Table1[[#This Row],[alcohol]]&gt;=10),"White wine","Red wine")</f>
        <v>Red wine</v>
      </c>
    </row>
    <row r="826" spans="1:19" x14ac:dyDescent="0.3">
      <c r="A826" s="13">
        <v>825</v>
      </c>
      <c r="B826" s="1">
        <v>7.1</v>
      </c>
      <c r="C826" s="1">
        <v>0.48</v>
      </c>
      <c r="D826" s="1">
        <v>0.28000000000000003</v>
      </c>
      <c r="E826" s="1">
        <v>2.8</v>
      </c>
      <c r="F826" s="1">
        <v>6.8000000000000005E-2</v>
      </c>
      <c r="G826" s="1">
        <v>6</v>
      </c>
      <c r="H826" s="1">
        <v>16</v>
      </c>
      <c r="I826" s="1">
        <v>0.99682000000000004</v>
      </c>
      <c r="J826" s="1">
        <v>3.24</v>
      </c>
      <c r="K826" s="1">
        <v>0.53</v>
      </c>
      <c r="L826" s="1">
        <v>10.3</v>
      </c>
      <c r="M826" s="2">
        <v>5</v>
      </c>
      <c r="N826" s="2" t="str" cm="1">
        <f t="array" ref="N826">_xlfn.IFS(Table1[[#This Row],[quality]]&lt;=4,"Low",Table1[[#This Row],[quality]]&lt;=6,"Medium",Table1[[#This Row],[quality]]&gt;=7,"High")</f>
        <v>Medium</v>
      </c>
      <c r="O826" s="2" t="str">
        <f>IF(AND(Table1[[#This Row],[fixed acidity]]&gt;Sheet1!$C$4,Table1[[#This Row],[pH]]&lt;Sheet1!$K$4),"High","Normal")</f>
        <v>Normal</v>
      </c>
      <c r="P826" s="1">
        <f>(Table1[[#This Row],[alcohol]]*2)+(Table1[[#This Row],[sulphates]]*1.5)-(Table1[[#This Row],[volatile acidity]]*2)</f>
        <v>20.435000000000002</v>
      </c>
      <c r="Q826" s="1">
        <f>RANK(Table1[[#This Row],[Quality_score_index]],Table1[Quality_score_index],0)</f>
        <v>763</v>
      </c>
      <c r="R826" s="1">
        <f>Table1[[#This Row],[total sulfur dioxide]]-Table1[[#This Row],[free sulfur dioxide]]</f>
        <v>10</v>
      </c>
      <c r="S826" s="1" t="str">
        <f>IF(AND(Table1[[#This Row],[pH]]&gt;=3.2,Table1[[#This Row],[alcohol]]&gt;=10),"White wine","Red wine")</f>
        <v>White wine</v>
      </c>
    </row>
    <row r="827" spans="1:19" x14ac:dyDescent="0.3">
      <c r="A827" s="13">
        <v>826</v>
      </c>
      <c r="B827" s="1">
        <v>7.1</v>
      </c>
      <c r="C827" s="1">
        <v>0.46</v>
      </c>
      <c r="D827" s="1">
        <v>0.14000000000000001</v>
      </c>
      <c r="E827" s="1">
        <v>2.8</v>
      </c>
      <c r="F827" s="1">
        <v>7.5999999999999998E-2</v>
      </c>
      <c r="G827" s="1">
        <v>15</v>
      </c>
      <c r="H827" s="1">
        <v>37</v>
      </c>
      <c r="I827" s="1">
        <v>0.99624000000000001</v>
      </c>
      <c r="J827" s="1">
        <v>3.36</v>
      </c>
      <c r="K827" s="1">
        <v>0.49</v>
      </c>
      <c r="L827" s="1">
        <v>10.7</v>
      </c>
      <c r="M827" s="2">
        <v>5</v>
      </c>
      <c r="N827" s="2" t="str" cm="1">
        <f t="array" ref="N827">_xlfn.IFS(Table1[[#This Row],[quality]]&lt;=4,"Low",Table1[[#This Row],[quality]]&lt;=6,"Medium",Table1[[#This Row],[quality]]&gt;=7,"High")</f>
        <v>Medium</v>
      </c>
      <c r="O827" s="2" t="str">
        <f>IF(AND(Table1[[#This Row],[fixed acidity]]&gt;Sheet1!$C$4,Table1[[#This Row],[pH]]&lt;Sheet1!$K$4),"High","Normal")</f>
        <v>Normal</v>
      </c>
      <c r="P827" s="1">
        <f>(Table1[[#This Row],[alcohol]]*2)+(Table1[[#This Row],[sulphates]]*1.5)-(Table1[[#This Row],[volatile acidity]]*2)</f>
        <v>21.214999999999996</v>
      </c>
      <c r="Q827" s="1">
        <f>RANK(Table1[[#This Row],[Quality_score_index]],Table1[Quality_score_index],0)</f>
        <v>598</v>
      </c>
      <c r="R827" s="1">
        <f>Table1[[#This Row],[total sulfur dioxide]]-Table1[[#This Row],[free sulfur dioxide]]</f>
        <v>22</v>
      </c>
      <c r="S827" s="1" t="str">
        <f>IF(AND(Table1[[#This Row],[pH]]&gt;=3.2,Table1[[#This Row],[alcohol]]&gt;=10),"White wine","Red wine")</f>
        <v>White wine</v>
      </c>
    </row>
    <row r="828" spans="1:19" x14ac:dyDescent="0.3">
      <c r="A828" s="13">
        <v>827</v>
      </c>
      <c r="B828" s="1">
        <v>7.5</v>
      </c>
      <c r="C828" s="1">
        <v>0.27</v>
      </c>
      <c r="D828" s="1">
        <v>0.34</v>
      </c>
      <c r="E828" s="1">
        <v>2.2999999999999998</v>
      </c>
      <c r="F828" s="1">
        <v>0.05</v>
      </c>
      <c r="G828" s="1">
        <v>4</v>
      </c>
      <c r="H828" s="1">
        <v>8</v>
      </c>
      <c r="I828" s="1">
        <v>0.99509999999999998</v>
      </c>
      <c r="J828" s="1">
        <v>3.4</v>
      </c>
      <c r="K828" s="1">
        <v>0.64</v>
      </c>
      <c r="L828" s="1">
        <v>11</v>
      </c>
      <c r="M828" s="2">
        <v>7</v>
      </c>
      <c r="N828" s="2" t="str" cm="1">
        <f t="array" ref="N828">_xlfn.IFS(Table1[[#This Row],[quality]]&lt;=4,"Low",Table1[[#This Row],[quality]]&lt;=6,"Medium",Table1[[#This Row],[quality]]&gt;=7,"High")</f>
        <v>High</v>
      </c>
      <c r="O828" s="2" t="str">
        <f>IF(AND(Table1[[#This Row],[fixed acidity]]&gt;Sheet1!$C$4,Table1[[#This Row],[pH]]&lt;Sheet1!$K$4),"High","Normal")</f>
        <v>Normal</v>
      </c>
      <c r="P828" s="1">
        <f>(Table1[[#This Row],[alcohol]]*2)+(Table1[[#This Row],[sulphates]]*1.5)-(Table1[[#This Row],[volatile acidity]]*2)</f>
        <v>22.42</v>
      </c>
      <c r="Q828" s="1">
        <f>RANK(Table1[[#This Row],[Quality_score_index]],Table1[Quality_score_index],0)</f>
        <v>390</v>
      </c>
      <c r="R828" s="1">
        <f>Table1[[#This Row],[total sulfur dioxide]]-Table1[[#This Row],[free sulfur dioxide]]</f>
        <v>4</v>
      </c>
      <c r="S828" s="1" t="str">
        <f>IF(AND(Table1[[#This Row],[pH]]&gt;=3.2,Table1[[#This Row],[alcohol]]&gt;=10),"White wine","Red wine")</f>
        <v>White wine</v>
      </c>
    </row>
    <row r="829" spans="1:19" x14ac:dyDescent="0.3">
      <c r="A829" s="13">
        <v>828</v>
      </c>
      <c r="B829" s="1">
        <v>7.1</v>
      </c>
      <c r="C829" s="1">
        <v>0.46</v>
      </c>
      <c r="D829" s="1">
        <v>0.14000000000000001</v>
      </c>
      <c r="E829" s="1">
        <v>2.8</v>
      </c>
      <c r="F829" s="1">
        <v>7.5999999999999998E-2</v>
      </c>
      <c r="G829" s="1">
        <v>15</v>
      </c>
      <c r="H829" s="1">
        <v>37</v>
      </c>
      <c r="I829" s="1">
        <v>0.99624000000000001</v>
      </c>
      <c r="J829" s="1">
        <v>3.36</v>
      </c>
      <c r="K829" s="1">
        <v>0.49</v>
      </c>
      <c r="L829" s="1">
        <v>10.7</v>
      </c>
      <c r="M829" s="2">
        <v>5</v>
      </c>
      <c r="N829" s="2" t="str" cm="1">
        <f t="array" ref="N829">_xlfn.IFS(Table1[[#This Row],[quality]]&lt;=4,"Low",Table1[[#This Row],[quality]]&lt;=6,"Medium",Table1[[#This Row],[quality]]&gt;=7,"High")</f>
        <v>Medium</v>
      </c>
      <c r="O829" s="2" t="str">
        <f>IF(AND(Table1[[#This Row],[fixed acidity]]&gt;Sheet1!$C$4,Table1[[#This Row],[pH]]&lt;Sheet1!$K$4),"High","Normal")</f>
        <v>Normal</v>
      </c>
      <c r="P829" s="1">
        <f>(Table1[[#This Row],[alcohol]]*2)+(Table1[[#This Row],[sulphates]]*1.5)-(Table1[[#This Row],[volatile acidity]]*2)</f>
        <v>21.214999999999996</v>
      </c>
      <c r="Q829" s="1">
        <f>RANK(Table1[[#This Row],[Quality_score_index]],Table1[Quality_score_index],0)</f>
        <v>598</v>
      </c>
      <c r="R829" s="1">
        <f>Table1[[#This Row],[total sulfur dioxide]]-Table1[[#This Row],[free sulfur dioxide]]</f>
        <v>22</v>
      </c>
      <c r="S829" s="1" t="str">
        <f>IF(AND(Table1[[#This Row],[pH]]&gt;=3.2,Table1[[#This Row],[alcohol]]&gt;=10),"White wine","Red wine")</f>
        <v>White wine</v>
      </c>
    </row>
    <row r="830" spans="1:19" x14ac:dyDescent="0.3">
      <c r="A830" s="13">
        <v>829</v>
      </c>
      <c r="B830" s="1">
        <v>7.8</v>
      </c>
      <c r="C830" s="1">
        <v>0.56999999999999995</v>
      </c>
      <c r="D830" s="1">
        <v>0.09</v>
      </c>
      <c r="E830" s="1">
        <v>2.2999999999999998</v>
      </c>
      <c r="F830" s="1">
        <v>6.5000000000000002E-2</v>
      </c>
      <c r="G830" s="1">
        <v>34</v>
      </c>
      <c r="H830" s="1">
        <v>45</v>
      </c>
      <c r="I830" s="1">
        <v>0.99417</v>
      </c>
      <c r="J830" s="1">
        <v>3.46</v>
      </c>
      <c r="K830" s="1">
        <v>0.74</v>
      </c>
      <c r="L830" s="1">
        <v>12.7</v>
      </c>
      <c r="M830" s="2">
        <v>8</v>
      </c>
      <c r="N830" s="2" t="str" cm="1">
        <f t="array" ref="N830">_xlfn.IFS(Table1[[#This Row],[quality]]&lt;=4,"Low",Table1[[#This Row],[quality]]&lt;=6,"Medium",Table1[[#This Row],[quality]]&gt;=7,"High")</f>
        <v>High</v>
      </c>
      <c r="O830" s="2" t="str">
        <f>IF(AND(Table1[[#This Row],[fixed acidity]]&gt;Sheet1!$C$4,Table1[[#This Row],[pH]]&lt;Sheet1!$K$4),"High","Normal")</f>
        <v>Normal</v>
      </c>
      <c r="P830" s="1">
        <f>(Table1[[#This Row],[alcohol]]*2)+(Table1[[#This Row],[sulphates]]*1.5)-(Table1[[#This Row],[volatile acidity]]*2)</f>
        <v>25.369999999999997</v>
      </c>
      <c r="Q830" s="1">
        <f>RANK(Table1[[#This Row],[Quality_score_index]],Table1[Quality_score_index],0)</f>
        <v>64</v>
      </c>
      <c r="R830" s="1">
        <f>Table1[[#This Row],[total sulfur dioxide]]-Table1[[#This Row],[free sulfur dioxide]]</f>
        <v>11</v>
      </c>
      <c r="S830" s="1" t="str">
        <f>IF(AND(Table1[[#This Row],[pH]]&gt;=3.2,Table1[[#This Row],[alcohol]]&gt;=10),"White wine","Red wine")</f>
        <v>White wine</v>
      </c>
    </row>
    <row r="831" spans="1:19" x14ac:dyDescent="0.3">
      <c r="A831" s="13">
        <v>830</v>
      </c>
      <c r="B831" s="1">
        <v>5.9</v>
      </c>
      <c r="C831" s="1">
        <v>0.61</v>
      </c>
      <c r="D831" s="1">
        <v>0.08</v>
      </c>
      <c r="E831" s="1">
        <v>2.1</v>
      </c>
      <c r="F831" s="1">
        <v>7.0999999999999994E-2</v>
      </c>
      <c r="G831" s="1">
        <v>16</v>
      </c>
      <c r="H831" s="1">
        <v>24</v>
      </c>
      <c r="I831" s="1">
        <v>0.99375999999999998</v>
      </c>
      <c r="J831" s="1">
        <v>3.56</v>
      </c>
      <c r="K831" s="1">
        <v>0.77</v>
      </c>
      <c r="L831" s="1">
        <v>11.1</v>
      </c>
      <c r="M831" s="2">
        <v>6</v>
      </c>
      <c r="N831" s="2" t="str" cm="1">
        <f t="array" ref="N831">_xlfn.IFS(Table1[[#This Row],[quality]]&lt;=4,"Low",Table1[[#This Row],[quality]]&lt;=6,"Medium",Table1[[#This Row],[quality]]&gt;=7,"High")</f>
        <v>Medium</v>
      </c>
      <c r="O831" s="2" t="str">
        <f>IF(AND(Table1[[#This Row],[fixed acidity]]&gt;Sheet1!$C$4,Table1[[#This Row],[pH]]&lt;Sheet1!$K$4),"High","Normal")</f>
        <v>Normal</v>
      </c>
      <c r="P831" s="1">
        <f>(Table1[[#This Row],[alcohol]]*2)+(Table1[[#This Row],[sulphates]]*1.5)-(Table1[[#This Row],[volatile acidity]]*2)</f>
        <v>22.135000000000002</v>
      </c>
      <c r="Q831" s="1">
        <f>RANK(Table1[[#This Row],[Quality_score_index]],Table1[Quality_score_index],0)</f>
        <v>430</v>
      </c>
      <c r="R831" s="1">
        <f>Table1[[#This Row],[total sulfur dioxide]]-Table1[[#This Row],[free sulfur dioxide]]</f>
        <v>8</v>
      </c>
      <c r="S831" s="1" t="str">
        <f>IF(AND(Table1[[#This Row],[pH]]&gt;=3.2,Table1[[#This Row],[alcohol]]&gt;=10),"White wine","Red wine")</f>
        <v>White wine</v>
      </c>
    </row>
    <row r="832" spans="1:19" x14ac:dyDescent="0.3">
      <c r="A832" s="13">
        <v>831</v>
      </c>
      <c r="B832" s="1">
        <v>7.5</v>
      </c>
      <c r="C832" s="1">
        <v>0.68500000000000005</v>
      </c>
      <c r="D832" s="1">
        <v>7.0000000000000007E-2</v>
      </c>
      <c r="E832" s="1">
        <v>2.5</v>
      </c>
      <c r="F832" s="1">
        <v>5.8000000000000003E-2</v>
      </c>
      <c r="G832" s="1">
        <v>5</v>
      </c>
      <c r="H832" s="1">
        <v>9</v>
      </c>
      <c r="I832" s="1">
        <v>0.99631999999999998</v>
      </c>
      <c r="J832" s="1">
        <v>3.38</v>
      </c>
      <c r="K832" s="1">
        <v>0.55000000000000004</v>
      </c>
      <c r="L832" s="1">
        <v>10.9</v>
      </c>
      <c r="M832" s="2">
        <v>4</v>
      </c>
      <c r="N832" s="2" t="str" cm="1">
        <f t="array" ref="N832">_xlfn.IFS(Table1[[#This Row],[quality]]&lt;=4,"Low",Table1[[#This Row],[quality]]&lt;=6,"Medium",Table1[[#This Row],[quality]]&gt;=7,"High")</f>
        <v>Low</v>
      </c>
      <c r="O832" s="2" t="str">
        <f>IF(AND(Table1[[#This Row],[fixed acidity]]&gt;Sheet1!$C$4,Table1[[#This Row],[pH]]&lt;Sheet1!$K$4),"High","Normal")</f>
        <v>Normal</v>
      </c>
      <c r="P832" s="1">
        <f>(Table1[[#This Row],[alcohol]]*2)+(Table1[[#This Row],[sulphates]]*1.5)-(Table1[[#This Row],[volatile acidity]]*2)</f>
        <v>21.254999999999999</v>
      </c>
      <c r="Q832" s="1">
        <f>RANK(Table1[[#This Row],[Quality_score_index]],Table1[Quality_score_index],0)</f>
        <v>589</v>
      </c>
      <c r="R832" s="1">
        <f>Table1[[#This Row],[total sulfur dioxide]]-Table1[[#This Row],[free sulfur dioxide]]</f>
        <v>4</v>
      </c>
      <c r="S832" s="1" t="str">
        <f>IF(AND(Table1[[#This Row],[pH]]&gt;=3.2,Table1[[#This Row],[alcohol]]&gt;=10),"White wine","Red wine")</f>
        <v>White wine</v>
      </c>
    </row>
    <row r="833" spans="1:19" x14ac:dyDescent="0.3">
      <c r="A833" s="13">
        <v>832</v>
      </c>
      <c r="B833" s="1">
        <v>5.9</v>
      </c>
      <c r="C833" s="1">
        <v>0.61</v>
      </c>
      <c r="D833" s="1">
        <v>0.08</v>
      </c>
      <c r="E833" s="1">
        <v>2.1</v>
      </c>
      <c r="F833" s="1">
        <v>7.0999999999999994E-2</v>
      </c>
      <c r="G833" s="1">
        <v>16</v>
      </c>
      <c r="H833" s="1">
        <v>24</v>
      </c>
      <c r="I833" s="1">
        <v>0.99375999999999998</v>
      </c>
      <c r="J833" s="1">
        <v>3.56</v>
      </c>
      <c r="K833" s="1">
        <v>0.77</v>
      </c>
      <c r="L833" s="1">
        <v>11.1</v>
      </c>
      <c r="M833" s="2">
        <v>6</v>
      </c>
      <c r="N833" s="2" t="str" cm="1">
        <f t="array" ref="N833">_xlfn.IFS(Table1[[#This Row],[quality]]&lt;=4,"Low",Table1[[#This Row],[quality]]&lt;=6,"Medium",Table1[[#This Row],[quality]]&gt;=7,"High")</f>
        <v>Medium</v>
      </c>
      <c r="O833" s="2" t="str">
        <f>IF(AND(Table1[[#This Row],[fixed acidity]]&gt;Sheet1!$C$4,Table1[[#This Row],[pH]]&lt;Sheet1!$K$4),"High","Normal")</f>
        <v>Normal</v>
      </c>
      <c r="P833" s="1">
        <f>(Table1[[#This Row],[alcohol]]*2)+(Table1[[#This Row],[sulphates]]*1.5)-(Table1[[#This Row],[volatile acidity]]*2)</f>
        <v>22.135000000000002</v>
      </c>
      <c r="Q833" s="1">
        <f>RANK(Table1[[#This Row],[Quality_score_index]],Table1[Quality_score_index],0)</f>
        <v>430</v>
      </c>
      <c r="R833" s="1">
        <f>Table1[[#This Row],[total sulfur dioxide]]-Table1[[#This Row],[free sulfur dioxide]]</f>
        <v>8</v>
      </c>
      <c r="S833" s="1" t="str">
        <f>IF(AND(Table1[[#This Row],[pH]]&gt;=3.2,Table1[[#This Row],[alcohol]]&gt;=10),"White wine","Red wine")</f>
        <v>White wine</v>
      </c>
    </row>
    <row r="834" spans="1:19" x14ac:dyDescent="0.3">
      <c r="A834" s="13">
        <v>833</v>
      </c>
      <c r="B834" s="1">
        <v>10.4</v>
      </c>
      <c r="C834" s="1">
        <v>0.44</v>
      </c>
      <c r="D834" s="1">
        <v>0.42</v>
      </c>
      <c r="E834" s="1">
        <v>1.5</v>
      </c>
      <c r="F834" s="1">
        <v>0.14499999999999999</v>
      </c>
      <c r="G834" s="1">
        <v>34</v>
      </c>
      <c r="H834" s="1">
        <v>48</v>
      </c>
      <c r="I834" s="1">
        <v>0.99831999999999999</v>
      </c>
      <c r="J834" s="1">
        <v>3.38</v>
      </c>
      <c r="K834" s="1">
        <v>0.86</v>
      </c>
      <c r="L834" s="1">
        <v>9.9</v>
      </c>
      <c r="M834" s="2">
        <v>3</v>
      </c>
      <c r="N834" s="2" t="str" cm="1">
        <f t="array" ref="N834">_xlfn.IFS(Table1[[#This Row],[quality]]&lt;=4,"Low",Table1[[#This Row],[quality]]&lt;=6,"Medium",Table1[[#This Row],[quality]]&gt;=7,"High")</f>
        <v>Low</v>
      </c>
      <c r="O834" s="2" t="str">
        <f>IF(AND(Table1[[#This Row],[fixed acidity]]&gt;Sheet1!$C$4,Table1[[#This Row],[pH]]&lt;Sheet1!$K$4),"High","Normal")</f>
        <v>Normal</v>
      </c>
      <c r="P834" s="1">
        <f>(Table1[[#This Row],[alcohol]]*2)+(Table1[[#This Row],[sulphates]]*1.5)-(Table1[[#This Row],[volatile acidity]]*2)</f>
        <v>20.21</v>
      </c>
      <c r="Q834" s="1">
        <f>RANK(Table1[[#This Row],[Quality_score_index]],Table1[Quality_score_index],0)</f>
        <v>811</v>
      </c>
      <c r="R834" s="1">
        <f>Table1[[#This Row],[total sulfur dioxide]]-Table1[[#This Row],[free sulfur dioxide]]</f>
        <v>14</v>
      </c>
      <c r="S834" s="1" t="str">
        <f>IF(AND(Table1[[#This Row],[pH]]&gt;=3.2,Table1[[#This Row],[alcohol]]&gt;=10),"White wine","Red wine")</f>
        <v>Red wine</v>
      </c>
    </row>
    <row r="835" spans="1:19" x14ac:dyDescent="0.3">
      <c r="A835" s="13">
        <v>834</v>
      </c>
      <c r="B835" s="1">
        <v>11.6</v>
      </c>
      <c r="C835" s="1">
        <v>0.47</v>
      </c>
      <c r="D835" s="1">
        <v>0.44</v>
      </c>
      <c r="E835" s="1">
        <v>1.6</v>
      </c>
      <c r="F835" s="1">
        <v>0.14699999999999999</v>
      </c>
      <c r="G835" s="1">
        <v>36</v>
      </c>
      <c r="H835" s="1">
        <v>51</v>
      </c>
      <c r="I835" s="1">
        <v>0.99836000000000003</v>
      </c>
      <c r="J835" s="1">
        <v>3.38</v>
      </c>
      <c r="K835" s="1">
        <v>0.86</v>
      </c>
      <c r="L835" s="1">
        <v>9.9</v>
      </c>
      <c r="M835" s="2">
        <v>4</v>
      </c>
      <c r="N835" s="2" t="str" cm="1">
        <f t="array" ref="N835">_xlfn.IFS(Table1[[#This Row],[quality]]&lt;=4,"Low",Table1[[#This Row],[quality]]&lt;=6,"Medium",Table1[[#This Row],[quality]]&gt;=7,"High")</f>
        <v>Low</v>
      </c>
      <c r="O835" s="2" t="str">
        <f>IF(AND(Table1[[#This Row],[fixed acidity]]&gt;Sheet1!$C$4,Table1[[#This Row],[pH]]&lt;Sheet1!$K$4),"High","Normal")</f>
        <v>Normal</v>
      </c>
      <c r="P835" s="1">
        <f>(Table1[[#This Row],[alcohol]]*2)+(Table1[[#This Row],[sulphates]]*1.5)-(Table1[[#This Row],[volatile acidity]]*2)</f>
        <v>20.149999999999999</v>
      </c>
      <c r="Q835" s="1">
        <f>RANK(Table1[[#This Row],[Quality_score_index]],Table1[Quality_score_index],0)</f>
        <v>828</v>
      </c>
      <c r="R835" s="1">
        <f>Table1[[#This Row],[total sulfur dioxide]]-Table1[[#This Row],[free sulfur dioxide]]</f>
        <v>15</v>
      </c>
      <c r="S835" s="1" t="str">
        <f>IF(AND(Table1[[#This Row],[pH]]&gt;=3.2,Table1[[#This Row],[alcohol]]&gt;=10),"White wine","Red wine")</f>
        <v>Red wine</v>
      </c>
    </row>
    <row r="836" spans="1:19" x14ac:dyDescent="0.3">
      <c r="A836" s="13">
        <v>835</v>
      </c>
      <c r="B836" s="1">
        <v>8.8000000000000007</v>
      </c>
      <c r="C836" s="1">
        <v>0.68500000000000005</v>
      </c>
      <c r="D836" s="1">
        <v>0.26</v>
      </c>
      <c r="E836" s="1">
        <v>1.6</v>
      </c>
      <c r="F836" s="1">
        <v>8.7999999999999995E-2</v>
      </c>
      <c r="G836" s="1">
        <v>16</v>
      </c>
      <c r="H836" s="1">
        <v>23</v>
      </c>
      <c r="I836" s="1">
        <v>0.99694000000000005</v>
      </c>
      <c r="J836" s="1">
        <v>3.32</v>
      </c>
      <c r="K836" s="1">
        <v>0.47</v>
      </c>
      <c r="L836" s="1">
        <v>9.4</v>
      </c>
      <c r="M836" s="2">
        <v>5</v>
      </c>
      <c r="N836" s="2" t="str" cm="1">
        <f t="array" ref="N836">_xlfn.IFS(Table1[[#This Row],[quality]]&lt;=4,"Low",Table1[[#This Row],[quality]]&lt;=6,"Medium",Table1[[#This Row],[quality]]&gt;=7,"High")</f>
        <v>Medium</v>
      </c>
      <c r="O836" s="2" t="str">
        <f>IF(AND(Table1[[#This Row],[fixed acidity]]&gt;Sheet1!$C$4,Table1[[#This Row],[pH]]&lt;Sheet1!$K$4),"High","Normal")</f>
        <v>Normal</v>
      </c>
      <c r="P836" s="1">
        <f>(Table1[[#This Row],[alcohol]]*2)+(Table1[[#This Row],[sulphates]]*1.5)-(Table1[[#This Row],[volatile acidity]]*2)</f>
        <v>18.134999999999998</v>
      </c>
      <c r="Q836" s="1">
        <f>RANK(Table1[[#This Row],[Quality_score_index]],Table1[Quality_score_index],0)</f>
        <v>1495</v>
      </c>
      <c r="R836" s="1">
        <f>Table1[[#This Row],[total sulfur dioxide]]-Table1[[#This Row],[free sulfur dioxide]]</f>
        <v>7</v>
      </c>
      <c r="S836" s="1" t="str">
        <f>IF(AND(Table1[[#This Row],[pH]]&gt;=3.2,Table1[[#This Row],[alcohol]]&gt;=10),"White wine","Red wine")</f>
        <v>Red wine</v>
      </c>
    </row>
    <row r="837" spans="1:19" x14ac:dyDescent="0.3">
      <c r="A837" s="13">
        <v>836</v>
      </c>
      <c r="B837" s="1">
        <v>7.6</v>
      </c>
      <c r="C837" s="1">
        <v>0.66500000000000004</v>
      </c>
      <c r="D837" s="1">
        <v>0.1</v>
      </c>
      <c r="E837" s="1">
        <v>1.5</v>
      </c>
      <c r="F837" s="1">
        <v>6.6000000000000003E-2</v>
      </c>
      <c r="G837" s="1">
        <v>27</v>
      </c>
      <c r="H837" s="1">
        <v>55</v>
      </c>
      <c r="I837" s="1">
        <v>0.99655000000000005</v>
      </c>
      <c r="J837" s="1">
        <v>3.39</v>
      </c>
      <c r="K837" s="1">
        <v>0.51</v>
      </c>
      <c r="L837" s="1">
        <v>9.3000000000000007</v>
      </c>
      <c r="M837" s="2">
        <v>5</v>
      </c>
      <c r="N837" s="2" t="str" cm="1">
        <f t="array" ref="N837">_xlfn.IFS(Table1[[#This Row],[quality]]&lt;=4,"Low",Table1[[#This Row],[quality]]&lt;=6,"Medium",Table1[[#This Row],[quality]]&gt;=7,"High")</f>
        <v>Medium</v>
      </c>
      <c r="O837" s="2" t="str">
        <f>IF(AND(Table1[[#This Row],[fixed acidity]]&gt;Sheet1!$C$4,Table1[[#This Row],[pH]]&lt;Sheet1!$K$4),"High","Normal")</f>
        <v>Normal</v>
      </c>
      <c r="P837" s="1">
        <f>(Table1[[#This Row],[alcohol]]*2)+(Table1[[#This Row],[sulphates]]*1.5)-(Table1[[#This Row],[volatile acidity]]*2)</f>
        <v>18.035000000000004</v>
      </c>
      <c r="Q837" s="1">
        <f>RANK(Table1[[#This Row],[Quality_score_index]],Table1[Quality_score_index],0)</f>
        <v>1515</v>
      </c>
      <c r="R837" s="1">
        <f>Table1[[#This Row],[total sulfur dioxide]]-Table1[[#This Row],[free sulfur dioxide]]</f>
        <v>28</v>
      </c>
      <c r="S837" s="1" t="str">
        <f>IF(AND(Table1[[#This Row],[pH]]&gt;=3.2,Table1[[#This Row],[alcohol]]&gt;=10),"White wine","Red wine")</f>
        <v>Red wine</v>
      </c>
    </row>
    <row r="838" spans="1:19" x14ac:dyDescent="0.3">
      <c r="A838" s="13">
        <v>837</v>
      </c>
      <c r="B838" s="1">
        <v>6.7</v>
      </c>
      <c r="C838" s="1">
        <v>0.28000000000000003</v>
      </c>
      <c r="D838" s="1">
        <v>0.28000000000000003</v>
      </c>
      <c r="E838" s="1">
        <v>2.4</v>
      </c>
      <c r="F838" s="1">
        <v>1.2E-2</v>
      </c>
      <c r="G838" s="1">
        <v>36</v>
      </c>
      <c r="H838" s="1">
        <v>100</v>
      </c>
      <c r="I838" s="1">
        <v>0.99063999999999997</v>
      </c>
      <c r="J838" s="1">
        <v>3.26</v>
      </c>
      <c r="K838" s="1">
        <v>0.39</v>
      </c>
      <c r="L838" s="1">
        <v>11.7</v>
      </c>
      <c r="M838" s="2">
        <v>7</v>
      </c>
      <c r="N838" s="2" t="str" cm="1">
        <f t="array" ref="N838">_xlfn.IFS(Table1[[#This Row],[quality]]&lt;=4,"Low",Table1[[#This Row],[quality]]&lt;=6,"Medium",Table1[[#This Row],[quality]]&gt;=7,"High")</f>
        <v>High</v>
      </c>
      <c r="O838" s="2" t="str">
        <f>IF(AND(Table1[[#This Row],[fixed acidity]]&gt;Sheet1!$C$4,Table1[[#This Row],[pH]]&lt;Sheet1!$K$4),"High","Normal")</f>
        <v>Normal</v>
      </c>
      <c r="P838" s="1">
        <f>(Table1[[#This Row],[alcohol]]*2)+(Table1[[#This Row],[sulphates]]*1.5)-(Table1[[#This Row],[volatile acidity]]*2)</f>
        <v>23.425000000000001</v>
      </c>
      <c r="Q838" s="1">
        <f>RANK(Table1[[#This Row],[Quality_score_index]],Table1[Quality_score_index],0)</f>
        <v>225</v>
      </c>
      <c r="R838" s="1">
        <f>Table1[[#This Row],[total sulfur dioxide]]-Table1[[#This Row],[free sulfur dioxide]]</f>
        <v>64</v>
      </c>
      <c r="S838" s="1" t="str">
        <f>IF(AND(Table1[[#This Row],[pH]]&gt;=3.2,Table1[[#This Row],[alcohol]]&gt;=10),"White wine","Red wine")</f>
        <v>White wine</v>
      </c>
    </row>
    <row r="839" spans="1:19" x14ac:dyDescent="0.3">
      <c r="A839" s="13">
        <v>838</v>
      </c>
      <c r="B839" s="1">
        <v>6.7</v>
      </c>
      <c r="C839" s="1">
        <v>0.28000000000000003</v>
      </c>
      <c r="D839" s="1">
        <v>0.28000000000000003</v>
      </c>
      <c r="E839" s="1">
        <v>2.4</v>
      </c>
      <c r="F839" s="1">
        <v>1.2E-2</v>
      </c>
      <c r="G839" s="1">
        <v>36</v>
      </c>
      <c r="H839" s="1">
        <v>100</v>
      </c>
      <c r="I839" s="1">
        <v>0.99063999999999997</v>
      </c>
      <c r="J839" s="1">
        <v>3.26</v>
      </c>
      <c r="K839" s="1">
        <v>0.39</v>
      </c>
      <c r="L839" s="1">
        <v>11.7</v>
      </c>
      <c r="M839" s="2">
        <v>7</v>
      </c>
      <c r="N839" s="2" t="str" cm="1">
        <f t="array" ref="N839">_xlfn.IFS(Table1[[#This Row],[quality]]&lt;=4,"Low",Table1[[#This Row],[quality]]&lt;=6,"Medium",Table1[[#This Row],[quality]]&gt;=7,"High")</f>
        <v>High</v>
      </c>
      <c r="O839" s="2" t="str">
        <f>IF(AND(Table1[[#This Row],[fixed acidity]]&gt;Sheet1!$C$4,Table1[[#This Row],[pH]]&lt;Sheet1!$K$4),"High","Normal")</f>
        <v>Normal</v>
      </c>
      <c r="P839" s="1">
        <f>(Table1[[#This Row],[alcohol]]*2)+(Table1[[#This Row],[sulphates]]*1.5)-(Table1[[#This Row],[volatile acidity]]*2)</f>
        <v>23.425000000000001</v>
      </c>
      <c r="Q839" s="1">
        <f>RANK(Table1[[#This Row],[Quality_score_index]],Table1[Quality_score_index],0)</f>
        <v>225</v>
      </c>
      <c r="R839" s="1">
        <f>Table1[[#This Row],[total sulfur dioxide]]-Table1[[#This Row],[free sulfur dioxide]]</f>
        <v>64</v>
      </c>
      <c r="S839" s="1" t="str">
        <f>IF(AND(Table1[[#This Row],[pH]]&gt;=3.2,Table1[[#This Row],[alcohol]]&gt;=10),"White wine","Red wine")</f>
        <v>White wine</v>
      </c>
    </row>
    <row r="840" spans="1:19" x14ac:dyDescent="0.3">
      <c r="A840" s="13">
        <v>839</v>
      </c>
      <c r="B840" s="1">
        <v>10.1</v>
      </c>
      <c r="C840" s="1">
        <v>0.31</v>
      </c>
      <c r="D840" s="1">
        <v>0.35</v>
      </c>
      <c r="E840" s="1">
        <v>1.6</v>
      </c>
      <c r="F840" s="1">
        <v>7.4999999999999997E-2</v>
      </c>
      <c r="G840" s="1">
        <v>9</v>
      </c>
      <c r="H840" s="1">
        <v>28</v>
      </c>
      <c r="I840" s="1">
        <v>0.99672000000000005</v>
      </c>
      <c r="J840" s="1">
        <v>3.24</v>
      </c>
      <c r="K840" s="1">
        <v>0.83</v>
      </c>
      <c r="L840" s="1">
        <v>11.2</v>
      </c>
      <c r="M840" s="2">
        <v>7</v>
      </c>
      <c r="N840" s="2" t="str" cm="1">
        <f t="array" ref="N840">_xlfn.IFS(Table1[[#This Row],[quality]]&lt;=4,"Low",Table1[[#This Row],[quality]]&lt;=6,"Medium",Table1[[#This Row],[quality]]&gt;=7,"High")</f>
        <v>High</v>
      </c>
      <c r="O840" s="2" t="str">
        <f>IF(AND(Table1[[#This Row],[fixed acidity]]&gt;Sheet1!$C$4,Table1[[#This Row],[pH]]&lt;Sheet1!$K$4),"High","Normal")</f>
        <v>High</v>
      </c>
      <c r="P840" s="1">
        <f>(Table1[[#This Row],[alcohol]]*2)+(Table1[[#This Row],[sulphates]]*1.5)-(Table1[[#This Row],[volatile acidity]]*2)</f>
        <v>23.024999999999999</v>
      </c>
      <c r="Q840" s="1">
        <f>RANK(Table1[[#This Row],[Quality_score_index]],Table1[Quality_score_index],0)</f>
        <v>267</v>
      </c>
      <c r="R840" s="1">
        <f>Table1[[#This Row],[total sulfur dioxide]]-Table1[[#This Row],[free sulfur dioxide]]</f>
        <v>19</v>
      </c>
      <c r="S840" s="1" t="str">
        <f>IF(AND(Table1[[#This Row],[pH]]&gt;=3.2,Table1[[#This Row],[alcohol]]&gt;=10),"White wine","Red wine")</f>
        <v>White wine</v>
      </c>
    </row>
    <row r="841" spans="1:19" x14ac:dyDescent="0.3">
      <c r="A841" s="13">
        <v>840</v>
      </c>
      <c r="B841" s="1">
        <v>6</v>
      </c>
      <c r="C841" s="1">
        <v>0.5</v>
      </c>
      <c r="D841" s="1">
        <v>0.04</v>
      </c>
      <c r="E841" s="1">
        <v>2.2000000000000002</v>
      </c>
      <c r="F841" s="1">
        <v>9.1999999999999998E-2</v>
      </c>
      <c r="G841" s="1">
        <v>13</v>
      </c>
      <c r="H841" s="1">
        <v>26</v>
      </c>
      <c r="I841" s="1">
        <v>0.99646999999999997</v>
      </c>
      <c r="J841" s="1">
        <v>3.46</v>
      </c>
      <c r="K841" s="1">
        <v>0.47</v>
      </c>
      <c r="L841" s="1">
        <v>10</v>
      </c>
      <c r="M841" s="2">
        <v>5</v>
      </c>
      <c r="N841" s="2" t="str" cm="1">
        <f t="array" ref="N841">_xlfn.IFS(Table1[[#This Row],[quality]]&lt;=4,"Low",Table1[[#This Row],[quality]]&lt;=6,"Medium",Table1[[#This Row],[quality]]&gt;=7,"High")</f>
        <v>Medium</v>
      </c>
      <c r="O841" s="2" t="str">
        <f>IF(AND(Table1[[#This Row],[fixed acidity]]&gt;Sheet1!$C$4,Table1[[#This Row],[pH]]&lt;Sheet1!$K$4),"High","Normal")</f>
        <v>Normal</v>
      </c>
      <c r="P841" s="1">
        <f>(Table1[[#This Row],[alcohol]]*2)+(Table1[[#This Row],[sulphates]]*1.5)-(Table1[[#This Row],[volatile acidity]]*2)</f>
        <v>19.704999999999998</v>
      </c>
      <c r="Q841" s="1">
        <f>RANK(Table1[[#This Row],[Quality_score_index]],Table1[Quality_score_index],0)</f>
        <v>927</v>
      </c>
      <c r="R841" s="1">
        <f>Table1[[#This Row],[total sulfur dioxide]]-Table1[[#This Row],[free sulfur dioxide]]</f>
        <v>13</v>
      </c>
      <c r="S841" s="1" t="str">
        <f>IF(AND(Table1[[#This Row],[pH]]&gt;=3.2,Table1[[#This Row],[alcohol]]&gt;=10),"White wine","Red wine")</f>
        <v>White wine</v>
      </c>
    </row>
    <row r="842" spans="1:19" x14ac:dyDescent="0.3">
      <c r="A842" s="13">
        <v>841</v>
      </c>
      <c r="B842" s="1">
        <v>11.1</v>
      </c>
      <c r="C842" s="1">
        <v>0.42</v>
      </c>
      <c r="D842" s="1">
        <v>0.47</v>
      </c>
      <c r="E842" s="1">
        <v>2.65</v>
      </c>
      <c r="F842" s="1">
        <v>8.5000000000000006E-2</v>
      </c>
      <c r="G842" s="1">
        <v>9</v>
      </c>
      <c r="H842" s="1">
        <v>34</v>
      </c>
      <c r="I842" s="1">
        <v>0.99736000000000002</v>
      </c>
      <c r="J842" s="1">
        <v>3.24</v>
      </c>
      <c r="K842" s="1">
        <v>0.77</v>
      </c>
      <c r="L842" s="1">
        <v>12.1</v>
      </c>
      <c r="M842" s="2">
        <v>7</v>
      </c>
      <c r="N842" s="2" t="str" cm="1">
        <f t="array" ref="N842">_xlfn.IFS(Table1[[#This Row],[quality]]&lt;=4,"Low",Table1[[#This Row],[quality]]&lt;=6,"Medium",Table1[[#This Row],[quality]]&gt;=7,"High")</f>
        <v>High</v>
      </c>
      <c r="O842" s="2" t="str">
        <f>IF(AND(Table1[[#This Row],[fixed acidity]]&gt;Sheet1!$C$4,Table1[[#This Row],[pH]]&lt;Sheet1!$K$4),"High","Normal")</f>
        <v>High</v>
      </c>
      <c r="P842" s="1">
        <f>(Table1[[#This Row],[alcohol]]*2)+(Table1[[#This Row],[sulphates]]*1.5)-(Table1[[#This Row],[volatile acidity]]*2)</f>
        <v>24.515000000000001</v>
      </c>
      <c r="Q842" s="1">
        <f>RANK(Table1[[#This Row],[Quality_score_index]],Table1[Quality_score_index],0)</f>
        <v>127</v>
      </c>
      <c r="R842" s="1">
        <f>Table1[[#This Row],[total sulfur dioxide]]-Table1[[#This Row],[free sulfur dioxide]]</f>
        <v>25</v>
      </c>
      <c r="S842" s="1" t="str">
        <f>IF(AND(Table1[[#This Row],[pH]]&gt;=3.2,Table1[[#This Row],[alcohol]]&gt;=10),"White wine","Red wine")</f>
        <v>White wine</v>
      </c>
    </row>
    <row r="843" spans="1:19" x14ac:dyDescent="0.3">
      <c r="A843" s="13">
        <v>842</v>
      </c>
      <c r="B843" s="1">
        <v>6.6</v>
      </c>
      <c r="C843" s="1">
        <v>0.66</v>
      </c>
      <c r="D843" s="1">
        <v>0</v>
      </c>
      <c r="E843" s="1">
        <v>3</v>
      </c>
      <c r="F843" s="1">
        <v>0.115</v>
      </c>
      <c r="G843" s="1">
        <v>21</v>
      </c>
      <c r="H843" s="1">
        <v>31</v>
      </c>
      <c r="I843" s="1">
        <v>0.99629000000000001</v>
      </c>
      <c r="J843" s="1">
        <v>3.45</v>
      </c>
      <c r="K843" s="1">
        <v>0.63</v>
      </c>
      <c r="L843" s="1">
        <v>10.3</v>
      </c>
      <c r="M843" s="2">
        <v>5</v>
      </c>
      <c r="N843" s="2" t="str" cm="1">
        <f t="array" ref="N843">_xlfn.IFS(Table1[[#This Row],[quality]]&lt;=4,"Low",Table1[[#This Row],[quality]]&lt;=6,"Medium",Table1[[#This Row],[quality]]&gt;=7,"High")</f>
        <v>Medium</v>
      </c>
      <c r="O843" s="2" t="str">
        <f>IF(AND(Table1[[#This Row],[fixed acidity]]&gt;Sheet1!$C$4,Table1[[#This Row],[pH]]&lt;Sheet1!$K$4),"High","Normal")</f>
        <v>Normal</v>
      </c>
      <c r="P843" s="1">
        <f>(Table1[[#This Row],[alcohol]]*2)+(Table1[[#This Row],[sulphates]]*1.5)-(Table1[[#This Row],[volatile acidity]]*2)</f>
        <v>20.225000000000001</v>
      </c>
      <c r="Q843" s="1">
        <f>RANK(Table1[[#This Row],[Quality_score_index]],Table1[Quality_score_index],0)</f>
        <v>805</v>
      </c>
      <c r="R843" s="1">
        <f>Table1[[#This Row],[total sulfur dioxide]]-Table1[[#This Row],[free sulfur dioxide]]</f>
        <v>10</v>
      </c>
      <c r="S843" s="1" t="str">
        <f>IF(AND(Table1[[#This Row],[pH]]&gt;=3.2,Table1[[#This Row],[alcohol]]&gt;=10),"White wine","Red wine")</f>
        <v>White wine</v>
      </c>
    </row>
    <row r="844" spans="1:19" x14ac:dyDescent="0.3">
      <c r="A844" s="13">
        <v>843</v>
      </c>
      <c r="B844" s="1">
        <v>10.6</v>
      </c>
      <c r="C844" s="1">
        <v>0.5</v>
      </c>
      <c r="D844" s="1">
        <v>0.45</v>
      </c>
      <c r="E844" s="1">
        <v>2.6</v>
      </c>
      <c r="F844" s="1">
        <v>0.11899999999999999</v>
      </c>
      <c r="G844" s="1">
        <v>34</v>
      </c>
      <c r="H844" s="1">
        <v>68</v>
      </c>
      <c r="I844" s="1">
        <v>0.99707999999999997</v>
      </c>
      <c r="J844" s="1">
        <v>3.23</v>
      </c>
      <c r="K844" s="1">
        <v>0.72</v>
      </c>
      <c r="L844" s="1">
        <v>10.9</v>
      </c>
      <c r="M844" s="2">
        <v>6</v>
      </c>
      <c r="N844" s="2" t="str" cm="1">
        <f t="array" ref="N844">_xlfn.IFS(Table1[[#This Row],[quality]]&lt;=4,"Low",Table1[[#This Row],[quality]]&lt;=6,"Medium",Table1[[#This Row],[quality]]&gt;=7,"High")</f>
        <v>Medium</v>
      </c>
      <c r="O844" s="2" t="str">
        <f>IF(AND(Table1[[#This Row],[fixed acidity]]&gt;Sheet1!$C$4,Table1[[#This Row],[pH]]&lt;Sheet1!$K$4),"High","Normal")</f>
        <v>High</v>
      </c>
      <c r="P844" s="1">
        <f>(Table1[[#This Row],[alcohol]]*2)+(Table1[[#This Row],[sulphates]]*1.5)-(Table1[[#This Row],[volatile acidity]]*2)</f>
        <v>21.880000000000003</v>
      </c>
      <c r="Q844" s="1">
        <f>RANK(Table1[[#This Row],[Quality_score_index]],Table1[Quality_score_index],0)</f>
        <v>468</v>
      </c>
      <c r="R844" s="1">
        <f>Table1[[#This Row],[total sulfur dioxide]]-Table1[[#This Row],[free sulfur dioxide]]</f>
        <v>34</v>
      </c>
      <c r="S844" s="1" t="str">
        <f>IF(AND(Table1[[#This Row],[pH]]&gt;=3.2,Table1[[#This Row],[alcohol]]&gt;=10),"White wine","Red wine")</f>
        <v>White wine</v>
      </c>
    </row>
    <row r="845" spans="1:19" x14ac:dyDescent="0.3">
      <c r="A845" s="13">
        <v>844</v>
      </c>
      <c r="B845" s="1">
        <v>7.1</v>
      </c>
      <c r="C845" s="1">
        <v>0.68500000000000005</v>
      </c>
      <c r="D845" s="1">
        <v>0.35</v>
      </c>
      <c r="E845" s="1">
        <v>2</v>
      </c>
      <c r="F845" s="1">
        <v>8.7999999999999995E-2</v>
      </c>
      <c r="G845" s="1">
        <v>9</v>
      </c>
      <c r="H845" s="1">
        <v>92</v>
      </c>
      <c r="I845" s="1">
        <v>0.99629999999999996</v>
      </c>
      <c r="J845" s="1">
        <v>3.28</v>
      </c>
      <c r="K845" s="1">
        <v>0.62</v>
      </c>
      <c r="L845" s="1">
        <v>9.4</v>
      </c>
      <c r="M845" s="2">
        <v>5</v>
      </c>
      <c r="N845" s="2" t="str" cm="1">
        <f t="array" ref="N845">_xlfn.IFS(Table1[[#This Row],[quality]]&lt;=4,"Low",Table1[[#This Row],[quality]]&lt;=6,"Medium",Table1[[#This Row],[quality]]&gt;=7,"High")</f>
        <v>Medium</v>
      </c>
      <c r="O845" s="2" t="str">
        <f>IF(AND(Table1[[#This Row],[fixed acidity]]&gt;Sheet1!$C$4,Table1[[#This Row],[pH]]&lt;Sheet1!$K$4),"High","Normal")</f>
        <v>Normal</v>
      </c>
      <c r="P845" s="1">
        <f>(Table1[[#This Row],[alcohol]]*2)+(Table1[[#This Row],[sulphates]]*1.5)-(Table1[[#This Row],[volatile acidity]]*2)</f>
        <v>18.36</v>
      </c>
      <c r="Q845" s="1">
        <f>RANK(Table1[[#This Row],[Quality_score_index]],Table1[Quality_score_index],0)</f>
        <v>1431</v>
      </c>
      <c r="R845" s="1">
        <f>Table1[[#This Row],[total sulfur dioxide]]-Table1[[#This Row],[free sulfur dioxide]]</f>
        <v>83</v>
      </c>
      <c r="S845" s="1" t="str">
        <f>IF(AND(Table1[[#This Row],[pH]]&gt;=3.2,Table1[[#This Row],[alcohol]]&gt;=10),"White wine","Red wine")</f>
        <v>Red wine</v>
      </c>
    </row>
    <row r="846" spans="1:19" x14ac:dyDescent="0.3">
      <c r="A846" s="13">
        <v>845</v>
      </c>
      <c r="B846" s="1">
        <v>9.9</v>
      </c>
      <c r="C846" s="1">
        <v>0.25</v>
      </c>
      <c r="D846" s="1">
        <v>0.46</v>
      </c>
      <c r="E846" s="1">
        <v>1.7</v>
      </c>
      <c r="F846" s="1">
        <v>6.2E-2</v>
      </c>
      <c r="G846" s="1">
        <v>26</v>
      </c>
      <c r="H846" s="1">
        <v>42</v>
      </c>
      <c r="I846" s="1">
        <v>0.99590000000000001</v>
      </c>
      <c r="J846" s="1">
        <v>3.18</v>
      </c>
      <c r="K846" s="1">
        <v>0.83</v>
      </c>
      <c r="L846" s="1">
        <v>10.6</v>
      </c>
      <c r="M846" s="2">
        <v>6</v>
      </c>
      <c r="N846" s="2" t="str" cm="1">
        <f t="array" ref="N846">_xlfn.IFS(Table1[[#This Row],[quality]]&lt;=4,"Low",Table1[[#This Row],[quality]]&lt;=6,"Medium",Table1[[#This Row],[quality]]&gt;=7,"High")</f>
        <v>Medium</v>
      </c>
      <c r="O846" s="2" t="str">
        <f>IF(AND(Table1[[#This Row],[fixed acidity]]&gt;Sheet1!$C$4,Table1[[#This Row],[pH]]&lt;Sheet1!$K$4),"High","Normal")</f>
        <v>High</v>
      </c>
      <c r="P846" s="1">
        <f>(Table1[[#This Row],[alcohol]]*2)+(Table1[[#This Row],[sulphates]]*1.5)-(Table1[[#This Row],[volatile acidity]]*2)</f>
        <v>21.945</v>
      </c>
      <c r="Q846" s="1">
        <f>RANK(Table1[[#This Row],[Quality_score_index]],Table1[Quality_score_index],0)</f>
        <v>462</v>
      </c>
      <c r="R846" s="1">
        <f>Table1[[#This Row],[total sulfur dioxide]]-Table1[[#This Row],[free sulfur dioxide]]</f>
        <v>16</v>
      </c>
      <c r="S846" s="1" t="str">
        <f>IF(AND(Table1[[#This Row],[pH]]&gt;=3.2,Table1[[#This Row],[alcohol]]&gt;=10),"White wine","Red wine")</f>
        <v>Red wine</v>
      </c>
    </row>
    <row r="847" spans="1:19" x14ac:dyDescent="0.3">
      <c r="A847" s="13">
        <v>846</v>
      </c>
      <c r="B847" s="1">
        <v>6.4</v>
      </c>
      <c r="C847" s="1">
        <v>0.64</v>
      </c>
      <c r="D847" s="1">
        <v>0.21</v>
      </c>
      <c r="E847" s="1">
        <v>1.8</v>
      </c>
      <c r="F847" s="1">
        <v>8.1000000000000003E-2</v>
      </c>
      <c r="G847" s="1">
        <v>14</v>
      </c>
      <c r="H847" s="1">
        <v>31</v>
      </c>
      <c r="I847" s="1">
        <v>0.99689000000000005</v>
      </c>
      <c r="J847" s="1">
        <v>3.59</v>
      </c>
      <c r="K847" s="1">
        <v>0.66</v>
      </c>
      <c r="L847" s="1">
        <v>9.8000000000000007</v>
      </c>
      <c r="M847" s="2">
        <v>5</v>
      </c>
      <c r="N847" s="2" t="str" cm="1">
        <f t="array" ref="N847">_xlfn.IFS(Table1[[#This Row],[quality]]&lt;=4,"Low",Table1[[#This Row],[quality]]&lt;=6,"Medium",Table1[[#This Row],[quality]]&gt;=7,"High")</f>
        <v>Medium</v>
      </c>
      <c r="O847" s="2" t="str">
        <f>IF(AND(Table1[[#This Row],[fixed acidity]]&gt;Sheet1!$C$4,Table1[[#This Row],[pH]]&lt;Sheet1!$K$4),"High","Normal")</f>
        <v>Normal</v>
      </c>
      <c r="P847" s="1">
        <f>(Table1[[#This Row],[alcohol]]*2)+(Table1[[#This Row],[sulphates]]*1.5)-(Table1[[#This Row],[volatile acidity]]*2)</f>
        <v>19.309999999999999</v>
      </c>
      <c r="Q847" s="1">
        <f>RANK(Table1[[#This Row],[Quality_score_index]],Table1[Quality_score_index],0)</f>
        <v>1037</v>
      </c>
      <c r="R847" s="1">
        <f>Table1[[#This Row],[total sulfur dioxide]]-Table1[[#This Row],[free sulfur dioxide]]</f>
        <v>17</v>
      </c>
      <c r="S847" s="1" t="str">
        <f>IF(AND(Table1[[#This Row],[pH]]&gt;=3.2,Table1[[#This Row],[alcohol]]&gt;=10),"White wine","Red wine")</f>
        <v>Red wine</v>
      </c>
    </row>
    <row r="848" spans="1:19" x14ac:dyDescent="0.3">
      <c r="A848" s="13">
        <v>847</v>
      </c>
      <c r="B848" s="1">
        <v>6.4</v>
      </c>
      <c r="C848" s="1">
        <v>0.64</v>
      </c>
      <c r="D848" s="1">
        <v>0.21</v>
      </c>
      <c r="E848" s="1">
        <v>1.8</v>
      </c>
      <c r="F848" s="1">
        <v>8.1000000000000003E-2</v>
      </c>
      <c r="G848" s="1">
        <v>14</v>
      </c>
      <c r="H848" s="1">
        <v>31</v>
      </c>
      <c r="I848" s="1">
        <v>0.99689000000000005</v>
      </c>
      <c r="J848" s="1">
        <v>3.59</v>
      </c>
      <c r="K848" s="1">
        <v>0.66</v>
      </c>
      <c r="L848" s="1">
        <v>9.8000000000000007</v>
      </c>
      <c r="M848" s="2">
        <v>5</v>
      </c>
      <c r="N848" s="2" t="str" cm="1">
        <f t="array" ref="N848">_xlfn.IFS(Table1[[#This Row],[quality]]&lt;=4,"Low",Table1[[#This Row],[quality]]&lt;=6,"Medium",Table1[[#This Row],[quality]]&gt;=7,"High")</f>
        <v>Medium</v>
      </c>
      <c r="O848" s="2" t="str">
        <f>IF(AND(Table1[[#This Row],[fixed acidity]]&gt;Sheet1!$C$4,Table1[[#This Row],[pH]]&lt;Sheet1!$K$4),"High","Normal")</f>
        <v>Normal</v>
      </c>
      <c r="P848" s="1">
        <f>(Table1[[#This Row],[alcohol]]*2)+(Table1[[#This Row],[sulphates]]*1.5)-(Table1[[#This Row],[volatile acidity]]*2)</f>
        <v>19.309999999999999</v>
      </c>
      <c r="Q848" s="1">
        <f>RANK(Table1[[#This Row],[Quality_score_index]],Table1[Quality_score_index],0)</f>
        <v>1037</v>
      </c>
      <c r="R848" s="1">
        <f>Table1[[#This Row],[total sulfur dioxide]]-Table1[[#This Row],[free sulfur dioxide]]</f>
        <v>17</v>
      </c>
      <c r="S848" s="1" t="str">
        <f>IF(AND(Table1[[#This Row],[pH]]&gt;=3.2,Table1[[#This Row],[alcohol]]&gt;=10),"White wine","Red wine")</f>
        <v>Red wine</v>
      </c>
    </row>
    <row r="849" spans="1:19" x14ac:dyDescent="0.3">
      <c r="A849" s="13">
        <v>848</v>
      </c>
      <c r="B849" s="1">
        <v>7.4</v>
      </c>
      <c r="C849" s="1">
        <v>0.68</v>
      </c>
      <c r="D849" s="1">
        <v>0.16</v>
      </c>
      <c r="E849" s="1">
        <v>1.8</v>
      </c>
      <c r="F849" s="1">
        <v>7.8E-2</v>
      </c>
      <c r="G849" s="1">
        <v>12</v>
      </c>
      <c r="H849" s="1">
        <v>39</v>
      </c>
      <c r="I849" s="1">
        <v>0.99770000000000003</v>
      </c>
      <c r="J849" s="1">
        <v>3.5</v>
      </c>
      <c r="K849" s="1">
        <v>0.7</v>
      </c>
      <c r="L849" s="1">
        <v>9.9</v>
      </c>
      <c r="M849" s="2">
        <v>6</v>
      </c>
      <c r="N849" s="2" t="str" cm="1">
        <f t="array" ref="N849">_xlfn.IFS(Table1[[#This Row],[quality]]&lt;=4,"Low",Table1[[#This Row],[quality]]&lt;=6,"Medium",Table1[[#This Row],[quality]]&gt;=7,"High")</f>
        <v>Medium</v>
      </c>
      <c r="O849" s="2" t="str">
        <f>IF(AND(Table1[[#This Row],[fixed acidity]]&gt;Sheet1!$C$4,Table1[[#This Row],[pH]]&lt;Sheet1!$K$4),"High","Normal")</f>
        <v>Normal</v>
      </c>
      <c r="P849" s="1">
        <f>(Table1[[#This Row],[alcohol]]*2)+(Table1[[#This Row],[sulphates]]*1.5)-(Table1[[#This Row],[volatile acidity]]*2)</f>
        <v>19.490000000000002</v>
      </c>
      <c r="Q849" s="1">
        <f>RANK(Table1[[#This Row],[Quality_score_index]],Table1[Quality_score_index],0)</f>
        <v>973</v>
      </c>
      <c r="R849" s="1">
        <f>Table1[[#This Row],[total sulfur dioxide]]-Table1[[#This Row],[free sulfur dioxide]]</f>
        <v>27</v>
      </c>
      <c r="S849" s="1" t="str">
        <f>IF(AND(Table1[[#This Row],[pH]]&gt;=3.2,Table1[[#This Row],[alcohol]]&gt;=10),"White wine","Red wine")</f>
        <v>Red wine</v>
      </c>
    </row>
    <row r="850" spans="1:19" x14ac:dyDescent="0.3">
      <c r="A850" s="13">
        <v>849</v>
      </c>
      <c r="B850" s="1">
        <v>6.4</v>
      </c>
      <c r="C850" s="1">
        <v>0.64</v>
      </c>
      <c r="D850" s="1">
        <v>0.21</v>
      </c>
      <c r="E850" s="1">
        <v>1.8</v>
      </c>
      <c r="F850" s="1">
        <v>8.1000000000000003E-2</v>
      </c>
      <c r="G850" s="1">
        <v>14</v>
      </c>
      <c r="H850" s="1">
        <v>31</v>
      </c>
      <c r="I850" s="1">
        <v>0.99689000000000005</v>
      </c>
      <c r="J850" s="1">
        <v>3.59</v>
      </c>
      <c r="K850" s="1">
        <v>0.66</v>
      </c>
      <c r="L850" s="1">
        <v>9.8000000000000007</v>
      </c>
      <c r="M850" s="2">
        <v>5</v>
      </c>
      <c r="N850" s="2" t="str" cm="1">
        <f t="array" ref="N850">_xlfn.IFS(Table1[[#This Row],[quality]]&lt;=4,"Low",Table1[[#This Row],[quality]]&lt;=6,"Medium",Table1[[#This Row],[quality]]&gt;=7,"High")</f>
        <v>Medium</v>
      </c>
      <c r="O850" s="2" t="str">
        <f>IF(AND(Table1[[#This Row],[fixed acidity]]&gt;Sheet1!$C$4,Table1[[#This Row],[pH]]&lt;Sheet1!$K$4),"High","Normal")</f>
        <v>Normal</v>
      </c>
      <c r="P850" s="1">
        <f>(Table1[[#This Row],[alcohol]]*2)+(Table1[[#This Row],[sulphates]]*1.5)-(Table1[[#This Row],[volatile acidity]]*2)</f>
        <v>19.309999999999999</v>
      </c>
      <c r="Q850" s="1">
        <f>RANK(Table1[[#This Row],[Quality_score_index]],Table1[Quality_score_index],0)</f>
        <v>1037</v>
      </c>
      <c r="R850" s="1">
        <f>Table1[[#This Row],[total sulfur dioxide]]-Table1[[#This Row],[free sulfur dioxide]]</f>
        <v>17</v>
      </c>
      <c r="S850" s="1" t="str">
        <f>IF(AND(Table1[[#This Row],[pH]]&gt;=3.2,Table1[[#This Row],[alcohol]]&gt;=10),"White wine","Red wine")</f>
        <v>Red wine</v>
      </c>
    </row>
    <row r="851" spans="1:19" x14ac:dyDescent="0.3">
      <c r="A851" s="13">
        <v>850</v>
      </c>
      <c r="B851" s="1">
        <v>6.4</v>
      </c>
      <c r="C851" s="1">
        <v>0.63</v>
      </c>
      <c r="D851" s="1">
        <v>0.21</v>
      </c>
      <c r="E851" s="1">
        <v>1.6</v>
      </c>
      <c r="F851" s="1">
        <v>0.08</v>
      </c>
      <c r="G851" s="1">
        <v>12</v>
      </c>
      <c r="H851" s="1">
        <v>32</v>
      </c>
      <c r="I851" s="1">
        <v>0.99689000000000005</v>
      </c>
      <c r="J851" s="1">
        <v>3.58</v>
      </c>
      <c r="K851" s="1">
        <v>0.66</v>
      </c>
      <c r="L851" s="1">
        <v>9.8000000000000007</v>
      </c>
      <c r="M851" s="2">
        <v>5</v>
      </c>
      <c r="N851" s="2" t="str" cm="1">
        <f t="array" ref="N851">_xlfn.IFS(Table1[[#This Row],[quality]]&lt;=4,"Low",Table1[[#This Row],[quality]]&lt;=6,"Medium",Table1[[#This Row],[quality]]&gt;=7,"High")</f>
        <v>Medium</v>
      </c>
      <c r="O851" s="2" t="str">
        <f>IF(AND(Table1[[#This Row],[fixed acidity]]&gt;Sheet1!$C$4,Table1[[#This Row],[pH]]&lt;Sheet1!$K$4),"High","Normal")</f>
        <v>Normal</v>
      </c>
      <c r="P851" s="1">
        <f>(Table1[[#This Row],[alcohol]]*2)+(Table1[[#This Row],[sulphates]]*1.5)-(Table1[[#This Row],[volatile acidity]]*2)</f>
        <v>19.329999999999998</v>
      </c>
      <c r="Q851" s="1">
        <f>RANK(Table1[[#This Row],[Quality_score_index]],Table1[Quality_score_index],0)</f>
        <v>1032</v>
      </c>
      <c r="R851" s="1">
        <f>Table1[[#This Row],[total sulfur dioxide]]-Table1[[#This Row],[free sulfur dioxide]]</f>
        <v>20</v>
      </c>
      <c r="S851" s="1" t="str">
        <f>IF(AND(Table1[[#This Row],[pH]]&gt;=3.2,Table1[[#This Row],[alcohol]]&gt;=10),"White wine","Red wine")</f>
        <v>Red wine</v>
      </c>
    </row>
    <row r="852" spans="1:19" x14ac:dyDescent="0.3">
      <c r="A852" s="13">
        <v>851</v>
      </c>
      <c r="B852" s="1">
        <v>9.3000000000000007</v>
      </c>
      <c r="C852" s="1">
        <v>0.43</v>
      </c>
      <c r="D852" s="1">
        <v>0.44</v>
      </c>
      <c r="E852" s="1">
        <v>1.9</v>
      </c>
      <c r="F852" s="1">
        <v>8.5000000000000006E-2</v>
      </c>
      <c r="G852" s="1">
        <v>9</v>
      </c>
      <c r="H852" s="1">
        <v>22</v>
      </c>
      <c r="I852" s="1">
        <v>0.99707999999999997</v>
      </c>
      <c r="J852" s="1">
        <v>3.28</v>
      </c>
      <c r="K852" s="1">
        <v>0.55000000000000004</v>
      </c>
      <c r="L852" s="1">
        <v>9.5</v>
      </c>
      <c r="M852" s="2">
        <v>5</v>
      </c>
      <c r="N852" s="2" t="str" cm="1">
        <f t="array" ref="N852">_xlfn.IFS(Table1[[#This Row],[quality]]&lt;=4,"Low",Table1[[#This Row],[quality]]&lt;=6,"Medium",Table1[[#This Row],[quality]]&gt;=7,"High")</f>
        <v>Medium</v>
      </c>
      <c r="O852" s="2" t="str">
        <f>IF(AND(Table1[[#This Row],[fixed acidity]]&gt;Sheet1!$C$4,Table1[[#This Row],[pH]]&lt;Sheet1!$K$4),"High","Normal")</f>
        <v>High</v>
      </c>
      <c r="P852" s="1">
        <f>(Table1[[#This Row],[alcohol]]*2)+(Table1[[#This Row],[sulphates]]*1.5)-(Table1[[#This Row],[volatile acidity]]*2)</f>
        <v>18.965</v>
      </c>
      <c r="Q852" s="1">
        <f>RANK(Table1[[#This Row],[Quality_score_index]],Table1[Quality_score_index],0)</f>
        <v>1175</v>
      </c>
      <c r="R852" s="1">
        <f>Table1[[#This Row],[total sulfur dioxide]]-Table1[[#This Row],[free sulfur dioxide]]</f>
        <v>13</v>
      </c>
      <c r="S852" s="1" t="str">
        <f>IF(AND(Table1[[#This Row],[pH]]&gt;=3.2,Table1[[#This Row],[alcohol]]&gt;=10),"White wine","Red wine")</f>
        <v>Red wine</v>
      </c>
    </row>
    <row r="853" spans="1:19" x14ac:dyDescent="0.3">
      <c r="A853" s="13">
        <v>852</v>
      </c>
      <c r="B853" s="1">
        <v>9.3000000000000007</v>
      </c>
      <c r="C853" s="1">
        <v>0.43</v>
      </c>
      <c r="D853" s="1">
        <v>0.44</v>
      </c>
      <c r="E853" s="1">
        <v>1.9</v>
      </c>
      <c r="F853" s="1">
        <v>8.5000000000000006E-2</v>
      </c>
      <c r="G853" s="1">
        <v>9</v>
      </c>
      <c r="H853" s="1">
        <v>22</v>
      </c>
      <c r="I853" s="1">
        <v>0.99707999999999997</v>
      </c>
      <c r="J853" s="1">
        <v>3.28</v>
      </c>
      <c r="K853" s="1">
        <v>0.55000000000000004</v>
      </c>
      <c r="L853" s="1">
        <v>9.5</v>
      </c>
      <c r="M853" s="2">
        <v>5</v>
      </c>
      <c r="N853" s="2" t="str" cm="1">
        <f t="array" ref="N853">_xlfn.IFS(Table1[[#This Row],[quality]]&lt;=4,"Low",Table1[[#This Row],[quality]]&lt;=6,"Medium",Table1[[#This Row],[quality]]&gt;=7,"High")</f>
        <v>Medium</v>
      </c>
      <c r="O853" s="2" t="str">
        <f>IF(AND(Table1[[#This Row],[fixed acidity]]&gt;Sheet1!$C$4,Table1[[#This Row],[pH]]&lt;Sheet1!$K$4),"High","Normal")</f>
        <v>High</v>
      </c>
      <c r="P853" s="1">
        <f>(Table1[[#This Row],[alcohol]]*2)+(Table1[[#This Row],[sulphates]]*1.5)-(Table1[[#This Row],[volatile acidity]]*2)</f>
        <v>18.965</v>
      </c>
      <c r="Q853" s="1">
        <f>RANK(Table1[[#This Row],[Quality_score_index]],Table1[Quality_score_index],0)</f>
        <v>1175</v>
      </c>
      <c r="R853" s="1">
        <f>Table1[[#This Row],[total sulfur dioxide]]-Table1[[#This Row],[free sulfur dioxide]]</f>
        <v>13</v>
      </c>
      <c r="S853" s="1" t="str">
        <f>IF(AND(Table1[[#This Row],[pH]]&gt;=3.2,Table1[[#This Row],[alcohol]]&gt;=10),"White wine","Red wine")</f>
        <v>Red wine</v>
      </c>
    </row>
    <row r="854" spans="1:19" x14ac:dyDescent="0.3">
      <c r="A854" s="13">
        <v>853</v>
      </c>
      <c r="B854" s="1">
        <v>8</v>
      </c>
      <c r="C854" s="1">
        <v>0.42</v>
      </c>
      <c r="D854" s="1">
        <v>0.32</v>
      </c>
      <c r="E854" s="1">
        <v>2.5</v>
      </c>
      <c r="F854" s="1">
        <v>0.08</v>
      </c>
      <c r="G854" s="1">
        <v>26</v>
      </c>
      <c r="H854" s="1">
        <v>122</v>
      </c>
      <c r="I854" s="1">
        <v>0.99800999999999995</v>
      </c>
      <c r="J854" s="1">
        <v>3.22</v>
      </c>
      <c r="K854" s="1">
        <v>1.07</v>
      </c>
      <c r="L854" s="1">
        <v>9.6999999999999993</v>
      </c>
      <c r="M854" s="2">
        <v>5</v>
      </c>
      <c r="N854" s="2" t="str" cm="1">
        <f t="array" ref="N854">_xlfn.IFS(Table1[[#This Row],[quality]]&lt;=4,"Low",Table1[[#This Row],[quality]]&lt;=6,"Medium",Table1[[#This Row],[quality]]&gt;=7,"High")</f>
        <v>Medium</v>
      </c>
      <c r="O854" s="2" t="str">
        <f>IF(AND(Table1[[#This Row],[fixed acidity]]&gt;Sheet1!$C$4,Table1[[#This Row],[pH]]&lt;Sheet1!$K$4),"High","Normal")</f>
        <v>Normal</v>
      </c>
      <c r="P854" s="1">
        <f>(Table1[[#This Row],[alcohol]]*2)+(Table1[[#This Row],[sulphates]]*1.5)-(Table1[[#This Row],[volatile acidity]]*2)</f>
        <v>20.164999999999999</v>
      </c>
      <c r="Q854" s="1">
        <f>RANK(Table1[[#This Row],[Quality_score_index]],Table1[Quality_score_index],0)</f>
        <v>824</v>
      </c>
      <c r="R854" s="1">
        <f>Table1[[#This Row],[total sulfur dioxide]]-Table1[[#This Row],[free sulfur dioxide]]</f>
        <v>96</v>
      </c>
      <c r="S854" s="1" t="str">
        <f>IF(AND(Table1[[#This Row],[pH]]&gt;=3.2,Table1[[#This Row],[alcohol]]&gt;=10),"White wine","Red wine")</f>
        <v>Red wine</v>
      </c>
    </row>
    <row r="855" spans="1:19" x14ac:dyDescent="0.3">
      <c r="A855" s="13">
        <v>854</v>
      </c>
      <c r="B855" s="1">
        <v>9.3000000000000007</v>
      </c>
      <c r="C855" s="1">
        <v>0.36</v>
      </c>
      <c r="D855" s="1">
        <v>0.39</v>
      </c>
      <c r="E855" s="1">
        <v>1.5</v>
      </c>
      <c r="F855" s="1">
        <v>0.08</v>
      </c>
      <c r="G855" s="1">
        <v>41</v>
      </c>
      <c r="H855" s="1">
        <v>55</v>
      </c>
      <c r="I855" s="1">
        <v>0.99651999999999996</v>
      </c>
      <c r="J855" s="1">
        <v>3.47</v>
      </c>
      <c r="K855" s="1">
        <v>0.73</v>
      </c>
      <c r="L855" s="1">
        <v>10.9</v>
      </c>
      <c r="M855" s="2">
        <v>6</v>
      </c>
      <c r="N855" s="2" t="str" cm="1">
        <f t="array" ref="N855">_xlfn.IFS(Table1[[#This Row],[quality]]&lt;=4,"Low",Table1[[#This Row],[quality]]&lt;=6,"Medium",Table1[[#This Row],[quality]]&gt;=7,"High")</f>
        <v>Medium</v>
      </c>
      <c r="O855" s="2" t="str">
        <f>IF(AND(Table1[[#This Row],[fixed acidity]]&gt;Sheet1!$C$4,Table1[[#This Row],[pH]]&lt;Sheet1!$K$4),"High","Normal")</f>
        <v>Normal</v>
      </c>
      <c r="P855" s="1">
        <f>(Table1[[#This Row],[alcohol]]*2)+(Table1[[#This Row],[sulphates]]*1.5)-(Table1[[#This Row],[volatile acidity]]*2)</f>
        <v>22.175000000000001</v>
      </c>
      <c r="Q855" s="1">
        <f>RANK(Table1[[#This Row],[Quality_score_index]],Table1[Quality_score_index],0)</f>
        <v>421</v>
      </c>
      <c r="R855" s="1">
        <f>Table1[[#This Row],[total sulfur dioxide]]-Table1[[#This Row],[free sulfur dioxide]]</f>
        <v>14</v>
      </c>
      <c r="S855" s="1" t="str">
        <f>IF(AND(Table1[[#This Row],[pH]]&gt;=3.2,Table1[[#This Row],[alcohol]]&gt;=10),"White wine","Red wine")</f>
        <v>White wine</v>
      </c>
    </row>
    <row r="856" spans="1:19" x14ac:dyDescent="0.3">
      <c r="A856" s="13">
        <v>855</v>
      </c>
      <c r="B856" s="1">
        <v>9.3000000000000007</v>
      </c>
      <c r="C856" s="1">
        <v>0.36</v>
      </c>
      <c r="D856" s="1">
        <v>0.39</v>
      </c>
      <c r="E856" s="1">
        <v>1.5</v>
      </c>
      <c r="F856" s="1">
        <v>0.08</v>
      </c>
      <c r="G856" s="1">
        <v>41</v>
      </c>
      <c r="H856" s="1">
        <v>55</v>
      </c>
      <c r="I856" s="1">
        <v>0.99651999999999996</v>
      </c>
      <c r="J856" s="1">
        <v>3.47</v>
      </c>
      <c r="K856" s="1">
        <v>0.73</v>
      </c>
      <c r="L856" s="1">
        <v>10.9</v>
      </c>
      <c r="M856" s="2">
        <v>6</v>
      </c>
      <c r="N856" s="2" t="str" cm="1">
        <f t="array" ref="N856">_xlfn.IFS(Table1[[#This Row],[quality]]&lt;=4,"Low",Table1[[#This Row],[quality]]&lt;=6,"Medium",Table1[[#This Row],[quality]]&gt;=7,"High")</f>
        <v>Medium</v>
      </c>
      <c r="O856" s="2" t="str">
        <f>IF(AND(Table1[[#This Row],[fixed acidity]]&gt;Sheet1!$C$4,Table1[[#This Row],[pH]]&lt;Sheet1!$K$4),"High","Normal")</f>
        <v>Normal</v>
      </c>
      <c r="P856" s="1">
        <f>(Table1[[#This Row],[alcohol]]*2)+(Table1[[#This Row],[sulphates]]*1.5)-(Table1[[#This Row],[volatile acidity]]*2)</f>
        <v>22.175000000000001</v>
      </c>
      <c r="Q856" s="1">
        <f>RANK(Table1[[#This Row],[Quality_score_index]],Table1[Quality_score_index],0)</f>
        <v>421</v>
      </c>
      <c r="R856" s="1">
        <f>Table1[[#This Row],[total sulfur dioxide]]-Table1[[#This Row],[free sulfur dioxide]]</f>
        <v>14</v>
      </c>
      <c r="S856" s="1" t="str">
        <f>IF(AND(Table1[[#This Row],[pH]]&gt;=3.2,Table1[[#This Row],[alcohol]]&gt;=10),"White wine","Red wine")</f>
        <v>White wine</v>
      </c>
    </row>
    <row r="857" spans="1:19" x14ac:dyDescent="0.3">
      <c r="A857" s="13">
        <v>856</v>
      </c>
      <c r="B857" s="1">
        <v>7.6</v>
      </c>
      <c r="C857" s="1">
        <v>0.73499999999999999</v>
      </c>
      <c r="D857" s="1">
        <v>0.02</v>
      </c>
      <c r="E857" s="1">
        <v>2.5</v>
      </c>
      <c r="F857" s="1">
        <v>7.0999999999999994E-2</v>
      </c>
      <c r="G857" s="1">
        <v>10</v>
      </c>
      <c r="H857" s="1">
        <v>14</v>
      </c>
      <c r="I857" s="1">
        <v>0.99538000000000004</v>
      </c>
      <c r="J857" s="1">
        <v>3.51</v>
      </c>
      <c r="K857" s="1">
        <v>0.71</v>
      </c>
      <c r="L857" s="1">
        <v>11.7</v>
      </c>
      <c r="M857" s="2">
        <v>7</v>
      </c>
      <c r="N857" s="2" t="str" cm="1">
        <f t="array" ref="N857">_xlfn.IFS(Table1[[#This Row],[quality]]&lt;=4,"Low",Table1[[#This Row],[quality]]&lt;=6,"Medium",Table1[[#This Row],[quality]]&gt;=7,"High")</f>
        <v>High</v>
      </c>
      <c r="O857" s="2" t="str">
        <f>IF(AND(Table1[[#This Row],[fixed acidity]]&gt;Sheet1!$C$4,Table1[[#This Row],[pH]]&lt;Sheet1!$K$4),"High","Normal")</f>
        <v>Normal</v>
      </c>
      <c r="P857" s="1">
        <f>(Table1[[#This Row],[alcohol]]*2)+(Table1[[#This Row],[sulphates]]*1.5)-(Table1[[#This Row],[volatile acidity]]*2)</f>
        <v>22.995000000000001</v>
      </c>
      <c r="Q857" s="1">
        <f>RANK(Table1[[#This Row],[Quality_score_index]],Table1[Quality_score_index],0)</f>
        <v>272</v>
      </c>
      <c r="R857" s="1">
        <f>Table1[[#This Row],[total sulfur dioxide]]-Table1[[#This Row],[free sulfur dioxide]]</f>
        <v>4</v>
      </c>
      <c r="S857" s="1" t="str">
        <f>IF(AND(Table1[[#This Row],[pH]]&gt;=3.2,Table1[[#This Row],[alcohol]]&gt;=10),"White wine","Red wine")</f>
        <v>White wine</v>
      </c>
    </row>
    <row r="858" spans="1:19" x14ac:dyDescent="0.3">
      <c r="A858" s="13">
        <v>857</v>
      </c>
      <c r="B858" s="1">
        <v>9.3000000000000007</v>
      </c>
      <c r="C858" s="1">
        <v>0.36</v>
      </c>
      <c r="D858" s="1">
        <v>0.39</v>
      </c>
      <c r="E858" s="1">
        <v>1.5</v>
      </c>
      <c r="F858" s="1">
        <v>0.08</v>
      </c>
      <c r="G858" s="1">
        <v>41</v>
      </c>
      <c r="H858" s="1">
        <v>55</v>
      </c>
      <c r="I858" s="1">
        <v>0.99651999999999996</v>
      </c>
      <c r="J858" s="1">
        <v>3.47</v>
      </c>
      <c r="K858" s="1">
        <v>0.73</v>
      </c>
      <c r="L858" s="1">
        <v>10.9</v>
      </c>
      <c r="M858" s="2">
        <v>6</v>
      </c>
      <c r="N858" s="2" t="str" cm="1">
        <f t="array" ref="N858">_xlfn.IFS(Table1[[#This Row],[quality]]&lt;=4,"Low",Table1[[#This Row],[quality]]&lt;=6,"Medium",Table1[[#This Row],[quality]]&gt;=7,"High")</f>
        <v>Medium</v>
      </c>
      <c r="O858" s="2" t="str">
        <f>IF(AND(Table1[[#This Row],[fixed acidity]]&gt;Sheet1!$C$4,Table1[[#This Row],[pH]]&lt;Sheet1!$K$4),"High","Normal")</f>
        <v>Normal</v>
      </c>
      <c r="P858" s="1">
        <f>(Table1[[#This Row],[alcohol]]*2)+(Table1[[#This Row],[sulphates]]*1.5)-(Table1[[#This Row],[volatile acidity]]*2)</f>
        <v>22.175000000000001</v>
      </c>
      <c r="Q858" s="1">
        <f>RANK(Table1[[#This Row],[Quality_score_index]],Table1[Quality_score_index],0)</f>
        <v>421</v>
      </c>
      <c r="R858" s="1">
        <f>Table1[[#This Row],[total sulfur dioxide]]-Table1[[#This Row],[free sulfur dioxide]]</f>
        <v>14</v>
      </c>
      <c r="S858" s="1" t="str">
        <f>IF(AND(Table1[[#This Row],[pH]]&gt;=3.2,Table1[[#This Row],[alcohol]]&gt;=10),"White wine","Red wine")</f>
        <v>White wine</v>
      </c>
    </row>
    <row r="859" spans="1:19" x14ac:dyDescent="0.3">
      <c r="A859" s="13">
        <v>858</v>
      </c>
      <c r="B859" s="1">
        <v>8.1999999999999993</v>
      </c>
      <c r="C859" s="1">
        <v>0.26</v>
      </c>
      <c r="D859" s="1">
        <v>0.34</v>
      </c>
      <c r="E859" s="1">
        <v>2.5</v>
      </c>
      <c r="F859" s="1">
        <v>7.2999999999999995E-2</v>
      </c>
      <c r="G859" s="1">
        <v>16</v>
      </c>
      <c r="H859" s="1">
        <v>47</v>
      </c>
      <c r="I859" s="1">
        <v>0.99594000000000005</v>
      </c>
      <c r="J859" s="1">
        <v>3.4</v>
      </c>
      <c r="K859" s="1">
        <v>0.78</v>
      </c>
      <c r="L859" s="1">
        <v>11.3</v>
      </c>
      <c r="M859" s="2">
        <v>7</v>
      </c>
      <c r="N859" s="2" t="str" cm="1">
        <f t="array" ref="N859">_xlfn.IFS(Table1[[#This Row],[quality]]&lt;=4,"Low",Table1[[#This Row],[quality]]&lt;=6,"Medium",Table1[[#This Row],[quality]]&gt;=7,"High")</f>
        <v>High</v>
      </c>
      <c r="O859" s="2" t="str">
        <f>IF(AND(Table1[[#This Row],[fixed acidity]]&gt;Sheet1!$C$4,Table1[[#This Row],[pH]]&lt;Sheet1!$K$4),"High","Normal")</f>
        <v>Normal</v>
      </c>
      <c r="P859" s="1">
        <f>(Table1[[#This Row],[alcohol]]*2)+(Table1[[#This Row],[sulphates]]*1.5)-(Table1[[#This Row],[volatile acidity]]*2)</f>
        <v>23.250000000000004</v>
      </c>
      <c r="Q859" s="1">
        <f>RANK(Table1[[#This Row],[Quality_score_index]],Table1[Quality_score_index],0)</f>
        <v>240</v>
      </c>
      <c r="R859" s="1">
        <f>Table1[[#This Row],[total sulfur dioxide]]-Table1[[#This Row],[free sulfur dioxide]]</f>
        <v>31</v>
      </c>
      <c r="S859" s="1" t="str">
        <f>IF(AND(Table1[[#This Row],[pH]]&gt;=3.2,Table1[[#This Row],[alcohol]]&gt;=10),"White wine","Red wine")</f>
        <v>White wine</v>
      </c>
    </row>
    <row r="860" spans="1:19" x14ac:dyDescent="0.3">
      <c r="A860" s="13">
        <v>859</v>
      </c>
      <c r="B860" s="1">
        <v>11.7</v>
      </c>
      <c r="C860" s="1">
        <v>0.28000000000000003</v>
      </c>
      <c r="D860" s="1">
        <v>0.47</v>
      </c>
      <c r="E860" s="1">
        <v>1.7</v>
      </c>
      <c r="F860" s="1">
        <v>5.3999999999999999E-2</v>
      </c>
      <c r="G860" s="1">
        <v>17</v>
      </c>
      <c r="H860" s="1">
        <v>32</v>
      </c>
      <c r="I860" s="1">
        <v>0.99685999999999997</v>
      </c>
      <c r="J860" s="1">
        <v>3.15</v>
      </c>
      <c r="K860" s="1">
        <v>0.67</v>
      </c>
      <c r="L860" s="1">
        <v>10.6</v>
      </c>
      <c r="M860" s="2">
        <v>7</v>
      </c>
      <c r="N860" s="2" t="str" cm="1">
        <f t="array" ref="N860">_xlfn.IFS(Table1[[#This Row],[quality]]&lt;=4,"Low",Table1[[#This Row],[quality]]&lt;=6,"Medium",Table1[[#This Row],[quality]]&gt;=7,"High")</f>
        <v>High</v>
      </c>
      <c r="O860" s="2" t="str">
        <f>IF(AND(Table1[[#This Row],[fixed acidity]]&gt;Sheet1!$C$4,Table1[[#This Row],[pH]]&lt;Sheet1!$K$4),"High","Normal")</f>
        <v>High</v>
      </c>
      <c r="P860" s="1">
        <f>(Table1[[#This Row],[alcohol]]*2)+(Table1[[#This Row],[sulphates]]*1.5)-(Table1[[#This Row],[volatile acidity]]*2)</f>
        <v>21.645</v>
      </c>
      <c r="Q860" s="1">
        <f>RANK(Table1[[#This Row],[Quality_score_index]],Table1[Quality_score_index],0)</f>
        <v>519</v>
      </c>
      <c r="R860" s="1">
        <f>Table1[[#This Row],[total sulfur dioxide]]-Table1[[#This Row],[free sulfur dioxide]]</f>
        <v>15</v>
      </c>
      <c r="S860" s="1" t="str">
        <f>IF(AND(Table1[[#This Row],[pH]]&gt;=3.2,Table1[[#This Row],[alcohol]]&gt;=10),"White wine","Red wine")</f>
        <v>Red wine</v>
      </c>
    </row>
    <row r="861" spans="1:19" x14ac:dyDescent="0.3">
      <c r="A861" s="13">
        <v>860</v>
      </c>
      <c r="B861" s="1">
        <v>6.8</v>
      </c>
      <c r="C861" s="1">
        <v>0.56000000000000005</v>
      </c>
      <c r="D861" s="1">
        <v>0.22</v>
      </c>
      <c r="E861" s="1">
        <v>1.8</v>
      </c>
      <c r="F861" s="1">
        <v>7.3999999999999996E-2</v>
      </c>
      <c r="G861" s="1">
        <v>15</v>
      </c>
      <c r="H861" s="1">
        <v>24</v>
      </c>
      <c r="I861" s="1">
        <v>0.99438000000000004</v>
      </c>
      <c r="J861" s="1">
        <v>3.4</v>
      </c>
      <c r="K861" s="1">
        <v>0.82</v>
      </c>
      <c r="L861" s="1">
        <v>11.2</v>
      </c>
      <c r="M861" s="2">
        <v>6</v>
      </c>
      <c r="N861" s="2" t="str" cm="1">
        <f t="array" ref="N861">_xlfn.IFS(Table1[[#This Row],[quality]]&lt;=4,"Low",Table1[[#This Row],[quality]]&lt;=6,"Medium",Table1[[#This Row],[quality]]&gt;=7,"High")</f>
        <v>Medium</v>
      </c>
      <c r="O861" s="2" t="str">
        <f>IF(AND(Table1[[#This Row],[fixed acidity]]&gt;Sheet1!$C$4,Table1[[#This Row],[pH]]&lt;Sheet1!$K$4),"High","Normal")</f>
        <v>Normal</v>
      </c>
      <c r="P861" s="1">
        <f>(Table1[[#This Row],[alcohol]]*2)+(Table1[[#This Row],[sulphates]]*1.5)-(Table1[[#This Row],[volatile acidity]]*2)</f>
        <v>22.509999999999998</v>
      </c>
      <c r="Q861" s="1">
        <f>RANK(Table1[[#This Row],[Quality_score_index]],Table1[Quality_score_index],0)</f>
        <v>366</v>
      </c>
      <c r="R861" s="1">
        <f>Table1[[#This Row],[total sulfur dioxide]]-Table1[[#This Row],[free sulfur dioxide]]</f>
        <v>9</v>
      </c>
      <c r="S861" s="1" t="str">
        <f>IF(AND(Table1[[#This Row],[pH]]&gt;=3.2,Table1[[#This Row],[alcohol]]&gt;=10),"White wine","Red wine")</f>
        <v>White wine</v>
      </c>
    </row>
    <row r="862" spans="1:19" x14ac:dyDescent="0.3">
      <c r="A862" s="13">
        <v>861</v>
      </c>
      <c r="B862" s="1">
        <v>7.2</v>
      </c>
      <c r="C862" s="1">
        <v>0.62</v>
      </c>
      <c r="D862" s="1">
        <v>0.06</v>
      </c>
      <c r="E862" s="1">
        <v>2.7</v>
      </c>
      <c r="F862" s="1">
        <v>7.6999999999999999E-2</v>
      </c>
      <c r="G862" s="1">
        <v>15</v>
      </c>
      <c r="H862" s="1">
        <v>85</v>
      </c>
      <c r="I862" s="1">
        <v>0.99746000000000001</v>
      </c>
      <c r="J862" s="1">
        <v>3.51</v>
      </c>
      <c r="K862" s="1">
        <v>0.54</v>
      </c>
      <c r="L862" s="1">
        <v>9.5</v>
      </c>
      <c r="M862" s="2">
        <v>5</v>
      </c>
      <c r="N862" s="2" t="str" cm="1">
        <f t="array" ref="N862">_xlfn.IFS(Table1[[#This Row],[quality]]&lt;=4,"Low",Table1[[#This Row],[quality]]&lt;=6,"Medium",Table1[[#This Row],[quality]]&gt;=7,"High")</f>
        <v>Medium</v>
      </c>
      <c r="O862" s="2" t="str">
        <f>IF(AND(Table1[[#This Row],[fixed acidity]]&gt;Sheet1!$C$4,Table1[[#This Row],[pH]]&lt;Sheet1!$K$4),"High","Normal")</f>
        <v>Normal</v>
      </c>
      <c r="P862" s="1">
        <f>(Table1[[#This Row],[alcohol]]*2)+(Table1[[#This Row],[sulphates]]*1.5)-(Table1[[#This Row],[volatile acidity]]*2)</f>
        <v>18.57</v>
      </c>
      <c r="Q862" s="1">
        <f>RANK(Table1[[#This Row],[Quality_score_index]],Table1[Quality_score_index],0)</f>
        <v>1351</v>
      </c>
      <c r="R862" s="1">
        <f>Table1[[#This Row],[total sulfur dioxide]]-Table1[[#This Row],[free sulfur dioxide]]</f>
        <v>70</v>
      </c>
      <c r="S862" s="1" t="str">
        <f>IF(AND(Table1[[#This Row],[pH]]&gt;=3.2,Table1[[#This Row],[alcohol]]&gt;=10),"White wine","Red wine")</f>
        <v>Red wine</v>
      </c>
    </row>
    <row r="863" spans="1:19" x14ac:dyDescent="0.3">
      <c r="A863" s="13">
        <v>862</v>
      </c>
      <c r="B863" s="1">
        <v>5.8</v>
      </c>
      <c r="C863" s="1">
        <v>1.01</v>
      </c>
      <c r="D863" s="1">
        <v>0.66</v>
      </c>
      <c r="E863" s="1">
        <v>2</v>
      </c>
      <c r="F863" s="1">
        <v>3.9E-2</v>
      </c>
      <c r="G863" s="1">
        <v>15</v>
      </c>
      <c r="H863" s="1">
        <v>88</v>
      </c>
      <c r="I863" s="1">
        <v>0.99356999999999995</v>
      </c>
      <c r="J863" s="1">
        <v>3.66</v>
      </c>
      <c r="K863" s="1">
        <v>0.6</v>
      </c>
      <c r="L863" s="1">
        <v>11.5</v>
      </c>
      <c r="M863" s="2">
        <v>6</v>
      </c>
      <c r="N863" s="2" t="str" cm="1">
        <f t="array" ref="N863">_xlfn.IFS(Table1[[#This Row],[quality]]&lt;=4,"Low",Table1[[#This Row],[quality]]&lt;=6,"Medium",Table1[[#This Row],[quality]]&gt;=7,"High")</f>
        <v>Medium</v>
      </c>
      <c r="O863" s="2" t="str">
        <f>IF(AND(Table1[[#This Row],[fixed acidity]]&gt;Sheet1!$C$4,Table1[[#This Row],[pH]]&lt;Sheet1!$K$4),"High","Normal")</f>
        <v>Normal</v>
      </c>
      <c r="P863" s="1">
        <f>(Table1[[#This Row],[alcohol]]*2)+(Table1[[#This Row],[sulphates]]*1.5)-(Table1[[#This Row],[volatile acidity]]*2)</f>
        <v>21.88</v>
      </c>
      <c r="Q863" s="1">
        <f>RANK(Table1[[#This Row],[Quality_score_index]],Table1[Quality_score_index],0)</f>
        <v>471</v>
      </c>
      <c r="R863" s="1">
        <f>Table1[[#This Row],[total sulfur dioxide]]-Table1[[#This Row],[free sulfur dioxide]]</f>
        <v>73</v>
      </c>
      <c r="S863" s="1" t="str">
        <f>IF(AND(Table1[[#This Row],[pH]]&gt;=3.2,Table1[[#This Row],[alcohol]]&gt;=10),"White wine","Red wine")</f>
        <v>White wine</v>
      </c>
    </row>
    <row r="864" spans="1:19" x14ac:dyDescent="0.3">
      <c r="A864" s="13">
        <v>863</v>
      </c>
      <c r="B864" s="1">
        <v>7.5</v>
      </c>
      <c r="C864" s="1">
        <v>0.42</v>
      </c>
      <c r="D864" s="1">
        <v>0.32</v>
      </c>
      <c r="E864" s="1">
        <v>2.7</v>
      </c>
      <c r="F864" s="1">
        <v>6.7000000000000004E-2</v>
      </c>
      <c r="G864" s="1">
        <v>7</v>
      </c>
      <c r="H864" s="1">
        <v>25</v>
      </c>
      <c r="I864" s="1">
        <v>0.99628000000000005</v>
      </c>
      <c r="J864" s="1">
        <v>3.24</v>
      </c>
      <c r="K864" s="1">
        <v>0.44</v>
      </c>
      <c r="L864" s="1">
        <v>10.4</v>
      </c>
      <c r="M864" s="2">
        <v>5</v>
      </c>
      <c r="N864" s="2" t="str" cm="1">
        <f t="array" ref="N864">_xlfn.IFS(Table1[[#This Row],[quality]]&lt;=4,"Low",Table1[[#This Row],[quality]]&lt;=6,"Medium",Table1[[#This Row],[quality]]&gt;=7,"High")</f>
        <v>Medium</v>
      </c>
      <c r="O864" s="2" t="str">
        <f>IF(AND(Table1[[#This Row],[fixed acidity]]&gt;Sheet1!$C$4,Table1[[#This Row],[pH]]&lt;Sheet1!$K$4),"High","Normal")</f>
        <v>Normal</v>
      </c>
      <c r="P864" s="1">
        <f>(Table1[[#This Row],[alcohol]]*2)+(Table1[[#This Row],[sulphates]]*1.5)-(Table1[[#This Row],[volatile acidity]]*2)</f>
        <v>20.62</v>
      </c>
      <c r="Q864" s="1">
        <f>RANK(Table1[[#This Row],[Quality_score_index]],Table1[Quality_score_index],0)</f>
        <v>738</v>
      </c>
      <c r="R864" s="1">
        <f>Table1[[#This Row],[total sulfur dioxide]]-Table1[[#This Row],[free sulfur dioxide]]</f>
        <v>18</v>
      </c>
      <c r="S864" s="1" t="str">
        <f>IF(AND(Table1[[#This Row],[pH]]&gt;=3.2,Table1[[#This Row],[alcohol]]&gt;=10),"White wine","Red wine")</f>
        <v>White wine</v>
      </c>
    </row>
    <row r="865" spans="1:19" x14ac:dyDescent="0.3">
      <c r="A865" s="13">
        <v>864</v>
      </c>
      <c r="B865" s="1">
        <v>7.2</v>
      </c>
      <c r="C865" s="1">
        <v>0.62</v>
      </c>
      <c r="D865" s="1">
        <v>0.06</v>
      </c>
      <c r="E865" s="1">
        <v>2.5</v>
      </c>
      <c r="F865" s="1">
        <v>7.8E-2</v>
      </c>
      <c r="G865" s="1">
        <v>17</v>
      </c>
      <c r="H865" s="1">
        <v>84</v>
      </c>
      <c r="I865" s="1">
        <v>0.99746000000000001</v>
      </c>
      <c r="J865" s="1">
        <v>3.51</v>
      </c>
      <c r="K865" s="1">
        <v>0.53</v>
      </c>
      <c r="L865" s="1">
        <v>9.6999999999999993</v>
      </c>
      <c r="M865" s="2">
        <v>5</v>
      </c>
      <c r="N865" s="2" t="str" cm="1">
        <f t="array" ref="N865">_xlfn.IFS(Table1[[#This Row],[quality]]&lt;=4,"Low",Table1[[#This Row],[quality]]&lt;=6,"Medium",Table1[[#This Row],[quality]]&gt;=7,"High")</f>
        <v>Medium</v>
      </c>
      <c r="O865" s="2" t="str">
        <f>IF(AND(Table1[[#This Row],[fixed acidity]]&gt;Sheet1!$C$4,Table1[[#This Row],[pH]]&lt;Sheet1!$K$4),"High","Normal")</f>
        <v>Normal</v>
      </c>
      <c r="P865" s="1">
        <f>(Table1[[#This Row],[alcohol]]*2)+(Table1[[#This Row],[sulphates]]*1.5)-(Table1[[#This Row],[volatile acidity]]*2)</f>
        <v>18.955000000000002</v>
      </c>
      <c r="Q865" s="1">
        <f>RANK(Table1[[#This Row],[Quality_score_index]],Table1[Quality_score_index],0)</f>
        <v>1179</v>
      </c>
      <c r="R865" s="1">
        <f>Table1[[#This Row],[total sulfur dioxide]]-Table1[[#This Row],[free sulfur dioxide]]</f>
        <v>67</v>
      </c>
      <c r="S865" s="1" t="str">
        <f>IF(AND(Table1[[#This Row],[pH]]&gt;=3.2,Table1[[#This Row],[alcohol]]&gt;=10),"White wine","Red wine")</f>
        <v>Red wine</v>
      </c>
    </row>
    <row r="866" spans="1:19" x14ac:dyDescent="0.3">
      <c r="A866" s="13">
        <v>865</v>
      </c>
      <c r="B866" s="1">
        <v>7.2</v>
      </c>
      <c r="C866" s="1">
        <v>0.62</v>
      </c>
      <c r="D866" s="1">
        <v>0.06</v>
      </c>
      <c r="E866" s="1">
        <v>2.7</v>
      </c>
      <c r="F866" s="1">
        <v>7.6999999999999999E-2</v>
      </c>
      <c r="G866" s="1">
        <v>15</v>
      </c>
      <c r="H866" s="1">
        <v>85</v>
      </c>
      <c r="I866" s="1">
        <v>0.99746000000000001</v>
      </c>
      <c r="J866" s="1">
        <v>3.51</v>
      </c>
      <c r="K866" s="1">
        <v>0.54</v>
      </c>
      <c r="L866" s="1">
        <v>9.5</v>
      </c>
      <c r="M866" s="2">
        <v>5</v>
      </c>
      <c r="N866" s="2" t="str" cm="1">
        <f t="array" ref="N866">_xlfn.IFS(Table1[[#This Row],[quality]]&lt;=4,"Low",Table1[[#This Row],[quality]]&lt;=6,"Medium",Table1[[#This Row],[quality]]&gt;=7,"High")</f>
        <v>Medium</v>
      </c>
      <c r="O866" s="2" t="str">
        <f>IF(AND(Table1[[#This Row],[fixed acidity]]&gt;Sheet1!$C$4,Table1[[#This Row],[pH]]&lt;Sheet1!$K$4),"High","Normal")</f>
        <v>Normal</v>
      </c>
      <c r="P866" s="1">
        <f>(Table1[[#This Row],[alcohol]]*2)+(Table1[[#This Row],[sulphates]]*1.5)-(Table1[[#This Row],[volatile acidity]]*2)</f>
        <v>18.57</v>
      </c>
      <c r="Q866" s="1">
        <f>RANK(Table1[[#This Row],[Quality_score_index]],Table1[Quality_score_index],0)</f>
        <v>1351</v>
      </c>
      <c r="R866" s="1">
        <f>Table1[[#This Row],[total sulfur dioxide]]-Table1[[#This Row],[free sulfur dioxide]]</f>
        <v>70</v>
      </c>
      <c r="S866" s="1" t="str">
        <f>IF(AND(Table1[[#This Row],[pH]]&gt;=3.2,Table1[[#This Row],[alcohol]]&gt;=10),"White wine","Red wine")</f>
        <v>Red wine</v>
      </c>
    </row>
    <row r="867" spans="1:19" x14ac:dyDescent="0.3">
      <c r="A867" s="13">
        <v>866</v>
      </c>
      <c r="B867" s="1">
        <v>7.2</v>
      </c>
      <c r="C867" s="1">
        <v>0.63500000000000001</v>
      </c>
      <c r="D867" s="1">
        <v>7.0000000000000007E-2</v>
      </c>
      <c r="E867" s="1">
        <v>2.6</v>
      </c>
      <c r="F867" s="1">
        <v>7.6999999999999999E-2</v>
      </c>
      <c r="G867" s="1">
        <v>16</v>
      </c>
      <c r="H867" s="1">
        <v>86</v>
      </c>
      <c r="I867" s="1">
        <v>0.99748000000000003</v>
      </c>
      <c r="J867" s="1">
        <v>3.51</v>
      </c>
      <c r="K867" s="1">
        <v>0.54</v>
      </c>
      <c r="L867" s="1">
        <v>9.6999999999999993</v>
      </c>
      <c r="M867" s="2">
        <v>5</v>
      </c>
      <c r="N867" s="2" t="str" cm="1">
        <f t="array" ref="N867">_xlfn.IFS(Table1[[#This Row],[quality]]&lt;=4,"Low",Table1[[#This Row],[quality]]&lt;=6,"Medium",Table1[[#This Row],[quality]]&gt;=7,"High")</f>
        <v>Medium</v>
      </c>
      <c r="O867" s="2" t="str">
        <f>IF(AND(Table1[[#This Row],[fixed acidity]]&gt;Sheet1!$C$4,Table1[[#This Row],[pH]]&lt;Sheet1!$K$4),"High","Normal")</f>
        <v>Normal</v>
      </c>
      <c r="P867" s="1">
        <f>(Table1[[#This Row],[alcohol]]*2)+(Table1[[#This Row],[sulphates]]*1.5)-(Table1[[#This Row],[volatile acidity]]*2)</f>
        <v>18.939999999999998</v>
      </c>
      <c r="Q867" s="1">
        <f>RANK(Table1[[#This Row],[Quality_score_index]],Table1[Quality_score_index],0)</f>
        <v>1188</v>
      </c>
      <c r="R867" s="1">
        <f>Table1[[#This Row],[total sulfur dioxide]]-Table1[[#This Row],[free sulfur dioxide]]</f>
        <v>70</v>
      </c>
      <c r="S867" s="1" t="str">
        <f>IF(AND(Table1[[#This Row],[pH]]&gt;=3.2,Table1[[#This Row],[alcohol]]&gt;=10),"White wine","Red wine")</f>
        <v>Red wine</v>
      </c>
    </row>
    <row r="868" spans="1:19" x14ac:dyDescent="0.3">
      <c r="A868" s="13">
        <v>867</v>
      </c>
      <c r="B868" s="1">
        <v>6.8</v>
      </c>
      <c r="C868" s="1">
        <v>0.49</v>
      </c>
      <c r="D868" s="1">
        <v>0.22</v>
      </c>
      <c r="E868" s="1">
        <v>2.2999999999999998</v>
      </c>
      <c r="F868" s="1">
        <v>7.0999999999999994E-2</v>
      </c>
      <c r="G868" s="1">
        <v>13</v>
      </c>
      <c r="H868" s="1">
        <v>24</v>
      </c>
      <c r="I868" s="1">
        <v>0.99438000000000004</v>
      </c>
      <c r="J868" s="1">
        <v>3.41</v>
      </c>
      <c r="K868" s="1">
        <v>0.83</v>
      </c>
      <c r="L868" s="1">
        <v>11.3</v>
      </c>
      <c r="M868" s="2">
        <v>6</v>
      </c>
      <c r="N868" s="2" t="str" cm="1">
        <f t="array" ref="N868">_xlfn.IFS(Table1[[#This Row],[quality]]&lt;=4,"Low",Table1[[#This Row],[quality]]&lt;=6,"Medium",Table1[[#This Row],[quality]]&gt;=7,"High")</f>
        <v>Medium</v>
      </c>
      <c r="O868" s="2" t="str">
        <f>IF(AND(Table1[[#This Row],[fixed acidity]]&gt;Sheet1!$C$4,Table1[[#This Row],[pH]]&lt;Sheet1!$K$4),"High","Normal")</f>
        <v>Normal</v>
      </c>
      <c r="P868" s="1">
        <f>(Table1[[#This Row],[alcohol]]*2)+(Table1[[#This Row],[sulphates]]*1.5)-(Table1[[#This Row],[volatile acidity]]*2)</f>
        <v>22.865000000000002</v>
      </c>
      <c r="Q868" s="1">
        <f>RANK(Table1[[#This Row],[Quality_score_index]],Table1[Quality_score_index],0)</f>
        <v>299</v>
      </c>
      <c r="R868" s="1">
        <f>Table1[[#This Row],[total sulfur dioxide]]-Table1[[#This Row],[free sulfur dioxide]]</f>
        <v>11</v>
      </c>
      <c r="S868" s="1" t="str">
        <f>IF(AND(Table1[[#This Row],[pH]]&gt;=3.2,Table1[[#This Row],[alcohol]]&gt;=10),"White wine","Red wine")</f>
        <v>White wine</v>
      </c>
    </row>
    <row r="869" spans="1:19" x14ac:dyDescent="0.3">
      <c r="A869" s="13">
        <v>868</v>
      </c>
      <c r="B869" s="1">
        <v>6.9</v>
      </c>
      <c r="C869" s="1">
        <v>0.51</v>
      </c>
      <c r="D869" s="1">
        <v>0.23</v>
      </c>
      <c r="E869" s="1">
        <v>2</v>
      </c>
      <c r="F869" s="1">
        <v>7.1999999999999995E-2</v>
      </c>
      <c r="G869" s="1">
        <v>13</v>
      </c>
      <c r="H869" s="1">
        <v>22</v>
      </c>
      <c r="I869" s="1">
        <v>0.99438000000000004</v>
      </c>
      <c r="J869" s="1">
        <v>3.4</v>
      </c>
      <c r="K869" s="1">
        <v>0.84</v>
      </c>
      <c r="L869" s="1">
        <v>11.2</v>
      </c>
      <c r="M869" s="2">
        <v>6</v>
      </c>
      <c r="N869" s="2" t="str" cm="1">
        <f t="array" ref="N869">_xlfn.IFS(Table1[[#This Row],[quality]]&lt;=4,"Low",Table1[[#This Row],[quality]]&lt;=6,"Medium",Table1[[#This Row],[quality]]&gt;=7,"High")</f>
        <v>Medium</v>
      </c>
      <c r="O869" s="2" t="str">
        <f>IF(AND(Table1[[#This Row],[fixed acidity]]&gt;Sheet1!$C$4,Table1[[#This Row],[pH]]&lt;Sheet1!$K$4),"High","Normal")</f>
        <v>Normal</v>
      </c>
      <c r="P869" s="1">
        <f>(Table1[[#This Row],[alcohol]]*2)+(Table1[[#This Row],[sulphates]]*1.5)-(Table1[[#This Row],[volatile acidity]]*2)</f>
        <v>22.64</v>
      </c>
      <c r="Q869" s="1">
        <f>RANK(Table1[[#This Row],[Quality_score_index]],Table1[Quality_score_index],0)</f>
        <v>339</v>
      </c>
      <c r="R869" s="1">
        <f>Table1[[#This Row],[total sulfur dioxide]]-Table1[[#This Row],[free sulfur dioxide]]</f>
        <v>9</v>
      </c>
      <c r="S869" s="1" t="str">
        <f>IF(AND(Table1[[#This Row],[pH]]&gt;=3.2,Table1[[#This Row],[alcohol]]&gt;=10),"White wine","Red wine")</f>
        <v>White wine</v>
      </c>
    </row>
    <row r="870" spans="1:19" x14ac:dyDescent="0.3">
      <c r="A870" s="13">
        <v>869</v>
      </c>
      <c r="B870" s="1">
        <v>6.8</v>
      </c>
      <c r="C870" s="1">
        <v>0.56000000000000005</v>
      </c>
      <c r="D870" s="1">
        <v>0.22</v>
      </c>
      <c r="E870" s="1">
        <v>1.8</v>
      </c>
      <c r="F870" s="1">
        <v>7.3999999999999996E-2</v>
      </c>
      <c r="G870" s="1">
        <v>15</v>
      </c>
      <c r="H870" s="1">
        <v>24</v>
      </c>
      <c r="I870" s="1">
        <v>0.99438000000000004</v>
      </c>
      <c r="J870" s="1">
        <v>3.4</v>
      </c>
      <c r="K870" s="1">
        <v>0.82</v>
      </c>
      <c r="L870" s="1">
        <v>11.2</v>
      </c>
      <c r="M870" s="2">
        <v>6</v>
      </c>
      <c r="N870" s="2" t="str" cm="1">
        <f t="array" ref="N870">_xlfn.IFS(Table1[[#This Row],[quality]]&lt;=4,"Low",Table1[[#This Row],[quality]]&lt;=6,"Medium",Table1[[#This Row],[quality]]&gt;=7,"High")</f>
        <v>Medium</v>
      </c>
      <c r="O870" s="2" t="str">
        <f>IF(AND(Table1[[#This Row],[fixed acidity]]&gt;Sheet1!$C$4,Table1[[#This Row],[pH]]&lt;Sheet1!$K$4),"High","Normal")</f>
        <v>Normal</v>
      </c>
      <c r="P870" s="1">
        <f>(Table1[[#This Row],[alcohol]]*2)+(Table1[[#This Row],[sulphates]]*1.5)-(Table1[[#This Row],[volatile acidity]]*2)</f>
        <v>22.509999999999998</v>
      </c>
      <c r="Q870" s="1">
        <f>RANK(Table1[[#This Row],[Quality_score_index]],Table1[Quality_score_index],0)</f>
        <v>366</v>
      </c>
      <c r="R870" s="1">
        <f>Table1[[#This Row],[total sulfur dioxide]]-Table1[[#This Row],[free sulfur dioxide]]</f>
        <v>9</v>
      </c>
      <c r="S870" s="1" t="str">
        <f>IF(AND(Table1[[#This Row],[pH]]&gt;=3.2,Table1[[#This Row],[alcohol]]&gt;=10),"White wine","Red wine")</f>
        <v>White wine</v>
      </c>
    </row>
    <row r="871" spans="1:19" x14ac:dyDescent="0.3">
      <c r="A871" s="13">
        <v>870</v>
      </c>
      <c r="B871" s="1">
        <v>7.6</v>
      </c>
      <c r="C871" s="1">
        <v>0.63</v>
      </c>
      <c r="D871" s="1">
        <v>0.03</v>
      </c>
      <c r="E871" s="1">
        <v>2</v>
      </c>
      <c r="F871" s="1">
        <v>0.08</v>
      </c>
      <c r="G871" s="1">
        <v>27</v>
      </c>
      <c r="H871" s="1">
        <v>43</v>
      </c>
      <c r="I871" s="1">
        <v>0.99578</v>
      </c>
      <c r="J871" s="1">
        <v>3.44</v>
      </c>
      <c r="K871" s="1">
        <v>0.64</v>
      </c>
      <c r="L871" s="1">
        <v>10.9</v>
      </c>
      <c r="M871" s="2">
        <v>6</v>
      </c>
      <c r="N871" s="2" t="str" cm="1">
        <f t="array" ref="N871">_xlfn.IFS(Table1[[#This Row],[quality]]&lt;=4,"Low",Table1[[#This Row],[quality]]&lt;=6,"Medium",Table1[[#This Row],[quality]]&gt;=7,"High")</f>
        <v>Medium</v>
      </c>
      <c r="O871" s="2" t="str">
        <f>IF(AND(Table1[[#This Row],[fixed acidity]]&gt;Sheet1!$C$4,Table1[[#This Row],[pH]]&lt;Sheet1!$K$4),"High","Normal")</f>
        <v>Normal</v>
      </c>
      <c r="P871" s="1">
        <f>(Table1[[#This Row],[alcohol]]*2)+(Table1[[#This Row],[sulphates]]*1.5)-(Table1[[#This Row],[volatile acidity]]*2)</f>
        <v>21.5</v>
      </c>
      <c r="Q871" s="1">
        <f>RANK(Table1[[#This Row],[Quality_score_index]],Table1[Quality_score_index],0)</f>
        <v>542</v>
      </c>
      <c r="R871" s="1">
        <f>Table1[[#This Row],[total sulfur dioxide]]-Table1[[#This Row],[free sulfur dioxide]]</f>
        <v>16</v>
      </c>
      <c r="S871" s="1" t="str">
        <f>IF(AND(Table1[[#This Row],[pH]]&gt;=3.2,Table1[[#This Row],[alcohol]]&gt;=10),"White wine","Red wine")</f>
        <v>White wine</v>
      </c>
    </row>
    <row r="872" spans="1:19" x14ac:dyDescent="0.3">
      <c r="A872" s="13">
        <v>871</v>
      </c>
      <c r="B872" s="1">
        <v>7.7</v>
      </c>
      <c r="C872" s="1">
        <v>0.71499999999999997</v>
      </c>
      <c r="D872" s="1">
        <v>0.01</v>
      </c>
      <c r="E872" s="1">
        <v>2.1</v>
      </c>
      <c r="F872" s="1">
        <v>6.4000000000000001E-2</v>
      </c>
      <c r="G872" s="1">
        <v>31</v>
      </c>
      <c r="H872" s="1">
        <v>43</v>
      </c>
      <c r="I872" s="1">
        <v>0.99370999999999998</v>
      </c>
      <c r="J872" s="1">
        <v>3.41</v>
      </c>
      <c r="K872" s="1">
        <v>0.56999999999999995</v>
      </c>
      <c r="L872" s="1">
        <v>11.8</v>
      </c>
      <c r="M872" s="2">
        <v>6</v>
      </c>
      <c r="N872" s="2" t="str" cm="1">
        <f t="array" ref="N872">_xlfn.IFS(Table1[[#This Row],[quality]]&lt;=4,"Low",Table1[[#This Row],[quality]]&lt;=6,"Medium",Table1[[#This Row],[quality]]&gt;=7,"High")</f>
        <v>Medium</v>
      </c>
      <c r="O872" s="2" t="str">
        <f>IF(AND(Table1[[#This Row],[fixed acidity]]&gt;Sheet1!$C$4,Table1[[#This Row],[pH]]&lt;Sheet1!$K$4),"High","Normal")</f>
        <v>Normal</v>
      </c>
      <c r="P872" s="1">
        <f>(Table1[[#This Row],[alcohol]]*2)+(Table1[[#This Row],[sulphates]]*1.5)-(Table1[[#This Row],[volatile acidity]]*2)</f>
        <v>23.025000000000002</v>
      </c>
      <c r="Q872" s="1">
        <f>RANK(Table1[[#This Row],[Quality_score_index]],Table1[Quality_score_index],0)</f>
        <v>265</v>
      </c>
      <c r="R872" s="1">
        <f>Table1[[#This Row],[total sulfur dioxide]]-Table1[[#This Row],[free sulfur dioxide]]</f>
        <v>12</v>
      </c>
      <c r="S872" s="1" t="str">
        <f>IF(AND(Table1[[#This Row],[pH]]&gt;=3.2,Table1[[#This Row],[alcohol]]&gt;=10),"White wine","Red wine")</f>
        <v>White wine</v>
      </c>
    </row>
    <row r="873" spans="1:19" x14ac:dyDescent="0.3">
      <c r="A873" s="13">
        <v>872</v>
      </c>
      <c r="B873" s="1">
        <v>6.9</v>
      </c>
      <c r="C873" s="1">
        <v>0.56000000000000005</v>
      </c>
      <c r="D873" s="1">
        <v>0.03</v>
      </c>
      <c r="E873" s="1">
        <v>1.5</v>
      </c>
      <c r="F873" s="1">
        <v>8.5999999999999993E-2</v>
      </c>
      <c r="G873" s="1">
        <v>36</v>
      </c>
      <c r="H873" s="1">
        <v>46</v>
      </c>
      <c r="I873" s="1">
        <v>0.99521999999999999</v>
      </c>
      <c r="J873" s="1">
        <v>3.53</v>
      </c>
      <c r="K873" s="1">
        <v>0.56999999999999995</v>
      </c>
      <c r="L873" s="1">
        <v>10.6</v>
      </c>
      <c r="M873" s="2">
        <v>5</v>
      </c>
      <c r="N873" s="2" t="str" cm="1">
        <f t="array" ref="N873">_xlfn.IFS(Table1[[#This Row],[quality]]&lt;=4,"Low",Table1[[#This Row],[quality]]&lt;=6,"Medium",Table1[[#This Row],[quality]]&gt;=7,"High")</f>
        <v>Medium</v>
      </c>
      <c r="O873" s="2" t="str">
        <f>IF(AND(Table1[[#This Row],[fixed acidity]]&gt;Sheet1!$C$4,Table1[[#This Row],[pH]]&lt;Sheet1!$K$4),"High","Normal")</f>
        <v>Normal</v>
      </c>
      <c r="P873" s="1">
        <f>(Table1[[#This Row],[alcohol]]*2)+(Table1[[#This Row],[sulphates]]*1.5)-(Table1[[#This Row],[volatile acidity]]*2)</f>
        <v>20.934999999999999</v>
      </c>
      <c r="Q873" s="1">
        <f>RANK(Table1[[#This Row],[Quality_score_index]],Table1[Quality_score_index],0)</f>
        <v>667</v>
      </c>
      <c r="R873" s="1">
        <f>Table1[[#This Row],[total sulfur dioxide]]-Table1[[#This Row],[free sulfur dioxide]]</f>
        <v>10</v>
      </c>
      <c r="S873" s="1" t="str">
        <f>IF(AND(Table1[[#This Row],[pH]]&gt;=3.2,Table1[[#This Row],[alcohol]]&gt;=10),"White wine","Red wine")</f>
        <v>White wine</v>
      </c>
    </row>
    <row r="874" spans="1:19" x14ac:dyDescent="0.3">
      <c r="A874" s="13">
        <v>873</v>
      </c>
      <c r="B874" s="1">
        <v>7.3</v>
      </c>
      <c r="C874" s="1">
        <v>0.35</v>
      </c>
      <c r="D874" s="1">
        <v>0.24</v>
      </c>
      <c r="E874" s="1">
        <v>2</v>
      </c>
      <c r="F874" s="1">
        <v>6.7000000000000004E-2</v>
      </c>
      <c r="G874" s="1">
        <v>28</v>
      </c>
      <c r="H874" s="1">
        <v>48</v>
      </c>
      <c r="I874" s="1">
        <v>0.99575999999999998</v>
      </c>
      <c r="J874" s="1">
        <v>3.43</v>
      </c>
      <c r="K874" s="1">
        <v>0.54</v>
      </c>
      <c r="L874" s="1">
        <v>10</v>
      </c>
      <c r="M874" s="2">
        <v>4</v>
      </c>
      <c r="N874" s="2" t="str" cm="1">
        <f t="array" ref="N874">_xlfn.IFS(Table1[[#This Row],[quality]]&lt;=4,"Low",Table1[[#This Row],[quality]]&lt;=6,"Medium",Table1[[#This Row],[quality]]&gt;=7,"High")</f>
        <v>Low</v>
      </c>
      <c r="O874" s="2" t="str">
        <f>IF(AND(Table1[[#This Row],[fixed acidity]]&gt;Sheet1!$C$4,Table1[[#This Row],[pH]]&lt;Sheet1!$K$4),"High","Normal")</f>
        <v>Normal</v>
      </c>
      <c r="P874" s="1">
        <f>(Table1[[#This Row],[alcohol]]*2)+(Table1[[#This Row],[sulphates]]*1.5)-(Table1[[#This Row],[volatile acidity]]*2)</f>
        <v>20.11</v>
      </c>
      <c r="Q874" s="1">
        <f>RANK(Table1[[#This Row],[Quality_score_index]],Table1[Quality_score_index],0)</f>
        <v>836</v>
      </c>
      <c r="R874" s="1">
        <f>Table1[[#This Row],[total sulfur dioxide]]-Table1[[#This Row],[free sulfur dioxide]]</f>
        <v>20</v>
      </c>
      <c r="S874" s="1" t="str">
        <f>IF(AND(Table1[[#This Row],[pH]]&gt;=3.2,Table1[[#This Row],[alcohol]]&gt;=10),"White wine","Red wine")</f>
        <v>White wine</v>
      </c>
    </row>
    <row r="875" spans="1:19" x14ac:dyDescent="0.3">
      <c r="A875" s="13">
        <v>874</v>
      </c>
      <c r="B875" s="1">
        <v>9.1</v>
      </c>
      <c r="C875" s="1">
        <v>0.21</v>
      </c>
      <c r="D875" s="1">
        <v>0.37</v>
      </c>
      <c r="E875" s="1">
        <v>1.6</v>
      </c>
      <c r="F875" s="1">
        <v>6.7000000000000004E-2</v>
      </c>
      <c r="G875" s="1">
        <v>6</v>
      </c>
      <c r="H875" s="1">
        <v>10</v>
      </c>
      <c r="I875" s="1">
        <v>0.99551999999999996</v>
      </c>
      <c r="J875" s="1">
        <v>3.23</v>
      </c>
      <c r="K875" s="1">
        <v>0.57999999999999996</v>
      </c>
      <c r="L875" s="1">
        <v>11.1</v>
      </c>
      <c r="M875" s="2">
        <v>7</v>
      </c>
      <c r="N875" s="2" t="str" cm="1">
        <f t="array" ref="N875">_xlfn.IFS(Table1[[#This Row],[quality]]&lt;=4,"Low",Table1[[#This Row],[quality]]&lt;=6,"Medium",Table1[[#This Row],[quality]]&gt;=7,"High")</f>
        <v>High</v>
      </c>
      <c r="O875" s="2" t="str">
        <f>IF(AND(Table1[[#This Row],[fixed acidity]]&gt;Sheet1!$C$4,Table1[[#This Row],[pH]]&lt;Sheet1!$K$4),"High","Normal")</f>
        <v>High</v>
      </c>
      <c r="P875" s="1">
        <f>(Table1[[#This Row],[alcohol]]*2)+(Table1[[#This Row],[sulphates]]*1.5)-(Table1[[#This Row],[volatile acidity]]*2)</f>
        <v>22.65</v>
      </c>
      <c r="Q875" s="1">
        <f>RANK(Table1[[#This Row],[Quality_score_index]],Table1[Quality_score_index],0)</f>
        <v>337</v>
      </c>
      <c r="R875" s="1">
        <f>Table1[[#This Row],[total sulfur dioxide]]-Table1[[#This Row],[free sulfur dioxide]]</f>
        <v>4</v>
      </c>
      <c r="S875" s="1" t="str">
        <f>IF(AND(Table1[[#This Row],[pH]]&gt;=3.2,Table1[[#This Row],[alcohol]]&gt;=10),"White wine","Red wine")</f>
        <v>White wine</v>
      </c>
    </row>
    <row r="876" spans="1:19" x14ac:dyDescent="0.3">
      <c r="A876" s="13">
        <v>875</v>
      </c>
      <c r="B876" s="1">
        <v>10.4</v>
      </c>
      <c r="C876" s="1">
        <v>0.38</v>
      </c>
      <c r="D876" s="1">
        <v>0.46</v>
      </c>
      <c r="E876" s="1">
        <v>2.1</v>
      </c>
      <c r="F876" s="1">
        <v>0.104</v>
      </c>
      <c r="G876" s="1">
        <v>6</v>
      </c>
      <c r="H876" s="1">
        <v>10</v>
      </c>
      <c r="I876" s="1">
        <v>0.99663999999999997</v>
      </c>
      <c r="J876" s="1">
        <v>3.12</v>
      </c>
      <c r="K876" s="1">
        <v>0.65</v>
      </c>
      <c r="L876" s="1">
        <v>11.8</v>
      </c>
      <c r="M876" s="2">
        <v>7</v>
      </c>
      <c r="N876" s="2" t="str" cm="1">
        <f t="array" ref="N876">_xlfn.IFS(Table1[[#This Row],[quality]]&lt;=4,"Low",Table1[[#This Row],[quality]]&lt;=6,"Medium",Table1[[#This Row],[quality]]&gt;=7,"High")</f>
        <v>High</v>
      </c>
      <c r="O876" s="2" t="str">
        <f>IF(AND(Table1[[#This Row],[fixed acidity]]&gt;Sheet1!$C$4,Table1[[#This Row],[pH]]&lt;Sheet1!$K$4),"High","Normal")</f>
        <v>High</v>
      </c>
      <c r="P876" s="1">
        <f>(Table1[[#This Row],[alcohol]]*2)+(Table1[[#This Row],[sulphates]]*1.5)-(Table1[[#This Row],[volatile acidity]]*2)</f>
        <v>23.815000000000001</v>
      </c>
      <c r="Q876" s="1">
        <f>RANK(Table1[[#This Row],[Quality_score_index]],Table1[Quality_score_index],0)</f>
        <v>193</v>
      </c>
      <c r="R876" s="1">
        <f>Table1[[#This Row],[total sulfur dioxide]]-Table1[[#This Row],[free sulfur dioxide]]</f>
        <v>4</v>
      </c>
      <c r="S876" s="1" t="str">
        <f>IF(AND(Table1[[#This Row],[pH]]&gt;=3.2,Table1[[#This Row],[alcohol]]&gt;=10),"White wine","Red wine")</f>
        <v>Red wine</v>
      </c>
    </row>
    <row r="877" spans="1:19" x14ac:dyDescent="0.3">
      <c r="A877" s="13">
        <v>876</v>
      </c>
      <c r="B877" s="1">
        <v>8.8000000000000007</v>
      </c>
      <c r="C877" s="1">
        <v>0.31</v>
      </c>
      <c r="D877" s="1">
        <v>0.4</v>
      </c>
      <c r="E877" s="1">
        <v>2.8</v>
      </c>
      <c r="F877" s="1">
        <v>0.109</v>
      </c>
      <c r="G877" s="1">
        <v>7</v>
      </c>
      <c r="H877" s="1">
        <v>16</v>
      </c>
      <c r="I877" s="1">
        <v>0.99614000000000003</v>
      </c>
      <c r="J877" s="1">
        <v>3.31</v>
      </c>
      <c r="K877" s="1">
        <v>0.79</v>
      </c>
      <c r="L877" s="1">
        <v>11.8</v>
      </c>
      <c r="M877" s="2">
        <v>7</v>
      </c>
      <c r="N877" s="2" t="str" cm="1">
        <f t="array" ref="N877">_xlfn.IFS(Table1[[#This Row],[quality]]&lt;=4,"Low",Table1[[#This Row],[quality]]&lt;=6,"Medium",Table1[[#This Row],[quality]]&gt;=7,"High")</f>
        <v>High</v>
      </c>
      <c r="O877" s="2" t="str">
        <f>IF(AND(Table1[[#This Row],[fixed acidity]]&gt;Sheet1!$C$4,Table1[[#This Row],[pH]]&lt;Sheet1!$K$4),"High","Normal")</f>
        <v>High</v>
      </c>
      <c r="P877" s="1">
        <f>(Table1[[#This Row],[alcohol]]*2)+(Table1[[#This Row],[sulphates]]*1.5)-(Table1[[#This Row],[volatile acidity]]*2)</f>
        <v>24.164999999999999</v>
      </c>
      <c r="Q877" s="1">
        <f>RANK(Table1[[#This Row],[Quality_score_index]],Table1[Quality_score_index],0)</f>
        <v>160</v>
      </c>
      <c r="R877" s="1">
        <f>Table1[[#This Row],[total sulfur dioxide]]-Table1[[#This Row],[free sulfur dioxide]]</f>
        <v>9</v>
      </c>
      <c r="S877" s="1" t="str">
        <f>IF(AND(Table1[[#This Row],[pH]]&gt;=3.2,Table1[[#This Row],[alcohol]]&gt;=10),"White wine","Red wine")</f>
        <v>White wine</v>
      </c>
    </row>
    <row r="878" spans="1:19" x14ac:dyDescent="0.3">
      <c r="A878" s="13">
        <v>877</v>
      </c>
      <c r="B878" s="1">
        <v>7.1</v>
      </c>
      <c r="C878" s="1">
        <v>0.47</v>
      </c>
      <c r="D878" s="1">
        <v>0</v>
      </c>
      <c r="E878" s="1">
        <v>2.2000000000000002</v>
      </c>
      <c r="F878" s="1">
        <v>6.7000000000000004E-2</v>
      </c>
      <c r="G878" s="1">
        <v>7</v>
      </c>
      <c r="H878" s="1">
        <v>14</v>
      </c>
      <c r="I878" s="1">
        <v>0.99517</v>
      </c>
      <c r="J878" s="1">
        <v>3.4</v>
      </c>
      <c r="K878" s="1">
        <v>0.57999999999999996</v>
      </c>
      <c r="L878" s="1">
        <v>10.9</v>
      </c>
      <c r="M878" s="2">
        <v>4</v>
      </c>
      <c r="N878" s="2" t="str" cm="1">
        <f t="array" ref="N878">_xlfn.IFS(Table1[[#This Row],[quality]]&lt;=4,"Low",Table1[[#This Row],[quality]]&lt;=6,"Medium",Table1[[#This Row],[quality]]&gt;=7,"High")</f>
        <v>Low</v>
      </c>
      <c r="O878" s="2" t="str">
        <f>IF(AND(Table1[[#This Row],[fixed acidity]]&gt;Sheet1!$C$4,Table1[[#This Row],[pH]]&lt;Sheet1!$K$4),"High","Normal")</f>
        <v>Normal</v>
      </c>
      <c r="P878" s="1">
        <f>(Table1[[#This Row],[alcohol]]*2)+(Table1[[#This Row],[sulphates]]*1.5)-(Table1[[#This Row],[volatile acidity]]*2)</f>
        <v>21.73</v>
      </c>
      <c r="Q878" s="1">
        <f>RANK(Table1[[#This Row],[Quality_score_index]],Table1[Quality_score_index],0)</f>
        <v>500</v>
      </c>
      <c r="R878" s="1">
        <f>Table1[[#This Row],[total sulfur dioxide]]-Table1[[#This Row],[free sulfur dioxide]]</f>
        <v>7</v>
      </c>
      <c r="S878" s="1" t="str">
        <f>IF(AND(Table1[[#This Row],[pH]]&gt;=3.2,Table1[[#This Row],[alcohol]]&gt;=10),"White wine","Red wine")</f>
        <v>White wine</v>
      </c>
    </row>
    <row r="879" spans="1:19" x14ac:dyDescent="0.3">
      <c r="A879" s="13">
        <v>878</v>
      </c>
      <c r="B879" s="1">
        <v>7.7</v>
      </c>
      <c r="C879" s="1">
        <v>0.71499999999999997</v>
      </c>
      <c r="D879" s="1">
        <v>0.01</v>
      </c>
      <c r="E879" s="1">
        <v>2.1</v>
      </c>
      <c r="F879" s="1">
        <v>6.4000000000000001E-2</v>
      </c>
      <c r="G879" s="1">
        <v>31</v>
      </c>
      <c r="H879" s="1">
        <v>43</v>
      </c>
      <c r="I879" s="1">
        <v>0.99370999999999998</v>
      </c>
      <c r="J879" s="1">
        <v>3.41</v>
      </c>
      <c r="K879" s="1">
        <v>0.56999999999999995</v>
      </c>
      <c r="L879" s="1">
        <v>11.8</v>
      </c>
      <c r="M879" s="2">
        <v>6</v>
      </c>
      <c r="N879" s="2" t="str" cm="1">
        <f t="array" ref="N879">_xlfn.IFS(Table1[[#This Row],[quality]]&lt;=4,"Low",Table1[[#This Row],[quality]]&lt;=6,"Medium",Table1[[#This Row],[quality]]&gt;=7,"High")</f>
        <v>Medium</v>
      </c>
      <c r="O879" s="2" t="str">
        <f>IF(AND(Table1[[#This Row],[fixed acidity]]&gt;Sheet1!$C$4,Table1[[#This Row],[pH]]&lt;Sheet1!$K$4),"High","Normal")</f>
        <v>Normal</v>
      </c>
      <c r="P879" s="1">
        <f>(Table1[[#This Row],[alcohol]]*2)+(Table1[[#This Row],[sulphates]]*1.5)-(Table1[[#This Row],[volatile acidity]]*2)</f>
        <v>23.025000000000002</v>
      </c>
      <c r="Q879" s="1">
        <f>RANK(Table1[[#This Row],[Quality_score_index]],Table1[Quality_score_index],0)</f>
        <v>265</v>
      </c>
      <c r="R879" s="1">
        <f>Table1[[#This Row],[total sulfur dioxide]]-Table1[[#This Row],[free sulfur dioxide]]</f>
        <v>12</v>
      </c>
      <c r="S879" s="1" t="str">
        <f>IF(AND(Table1[[#This Row],[pH]]&gt;=3.2,Table1[[#This Row],[alcohol]]&gt;=10),"White wine","Red wine")</f>
        <v>White wine</v>
      </c>
    </row>
    <row r="880" spans="1:19" x14ac:dyDescent="0.3">
      <c r="A880" s="13">
        <v>879</v>
      </c>
      <c r="B880" s="1">
        <v>8.8000000000000007</v>
      </c>
      <c r="C880" s="1">
        <v>0.61</v>
      </c>
      <c r="D880" s="1">
        <v>0.19</v>
      </c>
      <c r="E880" s="1">
        <v>4</v>
      </c>
      <c r="F880" s="1">
        <v>9.4E-2</v>
      </c>
      <c r="G880" s="1">
        <v>30</v>
      </c>
      <c r="H880" s="1">
        <v>69</v>
      </c>
      <c r="I880" s="1">
        <v>0.99787000000000003</v>
      </c>
      <c r="J880" s="1">
        <v>3.22</v>
      </c>
      <c r="K880" s="1">
        <v>0.5</v>
      </c>
      <c r="L880" s="1">
        <v>10</v>
      </c>
      <c r="M880" s="2">
        <v>6</v>
      </c>
      <c r="N880" s="2" t="str" cm="1">
        <f t="array" ref="N880">_xlfn.IFS(Table1[[#This Row],[quality]]&lt;=4,"Low",Table1[[#This Row],[quality]]&lt;=6,"Medium",Table1[[#This Row],[quality]]&gt;=7,"High")</f>
        <v>Medium</v>
      </c>
      <c r="O880" s="2" t="str">
        <f>IF(AND(Table1[[#This Row],[fixed acidity]]&gt;Sheet1!$C$4,Table1[[#This Row],[pH]]&lt;Sheet1!$K$4),"High","Normal")</f>
        <v>High</v>
      </c>
      <c r="P880" s="1">
        <f>(Table1[[#This Row],[alcohol]]*2)+(Table1[[#This Row],[sulphates]]*1.5)-(Table1[[#This Row],[volatile acidity]]*2)</f>
        <v>19.53</v>
      </c>
      <c r="Q880" s="1">
        <f>RANK(Table1[[#This Row],[Quality_score_index]],Table1[Quality_score_index],0)</f>
        <v>967</v>
      </c>
      <c r="R880" s="1">
        <f>Table1[[#This Row],[total sulfur dioxide]]-Table1[[#This Row],[free sulfur dioxide]]</f>
        <v>39</v>
      </c>
      <c r="S880" s="1" t="str">
        <f>IF(AND(Table1[[#This Row],[pH]]&gt;=3.2,Table1[[#This Row],[alcohol]]&gt;=10),"White wine","Red wine")</f>
        <v>White wine</v>
      </c>
    </row>
    <row r="881" spans="1:19" x14ac:dyDescent="0.3">
      <c r="A881" s="13">
        <v>880</v>
      </c>
      <c r="B881" s="1">
        <v>7.2</v>
      </c>
      <c r="C881" s="1">
        <v>0.6</v>
      </c>
      <c r="D881" s="1">
        <v>0.04</v>
      </c>
      <c r="E881" s="1">
        <v>2.5</v>
      </c>
      <c r="F881" s="1">
        <v>7.5999999999999998E-2</v>
      </c>
      <c r="G881" s="1">
        <v>18</v>
      </c>
      <c r="H881" s="1">
        <v>88</v>
      </c>
      <c r="I881" s="1">
        <v>0.99744999999999995</v>
      </c>
      <c r="J881" s="1">
        <v>3.53</v>
      </c>
      <c r="K881" s="1">
        <v>0.55000000000000004</v>
      </c>
      <c r="L881" s="1">
        <v>9.5</v>
      </c>
      <c r="M881" s="2">
        <v>5</v>
      </c>
      <c r="N881" s="2" t="str" cm="1">
        <f t="array" ref="N881">_xlfn.IFS(Table1[[#This Row],[quality]]&lt;=4,"Low",Table1[[#This Row],[quality]]&lt;=6,"Medium",Table1[[#This Row],[quality]]&gt;=7,"High")</f>
        <v>Medium</v>
      </c>
      <c r="O881" s="2" t="str">
        <f>IF(AND(Table1[[#This Row],[fixed acidity]]&gt;Sheet1!$C$4,Table1[[#This Row],[pH]]&lt;Sheet1!$K$4),"High","Normal")</f>
        <v>Normal</v>
      </c>
      <c r="P881" s="1">
        <f>(Table1[[#This Row],[alcohol]]*2)+(Table1[[#This Row],[sulphates]]*1.5)-(Table1[[#This Row],[volatile acidity]]*2)</f>
        <v>18.625</v>
      </c>
      <c r="Q881" s="1">
        <f>RANK(Table1[[#This Row],[Quality_score_index]],Table1[Quality_score_index],0)</f>
        <v>1334</v>
      </c>
      <c r="R881" s="1">
        <f>Table1[[#This Row],[total sulfur dioxide]]-Table1[[#This Row],[free sulfur dioxide]]</f>
        <v>70</v>
      </c>
      <c r="S881" s="1" t="str">
        <f>IF(AND(Table1[[#This Row],[pH]]&gt;=3.2,Table1[[#This Row],[alcohol]]&gt;=10),"White wine","Red wine")</f>
        <v>Red wine</v>
      </c>
    </row>
    <row r="882" spans="1:19" x14ac:dyDescent="0.3">
      <c r="A882" s="13">
        <v>881</v>
      </c>
      <c r="B882" s="1">
        <v>9.1999999999999993</v>
      </c>
      <c r="C882" s="1">
        <v>0.56000000000000005</v>
      </c>
      <c r="D882" s="1">
        <v>0.18</v>
      </c>
      <c r="E882" s="1">
        <v>1.6</v>
      </c>
      <c r="F882" s="1">
        <v>7.8E-2</v>
      </c>
      <c r="G882" s="1">
        <v>10</v>
      </c>
      <c r="H882" s="1">
        <v>21</v>
      </c>
      <c r="I882" s="1">
        <v>0.99575999999999998</v>
      </c>
      <c r="J882" s="1">
        <v>3.15</v>
      </c>
      <c r="K882" s="1">
        <v>0.49</v>
      </c>
      <c r="L882" s="1">
        <v>9.9</v>
      </c>
      <c r="M882" s="2">
        <v>5</v>
      </c>
      <c r="N882" s="2" t="str" cm="1">
        <f t="array" ref="N882">_xlfn.IFS(Table1[[#This Row],[quality]]&lt;=4,"Low",Table1[[#This Row],[quality]]&lt;=6,"Medium",Table1[[#This Row],[quality]]&gt;=7,"High")</f>
        <v>Medium</v>
      </c>
      <c r="O882" s="2" t="str">
        <f>IF(AND(Table1[[#This Row],[fixed acidity]]&gt;Sheet1!$C$4,Table1[[#This Row],[pH]]&lt;Sheet1!$K$4),"High","Normal")</f>
        <v>High</v>
      </c>
      <c r="P882" s="1">
        <f>(Table1[[#This Row],[alcohol]]*2)+(Table1[[#This Row],[sulphates]]*1.5)-(Table1[[#This Row],[volatile acidity]]*2)</f>
        <v>19.414999999999999</v>
      </c>
      <c r="Q882" s="1">
        <f>RANK(Table1[[#This Row],[Quality_score_index]],Table1[Quality_score_index],0)</f>
        <v>1000</v>
      </c>
      <c r="R882" s="1">
        <f>Table1[[#This Row],[total sulfur dioxide]]-Table1[[#This Row],[free sulfur dioxide]]</f>
        <v>11</v>
      </c>
      <c r="S882" s="1" t="str">
        <f>IF(AND(Table1[[#This Row],[pH]]&gt;=3.2,Table1[[#This Row],[alcohol]]&gt;=10),"White wine","Red wine")</f>
        <v>Red wine</v>
      </c>
    </row>
    <row r="883" spans="1:19" x14ac:dyDescent="0.3">
      <c r="A883" s="13">
        <v>882</v>
      </c>
      <c r="B883" s="1">
        <v>7.6</v>
      </c>
      <c r="C883" s="1">
        <v>0.71499999999999997</v>
      </c>
      <c r="D883" s="1">
        <v>0</v>
      </c>
      <c r="E883" s="1">
        <v>2.1</v>
      </c>
      <c r="F883" s="1">
        <v>6.8000000000000005E-2</v>
      </c>
      <c r="G883" s="1">
        <v>30</v>
      </c>
      <c r="H883" s="1">
        <v>35</v>
      </c>
      <c r="I883" s="1">
        <v>0.99533000000000005</v>
      </c>
      <c r="J883" s="1">
        <v>3.48</v>
      </c>
      <c r="K883" s="1">
        <v>0.65</v>
      </c>
      <c r="L883" s="1">
        <v>11.4</v>
      </c>
      <c r="M883" s="2">
        <v>6</v>
      </c>
      <c r="N883" s="2" t="str" cm="1">
        <f t="array" ref="N883">_xlfn.IFS(Table1[[#This Row],[quality]]&lt;=4,"Low",Table1[[#This Row],[quality]]&lt;=6,"Medium",Table1[[#This Row],[quality]]&gt;=7,"High")</f>
        <v>Medium</v>
      </c>
      <c r="O883" s="2" t="str">
        <f>IF(AND(Table1[[#This Row],[fixed acidity]]&gt;Sheet1!$C$4,Table1[[#This Row],[pH]]&lt;Sheet1!$K$4),"High","Normal")</f>
        <v>Normal</v>
      </c>
      <c r="P883" s="1">
        <f>(Table1[[#This Row],[alcohol]]*2)+(Table1[[#This Row],[sulphates]]*1.5)-(Table1[[#This Row],[volatile acidity]]*2)</f>
        <v>22.345000000000002</v>
      </c>
      <c r="Q883" s="1">
        <f>RANK(Table1[[#This Row],[Quality_score_index]],Table1[Quality_score_index],0)</f>
        <v>401</v>
      </c>
      <c r="R883" s="1">
        <f>Table1[[#This Row],[total sulfur dioxide]]-Table1[[#This Row],[free sulfur dioxide]]</f>
        <v>5</v>
      </c>
      <c r="S883" s="1" t="str">
        <f>IF(AND(Table1[[#This Row],[pH]]&gt;=3.2,Table1[[#This Row],[alcohol]]&gt;=10),"White wine","Red wine")</f>
        <v>White wine</v>
      </c>
    </row>
    <row r="884" spans="1:19" x14ac:dyDescent="0.3">
      <c r="A884" s="13">
        <v>883</v>
      </c>
      <c r="B884" s="1">
        <v>8.4</v>
      </c>
      <c r="C884" s="1">
        <v>0.31</v>
      </c>
      <c r="D884" s="1">
        <v>0.28999999999999998</v>
      </c>
      <c r="E884" s="1">
        <v>3.1</v>
      </c>
      <c r="F884" s="1">
        <v>0.19400000000000001</v>
      </c>
      <c r="G884" s="1">
        <v>14</v>
      </c>
      <c r="H884" s="1">
        <v>26</v>
      </c>
      <c r="I884" s="1">
        <v>0.99536000000000002</v>
      </c>
      <c r="J884" s="1">
        <v>3.22</v>
      </c>
      <c r="K884" s="1">
        <v>0.78</v>
      </c>
      <c r="L884" s="1">
        <v>12</v>
      </c>
      <c r="M884" s="2">
        <v>6</v>
      </c>
      <c r="N884" s="2" t="str" cm="1">
        <f t="array" ref="N884">_xlfn.IFS(Table1[[#This Row],[quality]]&lt;=4,"Low",Table1[[#This Row],[quality]]&lt;=6,"Medium",Table1[[#This Row],[quality]]&gt;=7,"High")</f>
        <v>Medium</v>
      </c>
      <c r="O884" s="2" t="str">
        <f>IF(AND(Table1[[#This Row],[fixed acidity]]&gt;Sheet1!$C$4,Table1[[#This Row],[pH]]&lt;Sheet1!$K$4),"High","Normal")</f>
        <v>High</v>
      </c>
      <c r="P884" s="1">
        <f>(Table1[[#This Row],[alcohol]]*2)+(Table1[[#This Row],[sulphates]]*1.5)-(Table1[[#This Row],[volatile acidity]]*2)</f>
        <v>24.55</v>
      </c>
      <c r="Q884" s="1">
        <f>RANK(Table1[[#This Row],[Quality_score_index]],Table1[Quality_score_index],0)</f>
        <v>124</v>
      </c>
      <c r="R884" s="1">
        <f>Table1[[#This Row],[total sulfur dioxide]]-Table1[[#This Row],[free sulfur dioxide]]</f>
        <v>12</v>
      </c>
      <c r="S884" s="1" t="str">
        <f>IF(AND(Table1[[#This Row],[pH]]&gt;=3.2,Table1[[#This Row],[alcohol]]&gt;=10),"White wine","Red wine")</f>
        <v>White wine</v>
      </c>
    </row>
    <row r="885" spans="1:19" x14ac:dyDescent="0.3">
      <c r="A885" s="13">
        <v>884</v>
      </c>
      <c r="B885" s="1">
        <v>7.2</v>
      </c>
      <c r="C885" s="1">
        <v>0.6</v>
      </c>
      <c r="D885" s="1">
        <v>0.04</v>
      </c>
      <c r="E885" s="1">
        <v>2.5</v>
      </c>
      <c r="F885" s="1">
        <v>7.5999999999999998E-2</v>
      </c>
      <c r="G885" s="1">
        <v>18</v>
      </c>
      <c r="H885" s="1">
        <v>88</v>
      </c>
      <c r="I885" s="1">
        <v>0.99744999999999995</v>
      </c>
      <c r="J885" s="1">
        <v>3.53</v>
      </c>
      <c r="K885" s="1">
        <v>0.55000000000000004</v>
      </c>
      <c r="L885" s="1">
        <v>9.5</v>
      </c>
      <c r="M885" s="2">
        <v>5</v>
      </c>
      <c r="N885" s="2" t="str" cm="1">
        <f t="array" ref="N885">_xlfn.IFS(Table1[[#This Row],[quality]]&lt;=4,"Low",Table1[[#This Row],[quality]]&lt;=6,"Medium",Table1[[#This Row],[quality]]&gt;=7,"High")</f>
        <v>Medium</v>
      </c>
      <c r="O885" s="2" t="str">
        <f>IF(AND(Table1[[#This Row],[fixed acidity]]&gt;Sheet1!$C$4,Table1[[#This Row],[pH]]&lt;Sheet1!$K$4),"High","Normal")</f>
        <v>Normal</v>
      </c>
      <c r="P885" s="1">
        <f>(Table1[[#This Row],[alcohol]]*2)+(Table1[[#This Row],[sulphates]]*1.5)-(Table1[[#This Row],[volatile acidity]]*2)</f>
        <v>18.625</v>
      </c>
      <c r="Q885" s="1">
        <f>RANK(Table1[[#This Row],[Quality_score_index]],Table1[Quality_score_index],0)</f>
        <v>1334</v>
      </c>
      <c r="R885" s="1">
        <f>Table1[[#This Row],[total sulfur dioxide]]-Table1[[#This Row],[free sulfur dioxide]]</f>
        <v>70</v>
      </c>
      <c r="S885" s="1" t="str">
        <f>IF(AND(Table1[[#This Row],[pH]]&gt;=3.2,Table1[[#This Row],[alcohol]]&gt;=10),"White wine","Red wine")</f>
        <v>Red wine</v>
      </c>
    </row>
    <row r="886" spans="1:19" x14ac:dyDescent="0.3">
      <c r="A886" s="13">
        <v>885</v>
      </c>
      <c r="B886" s="1">
        <v>8.8000000000000007</v>
      </c>
      <c r="C886" s="1">
        <v>0.61</v>
      </c>
      <c r="D886" s="1">
        <v>0.19</v>
      </c>
      <c r="E886" s="1">
        <v>4</v>
      </c>
      <c r="F886" s="1">
        <v>9.4E-2</v>
      </c>
      <c r="G886" s="1">
        <v>30</v>
      </c>
      <c r="H886" s="1">
        <v>69</v>
      </c>
      <c r="I886" s="1">
        <v>0.99787000000000003</v>
      </c>
      <c r="J886" s="1">
        <v>3.22</v>
      </c>
      <c r="K886" s="1">
        <v>0.5</v>
      </c>
      <c r="L886" s="1">
        <v>10</v>
      </c>
      <c r="M886" s="2">
        <v>6</v>
      </c>
      <c r="N886" s="2" t="str" cm="1">
        <f t="array" ref="N886">_xlfn.IFS(Table1[[#This Row],[quality]]&lt;=4,"Low",Table1[[#This Row],[quality]]&lt;=6,"Medium",Table1[[#This Row],[quality]]&gt;=7,"High")</f>
        <v>Medium</v>
      </c>
      <c r="O886" s="2" t="str">
        <f>IF(AND(Table1[[#This Row],[fixed acidity]]&gt;Sheet1!$C$4,Table1[[#This Row],[pH]]&lt;Sheet1!$K$4),"High","Normal")</f>
        <v>High</v>
      </c>
      <c r="P886" s="1">
        <f>(Table1[[#This Row],[alcohol]]*2)+(Table1[[#This Row],[sulphates]]*1.5)-(Table1[[#This Row],[volatile acidity]]*2)</f>
        <v>19.53</v>
      </c>
      <c r="Q886" s="1">
        <f>RANK(Table1[[#This Row],[Quality_score_index]],Table1[Quality_score_index],0)</f>
        <v>967</v>
      </c>
      <c r="R886" s="1">
        <f>Table1[[#This Row],[total sulfur dioxide]]-Table1[[#This Row],[free sulfur dioxide]]</f>
        <v>39</v>
      </c>
      <c r="S886" s="1" t="str">
        <f>IF(AND(Table1[[#This Row],[pH]]&gt;=3.2,Table1[[#This Row],[alcohol]]&gt;=10),"White wine","Red wine")</f>
        <v>White wine</v>
      </c>
    </row>
    <row r="887" spans="1:19" x14ac:dyDescent="0.3">
      <c r="A887" s="13">
        <v>886</v>
      </c>
      <c r="B887" s="1">
        <v>8.9</v>
      </c>
      <c r="C887" s="1">
        <v>0.75</v>
      </c>
      <c r="D887" s="1">
        <v>0.14000000000000001</v>
      </c>
      <c r="E887" s="1">
        <v>2.5</v>
      </c>
      <c r="F887" s="1">
        <v>8.5999999999999993E-2</v>
      </c>
      <c r="G887" s="1">
        <v>9</v>
      </c>
      <c r="H887" s="1">
        <v>30</v>
      </c>
      <c r="I887" s="1">
        <v>0.99824000000000002</v>
      </c>
      <c r="J887" s="1">
        <v>3.34</v>
      </c>
      <c r="K887" s="1">
        <v>0.64</v>
      </c>
      <c r="L887" s="1">
        <v>10.5</v>
      </c>
      <c r="M887" s="2">
        <v>5</v>
      </c>
      <c r="N887" s="2" t="str" cm="1">
        <f t="array" ref="N887">_xlfn.IFS(Table1[[#This Row],[quality]]&lt;=4,"Low",Table1[[#This Row],[quality]]&lt;=6,"Medium",Table1[[#This Row],[quality]]&gt;=7,"High")</f>
        <v>Medium</v>
      </c>
      <c r="O887" s="2" t="str">
        <f>IF(AND(Table1[[#This Row],[fixed acidity]]&gt;Sheet1!$C$4,Table1[[#This Row],[pH]]&lt;Sheet1!$K$4),"High","Normal")</f>
        <v>Normal</v>
      </c>
      <c r="P887" s="1">
        <f>(Table1[[#This Row],[alcohol]]*2)+(Table1[[#This Row],[sulphates]]*1.5)-(Table1[[#This Row],[volatile acidity]]*2)</f>
        <v>20.46</v>
      </c>
      <c r="Q887" s="1">
        <f>RANK(Table1[[#This Row],[Quality_score_index]],Table1[Quality_score_index],0)</f>
        <v>759</v>
      </c>
      <c r="R887" s="1">
        <f>Table1[[#This Row],[total sulfur dioxide]]-Table1[[#This Row],[free sulfur dioxide]]</f>
        <v>21</v>
      </c>
      <c r="S887" s="1" t="str">
        <f>IF(AND(Table1[[#This Row],[pH]]&gt;=3.2,Table1[[#This Row],[alcohol]]&gt;=10),"White wine","Red wine")</f>
        <v>White wine</v>
      </c>
    </row>
    <row r="888" spans="1:19" x14ac:dyDescent="0.3">
      <c r="A888" s="13">
        <v>887</v>
      </c>
      <c r="B888" s="1">
        <v>9</v>
      </c>
      <c r="C888" s="1">
        <v>0.8</v>
      </c>
      <c r="D888" s="1">
        <v>0.12</v>
      </c>
      <c r="E888" s="1">
        <v>2.4</v>
      </c>
      <c r="F888" s="1">
        <v>8.3000000000000004E-2</v>
      </c>
      <c r="G888" s="1">
        <v>8</v>
      </c>
      <c r="H888" s="1">
        <v>28</v>
      </c>
      <c r="I888" s="1">
        <v>0.99836000000000003</v>
      </c>
      <c r="J888" s="1">
        <v>3.33</v>
      </c>
      <c r="K888" s="1">
        <v>0.65</v>
      </c>
      <c r="L888" s="1">
        <v>10.4</v>
      </c>
      <c r="M888" s="2">
        <v>6</v>
      </c>
      <c r="N888" s="2" t="str" cm="1">
        <f t="array" ref="N888">_xlfn.IFS(Table1[[#This Row],[quality]]&lt;=4,"Low",Table1[[#This Row],[quality]]&lt;=6,"Medium",Table1[[#This Row],[quality]]&gt;=7,"High")</f>
        <v>Medium</v>
      </c>
      <c r="O888" s="2" t="str">
        <f>IF(AND(Table1[[#This Row],[fixed acidity]]&gt;Sheet1!$C$4,Table1[[#This Row],[pH]]&lt;Sheet1!$K$4),"High","Normal")</f>
        <v>Normal</v>
      </c>
      <c r="P888" s="1">
        <f>(Table1[[#This Row],[alcohol]]*2)+(Table1[[#This Row],[sulphates]]*1.5)-(Table1[[#This Row],[volatile acidity]]*2)</f>
        <v>20.175000000000001</v>
      </c>
      <c r="Q888" s="1">
        <f>RANK(Table1[[#This Row],[Quality_score_index]],Table1[Quality_score_index],0)</f>
        <v>821</v>
      </c>
      <c r="R888" s="1">
        <f>Table1[[#This Row],[total sulfur dioxide]]-Table1[[#This Row],[free sulfur dioxide]]</f>
        <v>20</v>
      </c>
      <c r="S888" s="1" t="str">
        <f>IF(AND(Table1[[#This Row],[pH]]&gt;=3.2,Table1[[#This Row],[alcohol]]&gt;=10),"White wine","Red wine")</f>
        <v>White wine</v>
      </c>
    </row>
    <row r="889" spans="1:19" x14ac:dyDescent="0.3">
      <c r="A889" s="13">
        <v>888</v>
      </c>
      <c r="B889" s="1">
        <v>10.7</v>
      </c>
      <c r="C889" s="1">
        <v>0.52</v>
      </c>
      <c r="D889" s="1">
        <v>0.38</v>
      </c>
      <c r="E889" s="1">
        <v>2.6</v>
      </c>
      <c r="F889" s="1">
        <v>6.6000000000000003E-2</v>
      </c>
      <c r="G889" s="1">
        <v>29</v>
      </c>
      <c r="H889" s="1">
        <v>56</v>
      </c>
      <c r="I889" s="1">
        <v>0.99577000000000004</v>
      </c>
      <c r="J889" s="1">
        <v>3.15</v>
      </c>
      <c r="K889" s="1">
        <v>0.79</v>
      </c>
      <c r="L889" s="1">
        <v>12.1</v>
      </c>
      <c r="M889" s="2">
        <v>7</v>
      </c>
      <c r="N889" s="2" t="str" cm="1">
        <f t="array" ref="N889">_xlfn.IFS(Table1[[#This Row],[quality]]&lt;=4,"Low",Table1[[#This Row],[quality]]&lt;=6,"Medium",Table1[[#This Row],[quality]]&gt;=7,"High")</f>
        <v>High</v>
      </c>
      <c r="O889" s="2" t="str">
        <f>IF(AND(Table1[[#This Row],[fixed acidity]]&gt;Sheet1!$C$4,Table1[[#This Row],[pH]]&lt;Sheet1!$K$4),"High","Normal")</f>
        <v>High</v>
      </c>
      <c r="P889" s="1">
        <f>(Table1[[#This Row],[alcohol]]*2)+(Table1[[#This Row],[sulphates]]*1.5)-(Table1[[#This Row],[volatile acidity]]*2)</f>
        <v>24.344999999999999</v>
      </c>
      <c r="Q889" s="1">
        <f>RANK(Table1[[#This Row],[Quality_score_index]],Table1[Quality_score_index],0)</f>
        <v>149</v>
      </c>
      <c r="R889" s="1">
        <f>Table1[[#This Row],[total sulfur dioxide]]-Table1[[#This Row],[free sulfur dioxide]]</f>
        <v>27</v>
      </c>
      <c r="S889" s="1" t="str">
        <f>IF(AND(Table1[[#This Row],[pH]]&gt;=3.2,Table1[[#This Row],[alcohol]]&gt;=10),"White wine","Red wine")</f>
        <v>Red wine</v>
      </c>
    </row>
    <row r="890" spans="1:19" x14ac:dyDescent="0.3">
      <c r="A890" s="13">
        <v>889</v>
      </c>
      <c r="B890" s="1">
        <v>6.8</v>
      </c>
      <c r="C890" s="1">
        <v>0.56999999999999995</v>
      </c>
      <c r="D890" s="1">
        <v>0</v>
      </c>
      <c r="E890" s="1">
        <v>2.5</v>
      </c>
      <c r="F890" s="1">
        <v>7.1999999999999995E-2</v>
      </c>
      <c r="G890" s="1">
        <v>32</v>
      </c>
      <c r="H890" s="1">
        <v>64</v>
      </c>
      <c r="I890" s="1">
        <v>0.99490999999999996</v>
      </c>
      <c r="J890" s="1">
        <v>3.43</v>
      </c>
      <c r="K890" s="1">
        <v>0.56000000000000005</v>
      </c>
      <c r="L890" s="1">
        <v>11.2</v>
      </c>
      <c r="M890" s="2">
        <v>6</v>
      </c>
      <c r="N890" s="2" t="str" cm="1">
        <f t="array" ref="N890">_xlfn.IFS(Table1[[#This Row],[quality]]&lt;=4,"Low",Table1[[#This Row],[quality]]&lt;=6,"Medium",Table1[[#This Row],[quality]]&gt;=7,"High")</f>
        <v>Medium</v>
      </c>
      <c r="O890" s="2" t="str">
        <f>IF(AND(Table1[[#This Row],[fixed acidity]]&gt;Sheet1!$C$4,Table1[[#This Row],[pH]]&lt;Sheet1!$K$4),"High","Normal")</f>
        <v>Normal</v>
      </c>
      <c r="P890" s="1">
        <f>(Table1[[#This Row],[alcohol]]*2)+(Table1[[#This Row],[sulphates]]*1.5)-(Table1[[#This Row],[volatile acidity]]*2)</f>
        <v>22.099999999999998</v>
      </c>
      <c r="Q890" s="1">
        <f>RANK(Table1[[#This Row],[Quality_score_index]],Table1[Quality_score_index],0)</f>
        <v>443</v>
      </c>
      <c r="R890" s="1">
        <f>Table1[[#This Row],[total sulfur dioxide]]-Table1[[#This Row],[free sulfur dioxide]]</f>
        <v>32</v>
      </c>
      <c r="S890" s="1" t="str">
        <f>IF(AND(Table1[[#This Row],[pH]]&gt;=3.2,Table1[[#This Row],[alcohol]]&gt;=10),"White wine","Red wine")</f>
        <v>White wine</v>
      </c>
    </row>
    <row r="891" spans="1:19" x14ac:dyDescent="0.3">
      <c r="A891" s="13">
        <v>890</v>
      </c>
      <c r="B891" s="1">
        <v>10.7</v>
      </c>
      <c r="C891" s="1">
        <v>0.9</v>
      </c>
      <c r="D891" s="1">
        <v>0.34</v>
      </c>
      <c r="E891" s="1">
        <v>6.6</v>
      </c>
      <c r="F891" s="1">
        <v>0.112</v>
      </c>
      <c r="G891" s="1">
        <v>23</v>
      </c>
      <c r="H891" s="1">
        <v>99</v>
      </c>
      <c r="I891" s="1">
        <v>1.0028900000000001</v>
      </c>
      <c r="J891" s="1">
        <v>3.22</v>
      </c>
      <c r="K891" s="1">
        <v>0.68</v>
      </c>
      <c r="L891" s="1">
        <v>9.3000000000000007</v>
      </c>
      <c r="M891" s="2">
        <v>5</v>
      </c>
      <c r="N891" s="2" t="str" cm="1">
        <f t="array" ref="N891">_xlfn.IFS(Table1[[#This Row],[quality]]&lt;=4,"Low",Table1[[#This Row],[quality]]&lt;=6,"Medium",Table1[[#This Row],[quality]]&gt;=7,"High")</f>
        <v>Medium</v>
      </c>
      <c r="O891" s="2" t="str">
        <f>IF(AND(Table1[[#This Row],[fixed acidity]]&gt;Sheet1!$C$4,Table1[[#This Row],[pH]]&lt;Sheet1!$K$4),"High","Normal")</f>
        <v>High</v>
      </c>
      <c r="P891" s="1">
        <f>(Table1[[#This Row],[alcohol]]*2)+(Table1[[#This Row],[sulphates]]*1.5)-(Table1[[#This Row],[volatile acidity]]*2)</f>
        <v>17.82</v>
      </c>
      <c r="Q891" s="1">
        <f>RANK(Table1[[#This Row],[Quality_score_index]],Table1[Quality_score_index],0)</f>
        <v>1551</v>
      </c>
      <c r="R891" s="1">
        <f>Table1[[#This Row],[total sulfur dioxide]]-Table1[[#This Row],[free sulfur dioxide]]</f>
        <v>76</v>
      </c>
      <c r="S891" s="1" t="str">
        <f>IF(AND(Table1[[#This Row],[pH]]&gt;=3.2,Table1[[#This Row],[alcohol]]&gt;=10),"White wine","Red wine")</f>
        <v>Red wine</v>
      </c>
    </row>
    <row r="892" spans="1:19" x14ac:dyDescent="0.3">
      <c r="A892" s="13">
        <v>891</v>
      </c>
      <c r="B892" s="1">
        <v>7.2</v>
      </c>
      <c r="C892" s="1">
        <v>0.34</v>
      </c>
      <c r="D892" s="1">
        <v>0.24</v>
      </c>
      <c r="E892" s="1">
        <v>2</v>
      </c>
      <c r="F892" s="1">
        <v>7.0999999999999994E-2</v>
      </c>
      <c r="G892" s="1">
        <v>30</v>
      </c>
      <c r="H892" s="1">
        <v>52</v>
      </c>
      <c r="I892" s="1">
        <v>0.99575999999999998</v>
      </c>
      <c r="J892" s="1">
        <v>3.44</v>
      </c>
      <c r="K892" s="1">
        <v>0.57999999999999996</v>
      </c>
      <c r="L892" s="1">
        <v>10.1</v>
      </c>
      <c r="M892" s="2">
        <v>5</v>
      </c>
      <c r="N892" s="2" t="str" cm="1">
        <f t="array" ref="N892">_xlfn.IFS(Table1[[#This Row],[quality]]&lt;=4,"Low",Table1[[#This Row],[quality]]&lt;=6,"Medium",Table1[[#This Row],[quality]]&gt;=7,"High")</f>
        <v>Medium</v>
      </c>
      <c r="O892" s="2" t="str">
        <f>IF(AND(Table1[[#This Row],[fixed acidity]]&gt;Sheet1!$C$4,Table1[[#This Row],[pH]]&lt;Sheet1!$K$4),"High","Normal")</f>
        <v>Normal</v>
      </c>
      <c r="P892" s="1">
        <f>(Table1[[#This Row],[alcohol]]*2)+(Table1[[#This Row],[sulphates]]*1.5)-(Table1[[#This Row],[volatile acidity]]*2)</f>
        <v>20.39</v>
      </c>
      <c r="Q892" s="1">
        <f>RANK(Table1[[#This Row],[Quality_score_index]],Table1[Quality_score_index],0)</f>
        <v>768</v>
      </c>
      <c r="R892" s="1">
        <f>Table1[[#This Row],[total sulfur dioxide]]-Table1[[#This Row],[free sulfur dioxide]]</f>
        <v>22</v>
      </c>
      <c r="S892" s="1" t="str">
        <f>IF(AND(Table1[[#This Row],[pH]]&gt;=3.2,Table1[[#This Row],[alcohol]]&gt;=10),"White wine","Red wine")</f>
        <v>White wine</v>
      </c>
    </row>
    <row r="893" spans="1:19" x14ac:dyDescent="0.3">
      <c r="A893" s="13">
        <v>892</v>
      </c>
      <c r="B893" s="1">
        <v>7.2</v>
      </c>
      <c r="C893" s="1">
        <v>0.66</v>
      </c>
      <c r="D893" s="1">
        <v>0.03</v>
      </c>
      <c r="E893" s="1">
        <v>2.2999999999999998</v>
      </c>
      <c r="F893" s="1">
        <v>7.8E-2</v>
      </c>
      <c r="G893" s="1">
        <v>16</v>
      </c>
      <c r="H893" s="1">
        <v>86</v>
      </c>
      <c r="I893" s="1">
        <v>0.99743000000000004</v>
      </c>
      <c r="J893" s="1">
        <v>3.53</v>
      </c>
      <c r="K893" s="1">
        <v>0.56999999999999995</v>
      </c>
      <c r="L893" s="1">
        <v>9.6999999999999993</v>
      </c>
      <c r="M893" s="2">
        <v>5</v>
      </c>
      <c r="N893" s="2" t="str" cm="1">
        <f t="array" ref="N893">_xlfn.IFS(Table1[[#This Row],[quality]]&lt;=4,"Low",Table1[[#This Row],[quality]]&lt;=6,"Medium",Table1[[#This Row],[quality]]&gt;=7,"High")</f>
        <v>Medium</v>
      </c>
      <c r="O893" s="2" t="str">
        <f>IF(AND(Table1[[#This Row],[fixed acidity]]&gt;Sheet1!$C$4,Table1[[#This Row],[pH]]&lt;Sheet1!$K$4),"High","Normal")</f>
        <v>Normal</v>
      </c>
      <c r="P893" s="1">
        <f>(Table1[[#This Row],[alcohol]]*2)+(Table1[[#This Row],[sulphates]]*1.5)-(Table1[[#This Row],[volatile acidity]]*2)</f>
        <v>18.934999999999999</v>
      </c>
      <c r="Q893" s="1">
        <f>RANK(Table1[[#This Row],[Quality_score_index]],Table1[Quality_score_index],0)</f>
        <v>1189</v>
      </c>
      <c r="R893" s="1">
        <f>Table1[[#This Row],[total sulfur dioxide]]-Table1[[#This Row],[free sulfur dioxide]]</f>
        <v>70</v>
      </c>
      <c r="S893" s="1" t="str">
        <f>IF(AND(Table1[[#This Row],[pH]]&gt;=3.2,Table1[[#This Row],[alcohol]]&gt;=10),"White wine","Red wine")</f>
        <v>Red wine</v>
      </c>
    </row>
    <row r="894" spans="1:19" x14ac:dyDescent="0.3">
      <c r="A894" s="13">
        <v>893</v>
      </c>
      <c r="B894" s="1">
        <v>10.1</v>
      </c>
      <c r="C894" s="1">
        <v>0.45</v>
      </c>
      <c r="D894" s="1">
        <v>0.23</v>
      </c>
      <c r="E894" s="1">
        <v>1.9</v>
      </c>
      <c r="F894" s="1">
        <v>8.2000000000000003E-2</v>
      </c>
      <c r="G894" s="1">
        <v>10</v>
      </c>
      <c r="H894" s="1">
        <v>18</v>
      </c>
      <c r="I894" s="1">
        <v>0.99773999999999996</v>
      </c>
      <c r="J894" s="1">
        <v>3.22</v>
      </c>
      <c r="K894" s="1">
        <v>0.65</v>
      </c>
      <c r="L894" s="1">
        <v>9.3000000000000007</v>
      </c>
      <c r="M894" s="2">
        <v>6</v>
      </c>
      <c r="N894" s="2" t="str" cm="1">
        <f t="array" ref="N894">_xlfn.IFS(Table1[[#This Row],[quality]]&lt;=4,"Low",Table1[[#This Row],[quality]]&lt;=6,"Medium",Table1[[#This Row],[quality]]&gt;=7,"High")</f>
        <v>Medium</v>
      </c>
      <c r="O894" s="2" t="str">
        <f>IF(AND(Table1[[#This Row],[fixed acidity]]&gt;Sheet1!$C$4,Table1[[#This Row],[pH]]&lt;Sheet1!$K$4),"High","Normal")</f>
        <v>High</v>
      </c>
      <c r="P894" s="1">
        <f>(Table1[[#This Row],[alcohol]]*2)+(Table1[[#This Row],[sulphates]]*1.5)-(Table1[[#This Row],[volatile acidity]]*2)</f>
        <v>18.675000000000004</v>
      </c>
      <c r="Q894" s="1">
        <f>RANK(Table1[[#This Row],[Quality_score_index]],Table1[Quality_score_index],0)</f>
        <v>1303</v>
      </c>
      <c r="R894" s="1">
        <f>Table1[[#This Row],[total sulfur dioxide]]-Table1[[#This Row],[free sulfur dioxide]]</f>
        <v>8</v>
      </c>
      <c r="S894" s="1" t="str">
        <f>IF(AND(Table1[[#This Row],[pH]]&gt;=3.2,Table1[[#This Row],[alcohol]]&gt;=10),"White wine","Red wine")</f>
        <v>Red wine</v>
      </c>
    </row>
    <row r="895" spans="1:19" x14ac:dyDescent="0.3">
      <c r="A895" s="13">
        <v>894</v>
      </c>
      <c r="B895" s="1">
        <v>7.2</v>
      </c>
      <c r="C895" s="1">
        <v>0.66</v>
      </c>
      <c r="D895" s="1">
        <v>0.03</v>
      </c>
      <c r="E895" s="1">
        <v>2.2999999999999998</v>
      </c>
      <c r="F895" s="1">
        <v>7.8E-2</v>
      </c>
      <c r="G895" s="1">
        <v>16</v>
      </c>
      <c r="H895" s="1">
        <v>86</v>
      </c>
      <c r="I895" s="1">
        <v>0.99743000000000004</v>
      </c>
      <c r="J895" s="1">
        <v>3.53</v>
      </c>
      <c r="K895" s="1">
        <v>0.56999999999999995</v>
      </c>
      <c r="L895" s="1">
        <v>9.6999999999999993</v>
      </c>
      <c r="M895" s="2">
        <v>5</v>
      </c>
      <c r="N895" s="2" t="str" cm="1">
        <f t="array" ref="N895">_xlfn.IFS(Table1[[#This Row],[quality]]&lt;=4,"Low",Table1[[#This Row],[quality]]&lt;=6,"Medium",Table1[[#This Row],[quality]]&gt;=7,"High")</f>
        <v>Medium</v>
      </c>
      <c r="O895" s="2" t="str">
        <f>IF(AND(Table1[[#This Row],[fixed acidity]]&gt;Sheet1!$C$4,Table1[[#This Row],[pH]]&lt;Sheet1!$K$4),"High","Normal")</f>
        <v>Normal</v>
      </c>
      <c r="P895" s="1">
        <f>(Table1[[#This Row],[alcohol]]*2)+(Table1[[#This Row],[sulphates]]*1.5)-(Table1[[#This Row],[volatile acidity]]*2)</f>
        <v>18.934999999999999</v>
      </c>
      <c r="Q895" s="1">
        <f>RANK(Table1[[#This Row],[Quality_score_index]],Table1[Quality_score_index],0)</f>
        <v>1189</v>
      </c>
      <c r="R895" s="1">
        <f>Table1[[#This Row],[total sulfur dioxide]]-Table1[[#This Row],[free sulfur dioxide]]</f>
        <v>70</v>
      </c>
      <c r="S895" s="1" t="str">
        <f>IF(AND(Table1[[#This Row],[pH]]&gt;=3.2,Table1[[#This Row],[alcohol]]&gt;=10),"White wine","Red wine")</f>
        <v>Red wine</v>
      </c>
    </row>
    <row r="896" spans="1:19" x14ac:dyDescent="0.3">
      <c r="A896" s="13">
        <v>895</v>
      </c>
      <c r="B896" s="1">
        <v>7.2</v>
      </c>
      <c r="C896" s="1">
        <v>0.63</v>
      </c>
      <c r="D896" s="1">
        <v>0.03</v>
      </c>
      <c r="E896" s="1">
        <v>2.2000000000000002</v>
      </c>
      <c r="F896" s="1">
        <v>0.08</v>
      </c>
      <c r="G896" s="1">
        <v>17</v>
      </c>
      <c r="H896" s="1">
        <v>88</v>
      </c>
      <c r="I896" s="1">
        <v>0.99744999999999995</v>
      </c>
      <c r="J896" s="1">
        <v>3.53</v>
      </c>
      <c r="K896" s="1">
        <v>0.57999999999999996</v>
      </c>
      <c r="L896" s="1">
        <v>9.8000000000000007</v>
      </c>
      <c r="M896" s="2">
        <v>6</v>
      </c>
      <c r="N896" s="2" t="str" cm="1">
        <f t="array" ref="N896">_xlfn.IFS(Table1[[#This Row],[quality]]&lt;=4,"Low",Table1[[#This Row],[quality]]&lt;=6,"Medium",Table1[[#This Row],[quality]]&gt;=7,"High")</f>
        <v>Medium</v>
      </c>
      <c r="O896" s="2" t="str">
        <f>IF(AND(Table1[[#This Row],[fixed acidity]]&gt;Sheet1!$C$4,Table1[[#This Row],[pH]]&lt;Sheet1!$K$4),"High","Normal")</f>
        <v>Normal</v>
      </c>
      <c r="P896" s="1">
        <f>(Table1[[#This Row],[alcohol]]*2)+(Table1[[#This Row],[sulphates]]*1.5)-(Table1[[#This Row],[volatile acidity]]*2)</f>
        <v>19.21</v>
      </c>
      <c r="Q896" s="1">
        <f>RANK(Table1[[#This Row],[Quality_score_index]],Table1[Quality_score_index],0)</f>
        <v>1075</v>
      </c>
      <c r="R896" s="1">
        <f>Table1[[#This Row],[total sulfur dioxide]]-Table1[[#This Row],[free sulfur dioxide]]</f>
        <v>71</v>
      </c>
      <c r="S896" s="1" t="str">
        <f>IF(AND(Table1[[#This Row],[pH]]&gt;=3.2,Table1[[#This Row],[alcohol]]&gt;=10),"White wine","Red wine")</f>
        <v>Red wine</v>
      </c>
    </row>
    <row r="897" spans="1:19" x14ac:dyDescent="0.3">
      <c r="A897" s="13">
        <v>896</v>
      </c>
      <c r="B897" s="1">
        <v>7.1</v>
      </c>
      <c r="C897" s="1">
        <v>0.59</v>
      </c>
      <c r="D897" s="1">
        <v>0.01</v>
      </c>
      <c r="E897" s="1">
        <v>2.2999999999999998</v>
      </c>
      <c r="F897" s="1">
        <v>0.08</v>
      </c>
      <c r="G897" s="1">
        <v>27</v>
      </c>
      <c r="H897" s="1">
        <v>43</v>
      </c>
      <c r="I897" s="1">
        <v>0.99550000000000005</v>
      </c>
      <c r="J897" s="1">
        <v>3.42</v>
      </c>
      <c r="K897" s="1">
        <v>0.57999999999999996</v>
      </c>
      <c r="L897" s="1">
        <v>10.7</v>
      </c>
      <c r="M897" s="2">
        <v>6</v>
      </c>
      <c r="N897" s="2" t="str" cm="1">
        <f t="array" ref="N897">_xlfn.IFS(Table1[[#This Row],[quality]]&lt;=4,"Low",Table1[[#This Row],[quality]]&lt;=6,"Medium",Table1[[#This Row],[quality]]&gt;=7,"High")</f>
        <v>Medium</v>
      </c>
      <c r="O897" s="2" t="str">
        <f>IF(AND(Table1[[#This Row],[fixed acidity]]&gt;Sheet1!$C$4,Table1[[#This Row],[pH]]&lt;Sheet1!$K$4),"High","Normal")</f>
        <v>Normal</v>
      </c>
      <c r="P897" s="1">
        <f>(Table1[[#This Row],[alcohol]]*2)+(Table1[[#This Row],[sulphates]]*1.5)-(Table1[[#This Row],[volatile acidity]]*2)</f>
        <v>21.09</v>
      </c>
      <c r="Q897" s="1">
        <f>RANK(Table1[[#This Row],[Quality_score_index]],Table1[Quality_score_index],0)</f>
        <v>632</v>
      </c>
      <c r="R897" s="1">
        <f>Table1[[#This Row],[total sulfur dioxide]]-Table1[[#This Row],[free sulfur dioxide]]</f>
        <v>16</v>
      </c>
      <c r="S897" s="1" t="str">
        <f>IF(AND(Table1[[#This Row],[pH]]&gt;=3.2,Table1[[#This Row],[alcohol]]&gt;=10),"White wine","Red wine")</f>
        <v>White wine</v>
      </c>
    </row>
    <row r="898" spans="1:19" x14ac:dyDescent="0.3">
      <c r="A898" s="13">
        <v>897</v>
      </c>
      <c r="B898" s="1">
        <v>8.3000000000000007</v>
      </c>
      <c r="C898" s="1">
        <v>0.31</v>
      </c>
      <c r="D898" s="1">
        <v>0.39</v>
      </c>
      <c r="E898" s="1">
        <v>2.4</v>
      </c>
      <c r="F898" s="1">
        <v>7.8E-2</v>
      </c>
      <c r="G898" s="1">
        <v>17</v>
      </c>
      <c r="H898" s="1">
        <v>43</v>
      </c>
      <c r="I898" s="1">
        <v>0.99443999999999999</v>
      </c>
      <c r="J898" s="1">
        <v>3.31</v>
      </c>
      <c r="K898" s="1">
        <v>0.77</v>
      </c>
      <c r="L898" s="1">
        <v>12.5</v>
      </c>
      <c r="M898" s="2">
        <v>7</v>
      </c>
      <c r="N898" s="2" t="str" cm="1">
        <f t="array" ref="N898">_xlfn.IFS(Table1[[#This Row],[quality]]&lt;=4,"Low",Table1[[#This Row],[quality]]&lt;=6,"Medium",Table1[[#This Row],[quality]]&gt;=7,"High")</f>
        <v>High</v>
      </c>
      <c r="O898" s="2" t="str">
        <f>IF(AND(Table1[[#This Row],[fixed acidity]]&gt;Sheet1!$C$4,Table1[[#This Row],[pH]]&lt;Sheet1!$K$4),"High","Normal")</f>
        <v>Normal</v>
      </c>
      <c r="P898" s="1">
        <f>(Table1[[#This Row],[alcohol]]*2)+(Table1[[#This Row],[sulphates]]*1.5)-(Table1[[#This Row],[volatile acidity]]*2)</f>
        <v>25.535</v>
      </c>
      <c r="Q898" s="1">
        <f>RANK(Table1[[#This Row],[Quality_score_index]],Table1[Quality_score_index],0)</f>
        <v>50</v>
      </c>
      <c r="R898" s="1">
        <f>Table1[[#This Row],[total sulfur dioxide]]-Table1[[#This Row],[free sulfur dioxide]]</f>
        <v>26</v>
      </c>
      <c r="S898" s="1" t="str">
        <f>IF(AND(Table1[[#This Row],[pH]]&gt;=3.2,Table1[[#This Row],[alcohol]]&gt;=10),"White wine","Red wine")</f>
        <v>White wine</v>
      </c>
    </row>
    <row r="899" spans="1:19" x14ac:dyDescent="0.3">
      <c r="A899" s="13">
        <v>898</v>
      </c>
      <c r="B899" s="1">
        <v>7.1</v>
      </c>
      <c r="C899" s="1">
        <v>0.59</v>
      </c>
      <c r="D899" s="1">
        <v>0.01</v>
      </c>
      <c r="E899" s="1">
        <v>2.2999999999999998</v>
      </c>
      <c r="F899" s="1">
        <v>0.08</v>
      </c>
      <c r="G899" s="1">
        <v>27</v>
      </c>
      <c r="H899" s="1">
        <v>43</v>
      </c>
      <c r="I899" s="1">
        <v>0.99550000000000005</v>
      </c>
      <c r="J899" s="1">
        <v>3.42</v>
      </c>
      <c r="K899" s="1">
        <v>0.57999999999999996</v>
      </c>
      <c r="L899" s="1">
        <v>10.7</v>
      </c>
      <c r="M899" s="2">
        <v>6</v>
      </c>
      <c r="N899" s="2" t="str" cm="1">
        <f t="array" ref="N899">_xlfn.IFS(Table1[[#This Row],[quality]]&lt;=4,"Low",Table1[[#This Row],[quality]]&lt;=6,"Medium",Table1[[#This Row],[quality]]&gt;=7,"High")</f>
        <v>Medium</v>
      </c>
      <c r="O899" s="2" t="str">
        <f>IF(AND(Table1[[#This Row],[fixed acidity]]&gt;Sheet1!$C$4,Table1[[#This Row],[pH]]&lt;Sheet1!$K$4),"High","Normal")</f>
        <v>Normal</v>
      </c>
      <c r="P899" s="1">
        <f>(Table1[[#This Row],[alcohol]]*2)+(Table1[[#This Row],[sulphates]]*1.5)-(Table1[[#This Row],[volatile acidity]]*2)</f>
        <v>21.09</v>
      </c>
      <c r="Q899" s="1">
        <f>RANK(Table1[[#This Row],[Quality_score_index]],Table1[Quality_score_index],0)</f>
        <v>632</v>
      </c>
      <c r="R899" s="1">
        <f>Table1[[#This Row],[total sulfur dioxide]]-Table1[[#This Row],[free sulfur dioxide]]</f>
        <v>16</v>
      </c>
      <c r="S899" s="1" t="str">
        <f>IF(AND(Table1[[#This Row],[pH]]&gt;=3.2,Table1[[#This Row],[alcohol]]&gt;=10),"White wine","Red wine")</f>
        <v>White wine</v>
      </c>
    </row>
    <row r="900" spans="1:19" x14ac:dyDescent="0.3">
      <c r="A900" s="13">
        <v>899</v>
      </c>
      <c r="B900" s="1">
        <v>8.3000000000000007</v>
      </c>
      <c r="C900" s="1">
        <v>0.31</v>
      </c>
      <c r="D900" s="1">
        <v>0.39</v>
      </c>
      <c r="E900" s="1">
        <v>2.4</v>
      </c>
      <c r="F900" s="1">
        <v>7.8E-2</v>
      </c>
      <c r="G900" s="1">
        <v>17</v>
      </c>
      <c r="H900" s="1">
        <v>43</v>
      </c>
      <c r="I900" s="1">
        <v>0.99443999999999999</v>
      </c>
      <c r="J900" s="1">
        <v>3.31</v>
      </c>
      <c r="K900" s="1">
        <v>0.77</v>
      </c>
      <c r="L900" s="1">
        <v>12.5</v>
      </c>
      <c r="M900" s="2">
        <v>7</v>
      </c>
      <c r="N900" s="2" t="str" cm="1">
        <f t="array" ref="N900">_xlfn.IFS(Table1[[#This Row],[quality]]&lt;=4,"Low",Table1[[#This Row],[quality]]&lt;=6,"Medium",Table1[[#This Row],[quality]]&gt;=7,"High")</f>
        <v>High</v>
      </c>
      <c r="O900" s="2" t="str">
        <f>IF(AND(Table1[[#This Row],[fixed acidity]]&gt;Sheet1!$C$4,Table1[[#This Row],[pH]]&lt;Sheet1!$K$4),"High","Normal")</f>
        <v>Normal</v>
      </c>
      <c r="P900" s="1">
        <f>(Table1[[#This Row],[alcohol]]*2)+(Table1[[#This Row],[sulphates]]*1.5)-(Table1[[#This Row],[volatile acidity]]*2)</f>
        <v>25.535</v>
      </c>
      <c r="Q900" s="1">
        <f>RANK(Table1[[#This Row],[Quality_score_index]],Table1[Quality_score_index],0)</f>
        <v>50</v>
      </c>
      <c r="R900" s="1">
        <f>Table1[[#This Row],[total sulfur dioxide]]-Table1[[#This Row],[free sulfur dioxide]]</f>
        <v>26</v>
      </c>
      <c r="S900" s="1" t="str">
        <f>IF(AND(Table1[[#This Row],[pH]]&gt;=3.2,Table1[[#This Row],[alcohol]]&gt;=10),"White wine","Red wine")</f>
        <v>White wine</v>
      </c>
    </row>
    <row r="901" spans="1:19" x14ac:dyDescent="0.3">
      <c r="A901" s="13">
        <v>900</v>
      </c>
      <c r="B901" s="1">
        <v>8.3000000000000007</v>
      </c>
      <c r="C901" s="1">
        <v>1.02</v>
      </c>
      <c r="D901" s="1">
        <v>0.02</v>
      </c>
      <c r="E901" s="1">
        <v>3.4</v>
      </c>
      <c r="F901" s="1">
        <v>8.4000000000000005E-2</v>
      </c>
      <c r="G901" s="1">
        <v>6</v>
      </c>
      <c r="H901" s="1">
        <v>11</v>
      </c>
      <c r="I901" s="1">
        <v>0.99892000000000003</v>
      </c>
      <c r="J901" s="1">
        <v>3.48</v>
      </c>
      <c r="K901" s="1">
        <v>0.49</v>
      </c>
      <c r="L901" s="1">
        <v>11</v>
      </c>
      <c r="M901" s="2">
        <v>3</v>
      </c>
      <c r="N901" s="2" t="str" cm="1">
        <f t="array" ref="N901">_xlfn.IFS(Table1[[#This Row],[quality]]&lt;=4,"Low",Table1[[#This Row],[quality]]&lt;=6,"Medium",Table1[[#This Row],[quality]]&gt;=7,"High")</f>
        <v>Low</v>
      </c>
      <c r="O901" s="2" t="str">
        <f>IF(AND(Table1[[#This Row],[fixed acidity]]&gt;Sheet1!$C$4,Table1[[#This Row],[pH]]&lt;Sheet1!$K$4),"High","Normal")</f>
        <v>Normal</v>
      </c>
      <c r="P901" s="1">
        <f>(Table1[[#This Row],[alcohol]]*2)+(Table1[[#This Row],[sulphates]]*1.5)-(Table1[[#This Row],[volatile acidity]]*2)</f>
        <v>20.695</v>
      </c>
      <c r="Q901" s="1">
        <f>RANK(Table1[[#This Row],[Quality_score_index]],Table1[Quality_score_index],0)</f>
        <v>724</v>
      </c>
      <c r="R901" s="1">
        <f>Table1[[#This Row],[total sulfur dioxide]]-Table1[[#This Row],[free sulfur dioxide]]</f>
        <v>5</v>
      </c>
      <c r="S901" s="1" t="str">
        <f>IF(AND(Table1[[#This Row],[pH]]&gt;=3.2,Table1[[#This Row],[alcohol]]&gt;=10),"White wine","Red wine")</f>
        <v>White wine</v>
      </c>
    </row>
    <row r="902" spans="1:19" x14ac:dyDescent="0.3">
      <c r="A902" s="13">
        <v>901</v>
      </c>
      <c r="B902" s="1">
        <v>8.9</v>
      </c>
      <c r="C902" s="1">
        <v>0.31</v>
      </c>
      <c r="D902" s="1">
        <v>0.36</v>
      </c>
      <c r="E902" s="1">
        <v>2.6</v>
      </c>
      <c r="F902" s="1">
        <v>5.6000000000000001E-2</v>
      </c>
      <c r="G902" s="1">
        <v>10</v>
      </c>
      <c r="H902" s="1">
        <v>39</v>
      </c>
      <c r="I902" s="1">
        <v>0.99561999999999995</v>
      </c>
      <c r="J902" s="1">
        <v>3.4</v>
      </c>
      <c r="K902" s="1">
        <v>0.69</v>
      </c>
      <c r="L902" s="1">
        <v>11.8</v>
      </c>
      <c r="M902" s="2">
        <v>5</v>
      </c>
      <c r="N902" s="2" t="str" cm="1">
        <f t="array" ref="N902">_xlfn.IFS(Table1[[#This Row],[quality]]&lt;=4,"Low",Table1[[#This Row],[quality]]&lt;=6,"Medium",Table1[[#This Row],[quality]]&gt;=7,"High")</f>
        <v>Medium</v>
      </c>
      <c r="O902" s="2" t="str">
        <f>IF(AND(Table1[[#This Row],[fixed acidity]]&gt;Sheet1!$C$4,Table1[[#This Row],[pH]]&lt;Sheet1!$K$4),"High","Normal")</f>
        <v>Normal</v>
      </c>
      <c r="P902" s="1">
        <f>(Table1[[#This Row],[alcohol]]*2)+(Table1[[#This Row],[sulphates]]*1.5)-(Table1[[#This Row],[volatile acidity]]*2)</f>
        <v>24.015000000000001</v>
      </c>
      <c r="Q902" s="1">
        <f>RANK(Table1[[#This Row],[Quality_score_index]],Table1[Quality_score_index],0)</f>
        <v>179</v>
      </c>
      <c r="R902" s="1">
        <f>Table1[[#This Row],[total sulfur dioxide]]-Table1[[#This Row],[free sulfur dioxide]]</f>
        <v>29</v>
      </c>
      <c r="S902" s="1" t="str">
        <f>IF(AND(Table1[[#This Row],[pH]]&gt;=3.2,Table1[[#This Row],[alcohol]]&gt;=10),"White wine","Red wine")</f>
        <v>White wine</v>
      </c>
    </row>
    <row r="903" spans="1:19" x14ac:dyDescent="0.3">
      <c r="A903" s="13">
        <v>902</v>
      </c>
      <c r="B903" s="1">
        <v>7.4</v>
      </c>
      <c r="C903" s="1">
        <v>0.63500000000000001</v>
      </c>
      <c r="D903" s="1">
        <v>0.1</v>
      </c>
      <c r="E903" s="1">
        <v>2.4</v>
      </c>
      <c r="F903" s="1">
        <v>0.08</v>
      </c>
      <c r="G903" s="1">
        <v>16</v>
      </c>
      <c r="H903" s="1">
        <v>33</v>
      </c>
      <c r="I903" s="1">
        <v>0.99736000000000002</v>
      </c>
      <c r="J903" s="1">
        <v>3.58</v>
      </c>
      <c r="K903" s="1">
        <v>0.69</v>
      </c>
      <c r="L903" s="1">
        <v>10.8</v>
      </c>
      <c r="M903" s="2">
        <v>7</v>
      </c>
      <c r="N903" s="2" t="str" cm="1">
        <f t="array" ref="N903">_xlfn.IFS(Table1[[#This Row],[quality]]&lt;=4,"Low",Table1[[#This Row],[quality]]&lt;=6,"Medium",Table1[[#This Row],[quality]]&gt;=7,"High")</f>
        <v>High</v>
      </c>
      <c r="O903" s="2" t="str">
        <f>IF(AND(Table1[[#This Row],[fixed acidity]]&gt;Sheet1!$C$4,Table1[[#This Row],[pH]]&lt;Sheet1!$K$4),"High","Normal")</f>
        <v>Normal</v>
      </c>
      <c r="P903" s="1">
        <f>(Table1[[#This Row],[alcohol]]*2)+(Table1[[#This Row],[sulphates]]*1.5)-(Table1[[#This Row],[volatile acidity]]*2)</f>
        <v>21.365000000000002</v>
      </c>
      <c r="Q903" s="1">
        <f>RANK(Table1[[#This Row],[Quality_score_index]],Table1[Quality_score_index],0)</f>
        <v>564</v>
      </c>
      <c r="R903" s="1">
        <f>Table1[[#This Row],[total sulfur dioxide]]-Table1[[#This Row],[free sulfur dioxide]]</f>
        <v>17</v>
      </c>
      <c r="S903" s="1" t="str">
        <f>IF(AND(Table1[[#This Row],[pH]]&gt;=3.2,Table1[[#This Row],[alcohol]]&gt;=10),"White wine","Red wine")</f>
        <v>White wine</v>
      </c>
    </row>
    <row r="904" spans="1:19" x14ac:dyDescent="0.3">
      <c r="A904" s="13">
        <v>903</v>
      </c>
      <c r="B904" s="1">
        <v>7.4</v>
      </c>
      <c r="C904" s="1">
        <v>0.63500000000000001</v>
      </c>
      <c r="D904" s="1">
        <v>0.1</v>
      </c>
      <c r="E904" s="1">
        <v>2.4</v>
      </c>
      <c r="F904" s="1">
        <v>0.08</v>
      </c>
      <c r="G904" s="1">
        <v>16</v>
      </c>
      <c r="H904" s="1">
        <v>33</v>
      </c>
      <c r="I904" s="1">
        <v>0.99736000000000002</v>
      </c>
      <c r="J904" s="1">
        <v>3.58</v>
      </c>
      <c r="K904" s="1">
        <v>0.69</v>
      </c>
      <c r="L904" s="1">
        <v>10.8</v>
      </c>
      <c r="M904" s="2">
        <v>7</v>
      </c>
      <c r="N904" s="2" t="str" cm="1">
        <f t="array" ref="N904">_xlfn.IFS(Table1[[#This Row],[quality]]&lt;=4,"Low",Table1[[#This Row],[quality]]&lt;=6,"Medium",Table1[[#This Row],[quality]]&gt;=7,"High")</f>
        <v>High</v>
      </c>
      <c r="O904" s="2" t="str">
        <f>IF(AND(Table1[[#This Row],[fixed acidity]]&gt;Sheet1!$C$4,Table1[[#This Row],[pH]]&lt;Sheet1!$K$4),"High","Normal")</f>
        <v>Normal</v>
      </c>
      <c r="P904" s="1">
        <f>(Table1[[#This Row],[alcohol]]*2)+(Table1[[#This Row],[sulphates]]*1.5)-(Table1[[#This Row],[volatile acidity]]*2)</f>
        <v>21.365000000000002</v>
      </c>
      <c r="Q904" s="1">
        <f>RANK(Table1[[#This Row],[Quality_score_index]],Table1[Quality_score_index],0)</f>
        <v>564</v>
      </c>
      <c r="R904" s="1">
        <f>Table1[[#This Row],[total sulfur dioxide]]-Table1[[#This Row],[free sulfur dioxide]]</f>
        <v>17</v>
      </c>
      <c r="S904" s="1" t="str">
        <f>IF(AND(Table1[[#This Row],[pH]]&gt;=3.2,Table1[[#This Row],[alcohol]]&gt;=10),"White wine","Red wine")</f>
        <v>White wine</v>
      </c>
    </row>
    <row r="905" spans="1:19" x14ac:dyDescent="0.3">
      <c r="A905" s="13">
        <v>904</v>
      </c>
      <c r="B905" s="1">
        <v>6.8</v>
      </c>
      <c r="C905" s="1">
        <v>0.59</v>
      </c>
      <c r="D905" s="1">
        <v>0.06</v>
      </c>
      <c r="E905" s="1">
        <v>6</v>
      </c>
      <c r="F905" s="1">
        <v>0.06</v>
      </c>
      <c r="G905" s="1">
        <v>11</v>
      </c>
      <c r="H905" s="1">
        <v>18</v>
      </c>
      <c r="I905" s="1">
        <v>0.99619999999999997</v>
      </c>
      <c r="J905" s="1">
        <v>3.41</v>
      </c>
      <c r="K905" s="1">
        <v>0.59</v>
      </c>
      <c r="L905" s="1">
        <v>10.8</v>
      </c>
      <c r="M905" s="2">
        <v>7</v>
      </c>
      <c r="N905" s="2" t="str" cm="1">
        <f t="array" ref="N905">_xlfn.IFS(Table1[[#This Row],[quality]]&lt;=4,"Low",Table1[[#This Row],[quality]]&lt;=6,"Medium",Table1[[#This Row],[quality]]&gt;=7,"High")</f>
        <v>High</v>
      </c>
      <c r="O905" s="2" t="str">
        <f>IF(AND(Table1[[#This Row],[fixed acidity]]&gt;Sheet1!$C$4,Table1[[#This Row],[pH]]&lt;Sheet1!$K$4),"High","Normal")</f>
        <v>Normal</v>
      </c>
      <c r="P905" s="1">
        <f>(Table1[[#This Row],[alcohol]]*2)+(Table1[[#This Row],[sulphates]]*1.5)-(Table1[[#This Row],[volatile acidity]]*2)</f>
        <v>21.305000000000003</v>
      </c>
      <c r="Q905" s="1">
        <f>RANK(Table1[[#This Row],[Quality_score_index]],Table1[Quality_score_index],0)</f>
        <v>577</v>
      </c>
      <c r="R905" s="1">
        <f>Table1[[#This Row],[total sulfur dioxide]]-Table1[[#This Row],[free sulfur dioxide]]</f>
        <v>7</v>
      </c>
      <c r="S905" s="1" t="str">
        <f>IF(AND(Table1[[#This Row],[pH]]&gt;=3.2,Table1[[#This Row],[alcohol]]&gt;=10),"White wine","Red wine")</f>
        <v>White wine</v>
      </c>
    </row>
    <row r="906" spans="1:19" x14ac:dyDescent="0.3">
      <c r="A906" s="13">
        <v>905</v>
      </c>
      <c r="B906" s="1">
        <v>6.8</v>
      </c>
      <c r="C906" s="1">
        <v>0.59</v>
      </c>
      <c r="D906" s="1">
        <v>0.06</v>
      </c>
      <c r="E906" s="1">
        <v>6</v>
      </c>
      <c r="F906" s="1">
        <v>0.06</v>
      </c>
      <c r="G906" s="1">
        <v>11</v>
      </c>
      <c r="H906" s="1">
        <v>18</v>
      </c>
      <c r="I906" s="1">
        <v>0.99619999999999997</v>
      </c>
      <c r="J906" s="1">
        <v>3.41</v>
      </c>
      <c r="K906" s="1">
        <v>0.59</v>
      </c>
      <c r="L906" s="1">
        <v>10.8</v>
      </c>
      <c r="M906" s="2">
        <v>7</v>
      </c>
      <c r="N906" s="2" t="str" cm="1">
        <f t="array" ref="N906">_xlfn.IFS(Table1[[#This Row],[quality]]&lt;=4,"Low",Table1[[#This Row],[quality]]&lt;=6,"Medium",Table1[[#This Row],[quality]]&gt;=7,"High")</f>
        <v>High</v>
      </c>
      <c r="O906" s="2" t="str">
        <f>IF(AND(Table1[[#This Row],[fixed acidity]]&gt;Sheet1!$C$4,Table1[[#This Row],[pH]]&lt;Sheet1!$K$4),"High","Normal")</f>
        <v>Normal</v>
      </c>
      <c r="P906" s="1">
        <f>(Table1[[#This Row],[alcohol]]*2)+(Table1[[#This Row],[sulphates]]*1.5)-(Table1[[#This Row],[volatile acidity]]*2)</f>
        <v>21.305000000000003</v>
      </c>
      <c r="Q906" s="1">
        <f>RANK(Table1[[#This Row],[Quality_score_index]],Table1[Quality_score_index],0)</f>
        <v>577</v>
      </c>
      <c r="R906" s="1">
        <f>Table1[[#This Row],[total sulfur dioxide]]-Table1[[#This Row],[free sulfur dioxide]]</f>
        <v>7</v>
      </c>
      <c r="S906" s="1" t="str">
        <f>IF(AND(Table1[[#This Row],[pH]]&gt;=3.2,Table1[[#This Row],[alcohol]]&gt;=10),"White wine","Red wine")</f>
        <v>White wine</v>
      </c>
    </row>
    <row r="907" spans="1:19" x14ac:dyDescent="0.3">
      <c r="A907" s="13">
        <v>906</v>
      </c>
      <c r="B907" s="1">
        <v>9.1999999999999993</v>
      </c>
      <c r="C907" s="1">
        <v>0.57999999999999996</v>
      </c>
      <c r="D907" s="1">
        <v>0.2</v>
      </c>
      <c r="E907" s="1">
        <v>3</v>
      </c>
      <c r="F907" s="1">
        <v>8.1000000000000003E-2</v>
      </c>
      <c r="G907" s="1">
        <v>15</v>
      </c>
      <c r="H907" s="1">
        <v>115</v>
      </c>
      <c r="I907" s="1">
        <v>0.998</v>
      </c>
      <c r="J907" s="1">
        <v>3.23</v>
      </c>
      <c r="K907" s="1">
        <v>0.59</v>
      </c>
      <c r="L907" s="1">
        <v>9.5</v>
      </c>
      <c r="M907" s="2">
        <v>5</v>
      </c>
      <c r="N907" s="2" t="str" cm="1">
        <f t="array" ref="N907">_xlfn.IFS(Table1[[#This Row],[quality]]&lt;=4,"Low",Table1[[#This Row],[quality]]&lt;=6,"Medium",Table1[[#This Row],[quality]]&gt;=7,"High")</f>
        <v>Medium</v>
      </c>
      <c r="O907" s="2" t="str">
        <f>IF(AND(Table1[[#This Row],[fixed acidity]]&gt;Sheet1!$C$4,Table1[[#This Row],[pH]]&lt;Sheet1!$K$4),"High","Normal")</f>
        <v>High</v>
      </c>
      <c r="P907" s="1">
        <f>(Table1[[#This Row],[alcohol]]*2)+(Table1[[#This Row],[sulphates]]*1.5)-(Table1[[#This Row],[volatile acidity]]*2)</f>
        <v>18.725000000000001</v>
      </c>
      <c r="Q907" s="1">
        <f>RANK(Table1[[#This Row],[Quality_score_index]],Table1[Quality_score_index],0)</f>
        <v>1274</v>
      </c>
      <c r="R907" s="1">
        <f>Table1[[#This Row],[total sulfur dioxide]]-Table1[[#This Row],[free sulfur dioxide]]</f>
        <v>100</v>
      </c>
      <c r="S907" s="1" t="str">
        <f>IF(AND(Table1[[#This Row],[pH]]&gt;=3.2,Table1[[#This Row],[alcohol]]&gt;=10),"White wine","Red wine")</f>
        <v>Red wine</v>
      </c>
    </row>
    <row r="908" spans="1:19" x14ac:dyDescent="0.3">
      <c r="A908" s="13">
        <v>907</v>
      </c>
      <c r="B908" s="1">
        <v>7.2</v>
      </c>
      <c r="C908" s="1">
        <v>0.54</v>
      </c>
      <c r="D908" s="1">
        <v>0.27</v>
      </c>
      <c r="E908" s="1">
        <v>2.6</v>
      </c>
      <c r="F908" s="1">
        <v>8.4000000000000005E-2</v>
      </c>
      <c r="G908" s="1">
        <v>12</v>
      </c>
      <c r="H908" s="1">
        <v>78</v>
      </c>
      <c r="I908" s="1">
        <v>0.99639999999999995</v>
      </c>
      <c r="J908" s="1">
        <v>3.39</v>
      </c>
      <c r="K908" s="1">
        <v>0.71</v>
      </c>
      <c r="L908" s="1">
        <v>11</v>
      </c>
      <c r="M908" s="2">
        <v>5</v>
      </c>
      <c r="N908" s="2" t="str" cm="1">
        <f t="array" ref="N908">_xlfn.IFS(Table1[[#This Row],[quality]]&lt;=4,"Low",Table1[[#This Row],[quality]]&lt;=6,"Medium",Table1[[#This Row],[quality]]&gt;=7,"High")</f>
        <v>Medium</v>
      </c>
      <c r="O908" s="2" t="str">
        <f>IF(AND(Table1[[#This Row],[fixed acidity]]&gt;Sheet1!$C$4,Table1[[#This Row],[pH]]&lt;Sheet1!$K$4),"High","Normal")</f>
        <v>Normal</v>
      </c>
      <c r="P908" s="1">
        <f>(Table1[[#This Row],[alcohol]]*2)+(Table1[[#This Row],[sulphates]]*1.5)-(Table1[[#This Row],[volatile acidity]]*2)</f>
        <v>21.984999999999999</v>
      </c>
      <c r="Q908" s="1">
        <f>RANK(Table1[[#This Row],[Quality_score_index]],Table1[Quality_score_index],0)</f>
        <v>458</v>
      </c>
      <c r="R908" s="1">
        <f>Table1[[#This Row],[total sulfur dioxide]]-Table1[[#This Row],[free sulfur dioxide]]</f>
        <v>66</v>
      </c>
      <c r="S908" s="1" t="str">
        <f>IF(AND(Table1[[#This Row],[pH]]&gt;=3.2,Table1[[#This Row],[alcohol]]&gt;=10),"White wine","Red wine")</f>
        <v>White wine</v>
      </c>
    </row>
    <row r="909" spans="1:19" x14ac:dyDescent="0.3">
      <c r="A909" s="13">
        <v>908</v>
      </c>
      <c r="B909" s="1">
        <v>6.1</v>
      </c>
      <c r="C909" s="1">
        <v>0.56000000000000005</v>
      </c>
      <c r="D909" s="1">
        <v>0</v>
      </c>
      <c r="E909" s="1">
        <v>2.2000000000000002</v>
      </c>
      <c r="F909" s="1">
        <v>7.9000000000000001E-2</v>
      </c>
      <c r="G909" s="1">
        <v>6</v>
      </c>
      <c r="H909" s="1">
        <v>9</v>
      </c>
      <c r="I909" s="1">
        <v>0.99480000000000002</v>
      </c>
      <c r="J909" s="1">
        <v>3.59</v>
      </c>
      <c r="K909" s="1">
        <v>0.54</v>
      </c>
      <c r="L909" s="1">
        <v>11.5</v>
      </c>
      <c r="M909" s="2">
        <v>6</v>
      </c>
      <c r="N909" s="2" t="str" cm="1">
        <f t="array" ref="N909">_xlfn.IFS(Table1[[#This Row],[quality]]&lt;=4,"Low",Table1[[#This Row],[quality]]&lt;=6,"Medium",Table1[[#This Row],[quality]]&gt;=7,"High")</f>
        <v>Medium</v>
      </c>
      <c r="O909" s="2" t="str">
        <f>IF(AND(Table1[[#This Row],[fixed acidity]]&gt;Sheet1!$C$4,Table1[[#This Row],[pH]]&lt;Sheet1!$K$4),"High","Normal")</f>
        <v>Normal</v>
      </c>
      <c r="P909" s="1">
        <f>(Table1[[#This Row],[alcohol]]*2)+(Table1[[#This Row],[sulphates]]*1.5)-(Table1[[#This Row],[volatile acidity]]*2)</f>
        <v>22.689999999999998</v>
      </c>
      <c r="Q909" s="1">
        <f>RANK(Table1[[#This Row],[Quality_score_index]],Table1[Quality_score_index],0)</f>
        <v>327</v>
      </c>
      <c r="R909" s="1">
        <f>Table1[[#This Row],[total sulfur dioxide]]-Table1[[#This Row],[free sulfur dioxide]]</f>
        <v>3</v>
      </c>
      <c r="S909" s="1" t="str">
        <f>IF(AND(Table1[[#This Row],[pH]]&gt;=3.2,Table1[[#This Row],[alcohol]]&gt;=10),"White wine","Red wine")</f>
        <v>White wine</v>
      </c>
    </row>
    <row r="910" spans="1:19" x14ac:dyDescent="0.3">
      <c r="A910" s="13">
        <v>909</v>
      </c>
      <c r="B910" s="1">
        <v>7.4</v>
      </c>
      <c r="C910" s="1">
        <v>0.52</v>
      </c>
      <c r="D910" s="1">
        <v>0.13</v>
      </c>
      <c r="E910" s="1">
        <v>2.4</v>
      </c>
      <c r="F910" s="1">
        <v>7.8E-2</v>
      </c>
      <c r="G910" s="1">
        <v>34</v>
      </c>
      <c r="H910" s="1">
        <v>61</v>
      </c>
      <c r="I910" s="1">
        <v>0.99528000000000005</v>
      </c>
      <c r="J910" s="1">
        <v>3.43</v>
      </c>
      <c r="K910" s="1">
        <v>0.59</v>
      </c>
      <c r="L910" s="1">
        <v>10.8</v>
      </c>
      <c r="M910" s="2">
        <v>6</v>
      </c>
      <c r="N910" s="2" t="str" cm="1">
        <f t="array" ref="N910">_xlfn.IFS(Table1[[#This Row],[quality]]&lt;=4,"Low",Table1[[#This Row],[quality]]&lt;=6,"Medium",Table1[[#This Row],[quality]]&gt;=7,"High")</f>
        <v>Medium</v>
      </c>
      <c r="O910" s="2" t="str">
        <f>IF(AND(Table1[[#This Row],[fixed acidity]]&gt;Sheet1!$C$4,Table1[[#This Row],[pH]]&lt;Sheet1!$K$4),"High","Normal")</f>
        <v>Normal</v>
      </c>
      <c r="P910" s="1">
        <f>(Table1[[#This Row],[alcohol]]*2)+(Table1[[#This Row],[sulphates]]*1.5)-(Table1[[#This Row],[volatile acidity]]*2)</f>
        <v>21.445000000000004</v>
      </c>
      <c r="Q910" s="1">
        <f>RANK(Table1[[#This Row],[Quality_score_index]],Table1[Quality_score_index],0)</f>
        <v>550</v>
      </c>
      <c r="R910" s="1">
        <f>Table1[[#This Row],[total sulfur dioxide]]-Table1[[#This Row],[free sulfur dioxide]]</f>
        <v>27</v>
      </c>
      <c r="S910" s="1" t="str">
        <f>IF(AND(Table1[[#This Row],[pH]]&gt;=3.2,Table1[[#This Row],[alcohol]]&gt;=10),"White wine","Red wine")</f>
        <v>White wine</v>
      </c>
    </row>
    <row r="911" spans="1:19" x14ac:dyDescent="0.3">
      <c r="A911" s="13">
        <v>910</v>
      </c>
      <c r="B911" s="1">
        <v>7.3</v>
      </c>
      <c r="C911" s="1">
        <v>0.30499999999999999</v>
      </c>
      <c r="D911" s="1">
        <v>0.39</v>
      </c>
      <c r="E911" s="1">
        <v>1.2</v>
      </c>
      <c r="F911" s="1">
        <v>5.8999999999999997E-2</v>
      </c>
      <c r="G911" s="1">
        <v>7</v>
      </c>
      <c r="H911" s="1">
        <v>11</v>
      </c>
      <c r="I911" s="1">
        <v>0.99331000000000003</v>
      </c>
      <c r="J911" s="1">
        <v>3.29</v>
      </c>
      <c r="K911" s="1">
        <v>0.52</v>
      </c>
      <c r="L911" s="1">
        <v>11.5</v>
      </c>
      <c r="M911" s="2">
        <v>6</v>
      </c>
      <c r="N911" s="2" t="str" cm="1">
        <f t="array" ref="N911">_xlfn.IFS(Table1[[#This Row],[quality]]&lt;=4,"Low",Table1[[#This Row],[quality]]&lt;=6,"Medium",Table1[[#This Row],[quality]]&gt;=7,"High")</f>
        <v>Medium</v>
      </c>
      <c r="O911" s="2" t="str">
        <f>IF(AND(Table1[[#This Row],[fixed acidity]]&gt;Sheet1!$C$4,Table1[[#This Row],[pH]]&lt;Sheet1!$K$4),"High","Normal")</f>
        <v>Normal</v>
      </c>
      <c r="P911" s="1">
        <f>(Table1[[#This Row],[alcohol]]*2)+(Table1[[#This Row],[sulphates]]*1.5)-(Table1[[#This Row],[volatile acidity]]*2)</f>
        <v>23.17</v>
      </c>
      <c r="Q911" s="1">
        <f>RANK(Table1[[#This Row],[Quality_score_index]],Table1[Quality_score_index],0)</f>
        <v>252</v>
      </c>
      <c r="R911" s="1">
        <f>Table1[[#This Row],[total sulfur dioxide]]-Table1[[#This Row],[free sulfur dioxide]]</f>
        <v>4</v>
      </c>
      <c r="S911" s="1" t="str">
        <f>IF(AND(Table1[[#This Row],[pH]]&gt;=3.2,Table1[[#This Row],[alcohol]]&gt;=10),"White wine","Red wine")</f>
        <v>White wine</v>
      </c>
    </row>
    <row r="912" spans="1:19" x14ac:dyDescent="0.3">
      <c r="A912" s="13">
        <v>911</v>
      </c>
      <c r="B912" s="1">
        <v>9.3000000000000007</v>
      </c>
      <c r="C912" s="1">
        <v>0.38</v>
      </c>
      <c r="D912" s="1">
        <v>0.48</v>
      </c>
      <c r="E912" s="1">
        <v>3.8</v>
      </c>
      <c r="F912" s="1">
        <v>0.13200000000000001</v>
      </c>
      <c r="G912" s="1">
        <v>3</v>
      </c>
      <c r="H912" s="1">
        <v>11</v>
      </c>
      <c r="I912" s="1">
        <v>0.99577000000000004</v>
      </c>
      <c r="J912" s="1">
        <v>3.23</v>
      </c>
      <c r="K912" s="1">
        <v>0.56999999999999995</v>
      </c>
      <c r="L912" s="1">
        <v>13.2</v>
      </c>
      <c r="M912" s="2">
        <v>6</v>
      </c>
      <c r="N912" s="2" t="str" cm="1">
        <f t="array" ref="N912">_xlfn.IFS(Table1[[#This Row],[quality]]&lt;=4,"Low",Table1[[#This Row],[quality]]&lt;=6,"Medium",Table1[[#This Row],[quality]]&gt;=7,"High")</f>
        <v>Medium</v>
      </c>
      <c r="O912" s="2" t="str">
        <f>IF(AND(Table1[[#This Row],[fixed acidity]]&gt;Sheet1!$C$4,Table1[[#This Row],[pH]]&lt;Sheet1!$K$4),"High","Normal")</f>
        <v>High</v>
      </c>
      <c r="P912" s="1">
        <f>(Table1[[#This Row],[alcohol]]*2)+(Table1[[#This Row],[sulphates]]*1.5)-(Table1[[#This Row],[volatile acidity]]*2)</f>
        <v>26.494999999999997</v>
      </c>
      <c r="Q912" s="1">
        <f>RANK(Table1[[#This Row],[Quality_score_index]],Table1[Quality_score_index],0)</f>
        <v>21</v>
      </c>
      <c r="R912" s="1">
        <f>Table1[[#This Row],[total sulfur dioxide]]-Table1[[#This Row],[free sulfur dioxide]]</f>
        <v>8</v>
      </c>
      <c r="S912" s="1" t="str">
        <f>IF(AND(Table1[[#This Row],[pH]]&gt;=3.2,Table1[[#This Row],[alcohol]]&gt;=10),"White wine","Red wine")</f>
        <v>White wine</v>
      </c>
    </row>
    <row r="913" spans="1:19" x14ac:dyDescent="0.3">
      <c r="A913" s="13">
        <v>912</v>
      </c>
      <c r="B913" s="1">
        <v>9.1</v>
      </c>
      <c r="C913" s="1">
        <v>0.28000000000000003</v>
      </c>
      <c r="D913" s="1">
        <v>0.46</v>
      </c>
      <c r="E913" s="1">
        <v>9</v>
      </c>
      <c r="F913" s="1">
        <v>0.114</v>
      </c>
      <c r="G913" s="1">
        <v>3</v>
      </c>
      <c r="H913" s="1">
        <v>9</v>
      </c>
      <c r="I913" s="1">
        <v>0.99900999999999995</v>
      </c>
      <c r="J913" s="1">
        <v>3.18</v>
      </c>
      <c r="K913" s="1">
        <v>0.6</v>
      </c>
      <c r="L913" s="1">
        <v>10.9</v>
      </c>
      <c r="M913" s="2">
        <v>6</v>
      </c>
      <c r="N913" s="2" t="str" cm="1">
        <f t="array" ref="N913">_xlfn.IFS(Table1[[#This Row],[quality]]&lt;=4,"Low",Table1[[#This Row],[quality]]&lt;=6,"Medium",Table1[[#This Row],[quality]]&gt;=7,"High")</f>
        <v>Medium</v>
      </c>
      <c r="O913" s="2" t="str">
        <f>IF(AND(Table1[[#This Row],[fixed acidity]]&gt;Sheet1!$C$4,Table1[[#This Row],[pH]]&lt;Sheet1!$K$4),"High","Normal")</f>
        <v>High</v>
      </c>
      <c r="P913" s="1">
        <f>(Table1[[#This Row],[alcohol]]*2)+(Table1[[#This Row],[sulphates]]*1.5)-(Table1[[#This Row],[volatile acidity]]*2)</f>
        <v>22.14</v>
      </c>
      <c r="Q913" s="1">
        <f>RANK(Table1[[#This Row],[Quality_score_index]],Table1[Quality_score_index],0)</f>
        <v>429</v>
      </c>
      <c r="R913" s="1">
        <f>Table1[[#This Row],[total sulfur dioxide]]-Table1[[#This Row],[free sulfur dioxide]]</f>
        <v>6</v>
      </c>
      <c r="S913" s="1" t="str">
        <f>IF(AND(Table1[[#This Row],[pH]]&gt;=3.2,Table1[[#This Row],[alcohol]]&gt;=10),"White wine","Red wine")</f>
        <v>Red wine</v>
      </c>
    </row>
    <row r="914" spans="1:19" x14ac:dyDescent="0.3">
      <c r="A914" s="13">
        <v>913</v>
      </c>
      <c r="B914" s="1">
        <v>10</v>
      </c>
      <c r="C914" s="1">
        <v>0.46</v>
      </c>
      <c r="D914" s="1">
        <v>0.44</v>
      </c>
      <c r="E914" s="1">
        <v>2.9</v>
      </c>
      <c r="F914" s="1">
        <v>6.5000000000000002E-2</v>
      </c>
      <c r="G914" s="1">
        <v>4</v>
      </c>
      <c r="H914" s="1">
        <v>8</v>
      </c>
      <c r="I914" s="1">
        <v>0.99673999999999996</v>
      </c>
      <c r="J914" s="1">
        <v>3.33</v>
      </c>
      <c r="K914" s="1">
        <v>0.62</v>
      </c>
      <c r="L914" s="1">
        <v>12.2</v>
      </c>
      <c r="M914" s="2">
        <v>6</v>
      </c>
      <c r="N914" s="2" t="str" cm="1">
        <f t="array" ref="N914">_xlfn.IFS(Table1[[#This Row],[quality]]&lt;=4,"Low",Table1[[#This Row],[quality]]&lt;=6,"Medium",Table1[[#This Row],[quality]]&gt;=7,"High")</f>
        <v>Medium</v>
      </c>
      <c r="O914" s="2" t="str">
        <f>IF(AND(Table1[[#This Row],[fixed acidity]]&gt;Sheet1!$C$4,Table1[[#This Row],[pH]]&lt;Sheet1!$K$4),"High","Normal")</f>
        <v>Normal</v>
      </c>
      <c r="P914" s="1">
        <f>(Table1[[#This Row],[alcohol]]*2)+(Table1[[#This Row],[sulphates]]*1.5)-(Table1[[#This Row],[volatile acidity]]*2)</f>
        <v>24.409999999999997</v>
      </c>
      <c r="Q914" s="1">
        <f>RANK(Table1[[#This Row],[Quality_score_index]],Table1[Quality_score_index],0)</f>
        <v>137</v>
      </c>
      <c r="R914" s="1">
        <f>Table1[[#This Row],[total sulfur dioxide]]-Table1[[#This Row],[free sulfur dioxide]]</f>
        <v>4</v>
      </c>
      <c r="S914" s="1" t="str">
        <f>IF(AND(Table1[[#This Row],[pH]]&gt;=3.2,Table1[[#This Row],[alcohol]]&gt;=10),"White wine","Red wine")</f>
        <v>White wine</v>
      </c>
    </row>
    <row r="915" spans="1:19" x14ac:dyDescent="0.3">
      <c r="A915" s="13">
        <v>914</v>
      </c>
      <c r="B915" s="1">
        <v>9.4</v>
      </c>
      <c r="C915" s="1">
        <v>0.39500000000000002</v>
      </c>
      <c r="D915" s="1">
        <v>0.46</v>
      </c>
      <c r="E915" s="1">
        <v>4.5999999999999996</v>
      </c>
      <c r="F915" s="1">
        <v>9.4E-2</v>
      </c>
      <c r="G915" s="1">
        <v>3</v>
      </c>
      <c r="H915" s="1">
        <v>10</v>
      </c>
      <c r="I915" s="1">
        <v>0.99639</v>
      </c>
      <c r="J915" s="1">
        <v>3.27</v>
      </c>
      <c r="K915" s="1">
        <v>0.64</v>
      </c>
      <c r="L915" s="1">
        <v>12.2</v>
      </c>
      <c r="M915" s="2">
        <v>7</v>
      </c>
      <c r="N915" s="2" t="str" cm="1">
        <f t="array" ref="N915">_xlfn.IFS(Table1[[#This Row],[quality]]&lt;=4,"Low",Table1[[#This Row],[quality]]&lt;=6,"Medium",Table1[[#This Row],[quality]]&gt;=7,"High")</f>
        <v>High</v>
      </c>
      <c r="O915" s="2" t="str">
        <f>IF(AND(Table1[[#This Row],[fixed acidity]]&gt;Sheet1!$C$4,Table1[[#This Row],[pH]]&lt;Sheet1!$K$4),"High","Normal")</f>
        <v>High</v>
      </c>
      <c r="P915" s="1">
        <f>(Table1[[#This Row],[alcohol]]*2)+(Table1[[#This Row],[sulphates]]*1.5)-(Table1[[#This Row],[volatile acidity]]*2)</f>
        <v>24.57</v>
      </c>
      <c r="Q915" s="1">
        <f>RANK(Table1[[#This Row],[Quality_score_index]],Table1[Quality_score_index],0)</f>
        <v>121</v>
      </c>
      <c r="R915" s="1">
        <f>Table1[[#This Row],[total sulfur dioxide]]-Table1[[#This Row],[free sulfur dioxide]]</f>
        <v>7</v>
      </c>
      <c r="S915" s="1" t="str">
        <f>IF(AND(Table1[[#This Row],[pH]]&gt;=3.2,Table1[[#This Row],[alcohol]]&gt;=10),"White wine","Red wine")</f>
        <v>White wine</v>
      </c>
    </row>
    <row r="916" spans="1:19" x14ac:dyDescent="0.3">
      <c r="A916" s="13">
        <v>915</v>
      </c>
      <c r="B916" s="1">
        <v>7.3</v>
      </c>
      <c r="C916" s="1">
        <v>0.30499999999999999</v>
      </c>
      <c r="D916" s="1">
        <v>0.39</v>
      </c>
      <c r="E916" s="1">
        <v>1.2</v>
      </c>
      <c r="F916" s="1">
        <v>5.8999999999999997E-2</v>
      </c>
      <c r="G916" s="1">
        <v>7</v>
      </c>
      <c r="H916" s="1">
        <v>11</v>
      </c>
      <c r="I916" s="1">
        <v>0.99331000000000003</v>
      </c>
      <c r="J916" s="1">
        <v>3.29</v>
      </c>
      <c r="K916" s="1">
        <v>0.52</v>
      </c>
      <c r="L916" s="1">
        <v>11.5</v>
      </c>
      <c r="M916" s="2">
        <v>6</v>
      </c>
      <c r="N916" s="2" t="str" cm="1">
        <f t="array" ref="N916">_xlfn.IFS(Table1[[#This Row],[quality]]&lt;=4,"Low",Table1[[#This Row],[quality]]&lt;=6,"Medium",Table1[[#This Row],[quality]]&gt;=7,"High")</f>
        <v>Medium</v>
      </c>
      <c r="O916" s="2" t="str">
        <f>IF(AND(Table1[[#This Row],[fixed acidity]]&gt;Sheet1!$C$4,Table1[[#This Row],[pH]]&lt;Sheet1!$K$4),"High","Normal")</f>
        <v>Normal</v>
      </c>
      <c r="P916" s="1">
        <f>(Table1[[#This Row],[alcohol]]*2)+(Table1[[#This Row],[sulphates]]*1.5)-(Table1[[#This Row],[volatile acidity]]*2)</f>
        <v>23.17</v>
      </c>
      <c r="Q916" s="1">
        <f>RANK(Table1[[#This Row],[Quality_score_index]],Table1[Quality_score_index],0)</f>
        <v>252</v>
      </c>
      <c r="R916" s="1">
        <f>Table1[[#This Row],[total sulfur dioxide]]-Table1[[#This Row],[free sulfur dioxide]]</f>
        <v>4</v>
      </c>
      <c r="S916" s="1" t="str">
        <f>IF(AND(Table1[[#This Row],[pH]]&gt;=3.2,Table1[[#This Row],[alcohol]]&gt;=10),"White wine","Red wine")</f>
        <v>White wine</v>
      </c>
    </row>
    <row r="917" spans="1:19" x14ac:dyDescent="0.3">
      <c r="A917" s="13">
        <v>916</v>
      </c>
      <c r="B917" s="1">
        <v>8.6</v>
      </c>
      <c r="C917" s="1">
        <v>0.315</v>
      </c>
      <c r="D917" s="1">
        <v>0.4</v>
      </c>
      <c r="E917" s="1">
        <v>2.2000000000000002</v>
      </c>
      <c r="F917" s="1">
        <v>7.9000000000000001E-2</v>
      </c>
      <c r="G917" s="1">
        <v>3</v>
      </c>
      <c r="H917" s="1">
        <v>6</v>
      </c>
      <c r="I917" s="1">
        <v>0.99512</v>
      </c>
      <c r="J917" s="1">
        <v>3.27</v>
      </c>
      <c r="K917" s="1">
        <v>0.67</v>
      </c>
      <c r="L917" s="1">
        <v>11.9</v>
      </c>
      <c r="M917" s="2">
        <v>6</v>
      </c>
      <c r="N917" s="2" t="str" cm="1">
        <f t="array" ref="N917">_xlfn.IFS(Table1[[#This Row],[quality]]&lt;=4,"Low",Table1[[#This Row],[quality]]&lt;=6,"Medium",Table1[[#This Row],[quality]]&gt;=7,"High")</f>
        <v>Medium</v>
      </c>
      <c r="O917" s="2" t="str">
        <f>IF(AND(Table1[[#This Row],[fixed acidity]]&gt;Sheet1!$C$4,Table1[[#This Row],[pH]]&lt;Sheet1!$K$4),"High","Normal")</f>
        <v>High</v>
      </c>
      <c r="P917" s="1">
        <f>(Table1[[#This Row],[alcohol]]*2)+(Table1[[#This Row],[sulphates]]*1.5)-(Table1[[#This Row],[volatile acidity]]*2)</f>
        <v>24.175000000000001</v>
      </c>
      <c r="Q917" s="1">
        <f>RANK(Table1[[#This Row],[Quality_score_index]],Table1[Quality_score_index],0)</f>
        <v>159</v>
      </c>
      <c r="R917" s="1">
        <f>Table1[[#This Row],[total sulfur dioxide]]-Table1[[#This Row],[free sulfur dioxide]]</f>
        <v>3</v>
      </c>
      <c r="S917" s="1" t="str">
        <f>IF(AND(Table1[[#This Row],[pH]]&gt;=3.2,Table1[[#This Row],[alcohol]]&gt;=10),"White wine","Red wine")</f>
        <v>White wine</v>
      </c>
    </row>
    <row r="918" spans="1:19" x14ac:dyDescent="0.3">
      <c r="A918" s="13">
        <v>917</v>
      </c>
      <c r="B918" s="1">
        <v>5.3</v>
      </c>
      <c r="C918" s="1">
        <v>0.71499999999999997</v>
      </c>
      <c r="D918" s="1">
        <v>0.19</v>
      </c>
      <c r="E918" s="1">
        <v>1.5</v>
      </c>
      <c r="F918" s="1">
        <v>0.161</v>
      </c>
      <c r="G918" s="1">
        <v>7</v>
      </c>
      <c r="H918" s="1">
        <v>62</v>
      </c>
      <c r="I918" s="1">
        <v>0.99395</v>
      </c>
      <c r="J918" s="1">
        <v>3.62</v>
      </c>
      <c r="K918" s="1">
        <v>0.61</v>
      </c>
      <c r="L918" s="1">
        <v>11</v>
      </c>
      <c r="M918" s="2">
        <v>5</v>
      </c>
      <c r="N918" s="2" t="str" cm="1">
        <f t="array" ref="N918">_xlfn.IFS(Table1[[#This Row],[quality]]&lt;=4,"Low",Table1[[#This Row],[quality]]&lt;=6,"Medium",Table1[[#This Row],[quality]]&gt;=7,"High")</f>
        <v>Medium</v>
      </c>
      <c r="O918" s="2" t="str">
        <f>IF(AND(Table1[[#This Row],[fixed acidity]]&gt;Sheet1!$C$4,Table1[[#This Row],[pH]]&lt;Sheet1!$K$4),"High","Normal")</f>
        <v>Normal</v>
      </c>
      <c r="P918" s="1">
        <f>(Table1[[#This Row],[alcohol]]*2)+(Table1[[#This Row],[sulphates]]*1.5)-(Table1[[#This Row],[volatile acidity]]*2)</f>
        <v>21.484999999999999</v>
      </c>
      <c r="Q918" s="1">
        <f>RANK(Table1[[#This Row],[Quality_score_index]],Table1[Quality_score_index],0)</f>
        <v>544</v>
      </c>
      <c r="R918" s="1">
        <f>Table1[[#This Row],[total sulfur dioxide]]-Table1[[#This Row],[free sulfur dioxide]]</f>
        <v>55</v>
      </c>
      <c r="S918" s="1" t="str">
        <f>IF(AND(Table1[[#This Row],[pH]]&gt;=3.2,Table1[[#This Row],[alcohol]]&gt;=10),"White wine","Red wine")</f>
        <v>White wine</v>
      </c>
    </row>
    <row r="919" spans="1:19" x14ac:dyDescent="0.3">
      <c r="A919" s="13">
        <v>918</v>
      </c>
      <c r="B919" s="1">
        <v>6.8</v>
      </c>
      <c r="C919" s="1">
        <v>0.41</v>
      </c>
      <c r="D919" s="1">
        <v>0.31</v>
      </c>
      <c r="E919" s="1">
        <v>8.8000000000000007</v>
      </c>
      <c r="F919" s="1">
        <v>8.4000000000000005E-2</v>
      </c>
      <c r="G919" s="1">
        <v>26</v>
      </c>
      <c r="H919" s="1">
        <v>45</v>
      </c>
      <c r="I919" s="1">
        <v>0.99824000000000002</v>
      </c>
      <c r="J919" s="1">
        <v>3.38</v>
      </c>
      <c r="K919" s="1">
        <v>0.64</v>
      </c>
      <c r="L919" s="1">
        <v>10.1</v>
      </c>
      <c r="M919" s="2">
        <v>6</v>
      </c>
      <c r="N919" s="2" t="str" cm="1">
        <f t="array" ref="N919">_xlfn.IFS(Table1[[#This Row],[quality]]&lt;=4,"Low",Table1[[#This Row],[quality]]&lt;=6,"Medium",Table1[[#This Row],[quality]]&gt;=7,"High")</f>
        <v>Medium</v>
      </c>
      <c r="O919" s="2" t="str">
        <f>IF(AND(Table1[[#This Row],[fixed acidity]]&gt;Sheet1!$C$4,Table1[[#This Row],[pH]]&lt;Sheet1!$K$4),"High","Normal")</f>
        <v>Normal</v>
      </c>
      <c r="P919" s="1">
        <f>(Table1[[#This Row],[alcohol]]*2)+(Table1[[#This Row],[sulphates]]*1.5)-(Table1[[#This Row],[volatile acidity]]*2)</f>
        <v>20.34</v>
      </c>
      <c r="Q919" s="1">
        <f>RANK(Table1[[#This Row],[Quality_score_index]],Table1[Quality_score_index],0)</f>
        <v>782</v>
      </c>
      <c r="R919" s="1">
        <f>Table1[[#This Row],[total sulfur dioxide]]-Table1[[#This Row],[free sulfur dioxide]]</f>
        <v>19</v>
      </c>
      <c r="S919" s="1" t="str">
        <f>IF(AND(Table1[[#This Row],[pH]]&gt;=3.2,Table1[[#This Row],[alcohol]]&gt;=10),"White wine","Red wine")</f>
        <v>White wine</v>
      </c>
    </row>
    <row r="920" spans="1:19" x14ac:dyDescent="0.3">
      <c r="A920" s="13">
        <v>919</v>
      </c>
      <c r="B920" s="1">
        <v>8.4</v>
      </c>
      <c r="C920" s="1">
        <v>0.36</v>
      </c>
      <c r="D920" s="1">
        <v>0.32</v>
      </c>
      <c r="E920" s="1">
        <v>2.2000000000000002</v>
      </c>
      <c r="F920" s="1">
        <v>8.1000000000000003E-2</v>
      </c>
      <c r="G920" s="1">
        <v>32</v>
      </c>
      <c r="H920" s="1">
        <v>79</v>
      </c>
      <c r="I920" s="1">
        <v>0.99639999999999995</v>
      </c>
      <c r="J920" s="1">
        <v>3.3</v>
      </c>
      <c r="K920" s="1">
        <v>0.72</v>
      </c>
      <c r="L920" s="1">
        <v>11</v>
      </c>
      <c r="M920" s="2">
        <v>6</v>
      </c>
      <c r="N920" s="2" t="str" cm="1">
        <f t="array" ref="N920">_xlfn.IFS(Table1[[#This Row],[quality]]&lt;=4,"Low",Table1[[#This Row],[quality]]&lt;=6,"Medium",Table1[[#This Row],[quality]]&gt;=7,"High")</f>
        <v>Medium</v>
      </c>
      <c r="O920" s="2" t="str">
        <f>IF(AND(Table1[[#This Row],[fixed acidity]]&gt;Sheet1!$C$4,Table1[[#This Row],[pH]]&lt;Sheet1!$K$4),"High","Normal")</f>
        <v>High</v>
      </c>
      <c r="P920" s="1">
        <f>(Table1[[#This Row],[alcohol]]*2)+(Table1[[#This Row],[sulphates]]*1.5)-(Table1[[#This Row],[volatile acidity]]*2)</f>
        <v>22.36</v>
      </c>
      <c r="Q920" s="1">
        <f>RANK(Table1[[#This Row],[Quality_score_index]],Table1[Quality_score_index],0)</f>
        <v>398</v>
      </c>
      <c r="R920" s="1">
        <f>Table1[[#This Row],[total sulfur dioxide]]-Table1[[#This Row],[free sulfur dioxide]]</f>
        <v>47</v>
      </c>
      <c r="S920" s="1" t="str">
        <f>IF(AND(Table1[[#This Row],[pH]]&gt;=3.2,Table1[[#This Row],[alcohol]]&gt;=10),"White wine","Red wine")</f>
        <v>White wine</v>
      </c>
    </row>
    <row r="921" spans="1:19" x14ac:dyDescent="0.3">
      <c r="A921" s="13">
        <v>920</v>
      </c>
      <c r="B921" s="1">
        <v>8.4</v>
      </c>
      <c r="C921" s="1">
        <v>0.62</v>
      </c>
      <c r="D921" s="1">
        <v>0.12</v>
      </c>
      <c r="E921" s="1">
        <v>1.8</v>
      </c>
      <c r="F921" s="1">
        <v>7.1999999999999995E-2</v>
      </c>
      <c r="G921" s="1">
        <v>38</v>
      </c>
      <c r="H921" s="1">
        <v>46</v>
      </c>
      <c r="I921" s="1">
        <v>0.99504000000000004</v>
      </c>
      <c r="J921" s="1">
        <v>3.38</v>
      </c>
      <c r="K921" s="1">
        <v>0.89</v>
      </c>
      <c r="L921" s="1">
        <v>11.8</v>
      </c>
      <c r="M921" s="2">
        <v>6</v>
      </c>
      <c r="N921" s="2" t="str" cm="1">
        <f t="array" ref="N921">_xlfn.IFS(Table1[[#This Row],[quality]]&lt;=4,"Low",Table1[[#This Row],[quality]]&lt;=6,"Medium",Table1[[#This Row],[quality]]&gt;=7,"High")</f>
        <v>Medium</v>
      </c>
      <c r="O921" s="2" t="str">
        <f>IF(AND(Table1[[#This Row],[fixed acidity]]&gt;Sheet1!$C$4,Table1[[#This Row],[pH]]&lt;Sheet1!$K$4),"High","Normal")</f>
        <v>Normal</v>
      </c>
      <c r="P921" s="1">
        <f>(Table1[[#This Row],[alcohol]]*2)+(Table1[[#This Row],[sulphates]]*1.5)-(Table1[[#This Row],[volatile acidity]]*2)</f>
        <v>23.695000000000004</v>
      </c>
      <c r="Q921" s="1">
        <f>RANK(Table1[[#This Row],[Quality_score_index]],Table1[Quality_score_index],0)</f>
        <v>201</v>
      </c>
      <c r="R921" s="1">
        <f>Table1[[#This Row],[total sulfur dioxide]]-Table1[[#This Row],[free sulfur dioxide]]</f>
        <v>8</v>
      </c>
      <c r="S921" s="1" t="str">
        <f>IF(AND(Table1[[#This Row],[pH]]&gt;=3.2,Table1[[#This Row],[alcohol]]&gt;=10),"White wine","Red wine")</f>
        <v>White wine</v>
      </c>
    </row>
    <row r="922" spans="1:19" x14ac:dyDescent="0.3">
      <c r="A922" s="13">
        <v>921</v>
      </c>
      <c r="B922" s="1">
        <v>9.6</v>
      </c>
      <c r="C922" s="1">
        <v>0.41</v>
      </c>
      <c r="D922" s="1">
        <v>0.37</v>
      </c>
      <c r="E922" s="1">
        <v>2.2999999999999998</v>
      </c>
      <c r="F922" s="1">
        <v>9.0999999999999998E-2</v>
      </c>
      <c r="G922" s="1">
        <v>10</v>
      </c>
      <c r="H922" s="1">
        <v>23</v>
      </c>
      <c r="I922" s="1">
        <v>0.99785999999999997</v>
      </c>
      <c r="J922" s="1">
        <v>3.24</v>
      </c>
      <c r="K922" s="1">
        <v>0.56000000000000005</v>
      </c>
      <c r="L922" s="1">
        <v>10.5</v>
      </c>
      <c r="M922" s="2">
        <v>5</v>
      </c>
      <c r="N922" s="2" t="str" cm="1">
        <f t="array" ref="N922">_xlfn.IFS(Table1[[#This Row],[quality]]&lt;=4,"Low",Table1[[#This Row],[quality]]&lt;=6,"Medium",Table1[[#This Row],[quality]]&gt;=7,"High")</f>
        <v>Medium</v>
      </c>
      <c r="O922" s="2" t="str">
        <f>IF(AND(Table1[[#This Row],[fixed acidity]]&gt;Sheet1!$C$4,Table1[[#This Row],[pH]]&lt;Sheet1!$K$4),"High","Normal")</f>
        <v>High</v>
      </c>
      <c r="P922" s="1">
        <f>(Table1[[#This Row],[alcohol]]*2)+(Table1[[#This Row],[sulphates]]*1.5)-(Table1[[#This Row],[volatile acidity]]*2)</f>
        <v>21.02</v>
      </c>
      <c r="Q922" s="1">
        <f>RANK(Table1[[#This Row],[Quality_score_index]],Table1[Quality_score_index],0)</f>
        <v>647</v>
      </c>
      <c r="R922" s="1">
        <f>Table1[[#This Row],[total sulfur dioxide]]-Table1[[#This Row],[free sulfur dioxide]]</f>
        <v>13</v>
      </c>
      <c r="S922" s="1" t="str">
        <f>IF(AND(Table1[[#This Row],[pH]]&gt;=3.2,Table1[[#This Row],[alcohol]]&gt;=10),"White wine","Red wine")</f>
        <v>White wine</v>
      </c>
    </row>
    <row r="923" spans="1:19" x14ac:dyDescent="0.3">
      <c r="A923" s="13">
        <v>922</v>
      </c>
      <c r="B923" s="1">
        <v>8.4</v>
      </c>
      <c r="C923" s="1">
        <v>0.36</v>
      </c>
      <c r="D923" s="1">
        <v>0.32</v>
      </c>
      <c r="E923" s="1">
        <v>2.2000000000000002</v>
      </c>
      <c r="F923" s="1">
        <v>8.1000000000000003E-2</v>
      </c>
      <c r="G923" s="1">
        <v>32</v>
      </c>
      <c r="H923" s="1">
        <v>79</v>
      </c>
      <c r="I923" s="1">
        <v>0.99639999999999995</v>
      </c>
      <c r="J923" s="1">
        <v>3.3</v>
      </c>
      <c r="K923" s="1">
        <v>0.72</v>
      </c>
      <c r="L923" s="1">
        <v>11</v>
      </c>
      <c r="M923" s="2">
        <v>6</v>
      </c>
      <c r="N923" s="2" t="str" cm="1">
        <f t="array" ref="N923">_xlfn.IFS(Table1[[#This Row],[quality]]&lt;=4,"Low",Table1[[#This Row],[quality]]&lt;=6,"Medium",Table1[[#This Row],[quality]]&gt;=7,"High")</f>
        <v>Medium</v>
      </c>
      <c r="O923" s="2" t="str">
        <f>IF(AND(Table1[[#This Row],[fixed acidity]]&gt;Sheet1!$C$4,Table1[[#This Row],[pH]]&lt;Sheet1!$K$4),"High","Normal")</f>
        <v>High</v>
      </c>
      <c r="P923" s="1">
        <f>(Table1[[#This Row],[alcohol]]*2)+(Table1[[#This Row],[sulphates]]*1.5)-(Table1[[#This Row],[volatile acidity]]*2)</f>
        <v>22.36</v>
      </c>
      <c r="Q923" s="1">
        <f>RANK(Table1[[#This Row],[Quality_score_index]],Table1[Quality_score_index],0)</f>
        <v>398</v>
      </c>
      <c r="R923" s="1">
        <f>Table1[[#This Row],[total sulfur dioxide]]-Table1[[#This Row],[free sulfur dioxide]]</f>
        <v>47</v>
      </c>
      <c r="S923" s="1" t="str">
        <f>IF(AND(Table1[[#This Row],[pH]]&gt;=3.2,Table1[[#This Row],[alcohol]]&gt;=10),"White wine","Red wine")</f>
        <v>White wine</v>
      </c>
    </row>
    <row r="924" spans="1:19" x14ac:dyDescent="0.3">
      <c r="A924" s="13">
        <v>923</v>
      </c>
      <c r="B924" s="1">
        <v>8.4</v>
      </c>
      <c r="C924" s="1">
        <v>0.62</v>
      </c>
      <c r="D924" s="1">
        <v>0.12</v>
      </c>
      <c r="E924" s="1">
        <v>1.8</v>
      </c>
      <c r="F924" s="1">
        <v>7.1999999999999995E-2</v>
      </c>
      <c r="G924" s="1">
        <v>38</v>
      </c>
      <c r="H924" s="1">
        <v>46</v>
      </c>
      <c r="I924" s="1">
        <v>0.99504000000000004</v>
      </c>
      <c r="J924" s="1">
        <v>3.38</v>
      </c>
      <c r="K924" s="1">
        <v>0.89</v>
      </c>
      <c r="L924" s="1">
        <v>11.8</v>
      </c>
      <c r="M924" s="2">
        <v>6</v>
      </c>
      <c r="N924" s="2" t="str" cm="1">
        <f t="array" ref="N924">_xlfn.IFS(Table1[[#This Row],[quality]]&lt;=4,"Low",Table1[[#This Row],[quality]]&lt;=6,"Medium",Table1[[#This Row],[quality]]&gt;=7,"High")</f>
        <v>Medium</v>
      </c>
      <c r="O924" s="2" t="str">
        <f>IF(AND(Table1[[#This Row],[fixed acidity]]&gt;Sheet1!$C$4,Table1[[#This Row],[pH]]&lt;Sheet1!$K$4),"High","Normal")</f>
        <v>Normal</v>
      </c>
      <c r="P924" s="1">
        <f>(Table1[[#This Row],[alcohol]]*2)+(Table1[[#This Row],[sulphates]]*1.5)-(Table1[[#This Row],[volatile acidity]]*2)</f>
        <v>23.695000000000004</v>
      </c>
      <c r="Q924" s="1">
        <f>RANK(Table1[[#This Row],[Quality_score_index]],Table1[Quality_score_index],0)</f>
        <v>201</v>
      </c>
      <c r="R924" s="1">
        <f>Table1[[#This Row],[total sulfur dioxide]]-Table1[[#This Row],[free sulfur dioxide]]</f>
        <v>8</v>
      </c>
      <c r="S924" s="1" t="str">
        <f>IF(AND(Table1[[#This Row],[pH]]&gt;=3.2,Table1[[#This Row],[alcohol]]&gt;=10),"White wine","Red wine")</f>
        <v>White wine</v>
      </c>
    </row>
    <row r="925" spans="1:19" x14ac:dyDescent="0.3">
      <c r="A925" s="13">
        <v>924</v>
      </c>
      <c r="B925" s="1">
        <v>6.8</v>
      </c>
      <c r="C925" s="1">
        <v>0.41</v>
      </c>
      <c r="D925" s="1">
        <v>0.31</v>
      </c>
      <c r="E925" s="1">
        <v>8.8000000000000007</v>
      </c>
      <c r="F925" s="1">
        <v>8.4000000000000005E-2</v>
      </c>
      <c r="G925" s="1">
        <v>26</v>
      </c>
      <c r="H925" s="1">
        <v>45</v>
      </c>
      <c r="I925" s="1">
        <v>0.99824000000000002</v>
      </c>
      <c r="J925" s="1">
        <v>3.38</v>
      </c>
      <c r="K925" s="1">
        <v>0.64</v>
      </c>
      <c r="L925" s="1">
        <v>10.1</v>
      </c>
      <c r="M925" s="2">
        <v>6</v>
      </c>
      <c r="N925" s="2" t="str" cm="1">
        <f t="array" ref="N925">_xlfn.IFS(Table1[[#This Row],[quality]]&lt;=4,"Low",Table1[[#This Row],[quality]]&lt;=6,"Medium",Table1[[#This Row],[quality]]&gt;=7,"High")</f>
        <v>Medium</v>
      </c>
      <c r="O925" s="2" t="str">
        <f>IF(AND(Table1[[#This Row],[fixed acidity]]&gt;Sheet1!$C$4,Table1[[#This Row],[pH]]&lt;Sheet1!$K$4),"High","Normal")</f>
        <v>Normal</v>
      </c>
      <c r="P925" s="1">
        <f>(Table1[[#This Row],[alcohol]]*2)+(Table1[[#This Row],[sulphates]]*1.5)-(Table1[[#This Row],[volatile acidity]]*2)</f>
        <v>20.34</v>
      </c>
      <c r="Q925" s="1">
        <f>RANK(Table1[[#This Row],[Quality_score_index]],Table1[Quality_score_index],0)</f>
        <v>782</v>
      </c>
      <c r="R925" s="1">
        <f>Table1[[#This Row],[total sulfur dioxide]]-Table1[[#This Row],[free sulfur dioxide]]</f>
        <v>19</v>
      </c>
      <c r="S925" s="1" t="str">
        <f>IF(AND(Table1[[#This Row],[pH]]&gt;=3.2,Table1[[#This Row],[alcohol]]&gt;=10),"White wine","Red wine")</f>
        <v>White wine</v>
      </c>
    </row>
    <row r="926" spans="1:19" x14ac:dyDescent="0.3">
      <c r="A926" s="13">
        <v>925</v>
      </c>
      <c r="B926" s="1">
        <v>8.6</v>
      </c>
      <c r="C926" s="1">
        <v>0.47</v>
      </c>
      <c r="D926" s="1">
        <v>0.27</v>
      </c>
      <c r="E926" s="1">
        <v>2.2999999999999998</v>
      </c>
      <c r="F926" s="1">
        <v>5.5E-2</v>
      </c>
      <c r="G926" s="1">
        <v>14</v>
      </c>
      <c r="H926" s="1">
        <v>28</v>
      </c>
      <c r="I926" s="1">
        <v>0.99516000000000004</v>
      </c>
      <c r="J926" s="1">
        <v>3.18</v>
      </c>
      <c r="K926" s="1">
        <v>0.8</v>
      </c>
      <c r="L926" s="1">
        <v>11.2</v>
      </c>
      <c r="M926" s="2">
        <v>5</v>
      </c>
      <c r="N926" s="2" t="str" cm="1">
        <f t="array" ref="N926">_xlfn.IFS(Table1[[#This Row],[quality]]&lt;=4,"Low",Table1[[#This Row],[quality]]&lt;=6,"Medium",Table1[[#This Row],[quality]]&gt;=7,"High")</f>
        <v>Medium</v>
      </c>
      <c r="O926" s="2" t="str">
        <f>IF(AND(Table1[[#This Row],[fixed acidity]]&gt;Sheet1!$C$4,Table1[[#This Row],[pH]]&lt;Sheet1!$K$4),"High","Normal")</f>
        <v>High</v>
      </c>
      <c r="P926" s="1">
        <f>(Table1[[#This Row],[alcohol]]*2)+(Table1[[#This Row],[sulphates]]*1.5)-(Table1[[#This Row],[volatile acidity]]*2)</f>
        <v>22.659999999999997</v>
      </c>
      <c r="Q926" s="1">
        <f>RANK(Table1[[#This Row],[Quality_score_index]],Table1[Quality_score_index],0)</f>
        <v>333</v>
      </c>
      <c r="R926" s="1">
        <f>Table1[[#This Row],[total sulfur dioxide]]-Table1[[#This Row],[free sulfur dioxide]]</f>
        <v>14</v>
      </c>
      <c r="S926" s="1" t="str">
        <f>IF(AND(Table1[[#This Row],[pH]]&gt;=3.2,Table1[[#This Row],[alcohol]]&gt;=10),"White wine","Red wine")</f>
        <v>Red wine</v>
      </c>
    </row>
    <row r="927" spans="1:19" x14ac:dyDescent="0.3">
      <c r="A927" s="13">
        <v>926</v>
      </c>
      <c r="B927" s="1">
        <v>8.6</v>
      </c>
      <c r="C927" s="1">
        <v>0.22</v>
      </c>
      <c r="D927" s="1">
        <v>0.36</v>
      </c>
      <c r="E927" s="1">
        <v>1.9</v>
      </c>
      <c r="F927" s="1">
        <v>6.4000000000000001E-2</v>
      </c>
      <c r="G927" s="1">
        <v>53</v>
      </c>
      <c r="H927" s="1">
        <v>77</v>
      </c>
      <c r="I927" s="1">
        <v>0.99604000000000004</v>
      </c>
      <c r="J927" s="1">
        <v>3.47</v>
      </c>
      <c r="K927" s="1">
        <v>0.87</v>
      </c>
      <c r="L927" s="1">
        <v>11</v>
      </c>
      <c r="M927" s="2">
        <v>7</v>
      </c>
      <c r="N927" s="2" t="str" cm="1">
        <f t="array" ref="N927">_xlfn.IFS(Table1[[#This Row],[quality]]&lt;=4,"Low",Table1[[#This Row],[quality]]&lt;=6,"Medium",Table1[[#This Row],[quality]]&gt;=7,"High")</f>
        <v>High</v>
      </c>
      <c r="O927" s="2" t="str">
        <f>IF(AND(Table1[[#This Row],[fixed acidity]]&gt;Sheet1!$C$4,Table1[[#This Row],[pH]]&lt;Sheet1!$K$4),"High","Normal")</f>
        <v>Normal</v>
      </c>
      <c r="P927" s="1">
        <f>(Table1[[#This Row],[alcohol]]*2)+(Table1[[#This Row],[sulphates]]*1.5)-(Table1[[#This Row],[volatile acidity]]*2)</f>
        <v>22.864999999999998</v>
      </c>
      <c r="Q927" s="1">
        <f>RANK(Table1[[#This Row],[Quality_score_index]],Table1[Quality_score_index],0)</f>
        <v>300</v>
      </c>
      <c r="R927" s="1">
        <f>Table1[[#This Row],[total sulfur dioxide]]-Table1[[#This Row],[free sulfur dioxide]]</f>
        <v>24</v>
      </c>
      <c r="S927" s="1" t="str">
        <f>IF(AND(Table1[[#This Row],[pH]]&gt;=3.2,Table1[[#This Row],[alcohol]]&gt;=10),"White wine","Red wine")</f>
        <v>White wine</v>
      </c>
    </row>
    <row r="928" spans="1:19" x14ac:dyDescent="0.3">
      <c r="A928" s="13">
        <v>927</v>
      </c>
      <c r="B928" s="1">
        <v>9.4</v>
      </c>
      <c r="C928" s="1">
        <v>0.24</v>
      </c>
      <c r="D928" s="1">
        <v>0.33</v>
      </c>
      <c r="E928" s="1">
        <v>2.2999999999999998</v>
      </c>
      <c r="F928" s="1">
        <v>6.0999999999999999E-2</v>
      </c>
      <c r="G928" s="1">
        <v>52</v>
      </c>
      <c r="H928" s="1">
        <v>73</v>
      </c>
      <c r="I928" s="1">
        <v>0.99785999999999997</v>
      </c>
      <c r="J928" s="1">
        <v>3.47</v>
      </c>
      <c r="K928" s="1">
        <v>0.9</v>
      </c>
      <c r="L928" s="1">
        <v>10.199999999999999</v>
      </c>
      <c r="M928" s="2">
        <v>6</v>
      </c>
      <c r="N928" s="2" t="str" cm="1">
        <f t="array" ref="N928">_xlfn.IFS(Table1[[#This Row],[quality]]&lt;=4,"Low",Table1[[#This Row],[quality]]&lt;=6,"Medium",Table1[[#This Row],[quality]]&gt;=7,"High")</f>
        <v>Medium</v>
      </c>
      <c r="O928" s="2" t="str">
        <f>IF(AND(Table1[[#This Row],[fixed acidity]]&gt;Sheet1!$C$4,Table1[[#This Row],[pH]]&lt;Sheet1!$K$4),"High","Normal")</f>
        <v>Normal</v>
      </c>
      <c r="P928" s="1">
        <f>(Table1[[#This Row],[alcohol]]*2)+(Table1[[#This Row],[sulphates]]*1.5)-(Table1[[#This Row],[volatile acidity]]*2)</f>
        <v>21.27</v>
      </c>
      <c r="Q928" s="1">
        <f>RANK(Table1[[#This Row],[Quality_score_index]],Table1[Quality_score_index],0)</f>
        <v>587</v>
      </c>
      <c r="R928" s="1">
        <f>Table1[[#This Row],[total sulfur dioxide]]-Table1[[#This Row],[free sulfur dioxide]]</f>
        <v>21</v>
      </c>
      <c r="S928" s="1" t="str">
        <f>IF(AND(Table1[[#This Row],[pH]]&gt;=3.2,Table1[[#This Row],[alcohol]]&gt;=10),"White wine","Red wine")</f>
        <v>White wine</v>
      </c>
    </row>
    <row r="929" spans="1:19" x14ac:dyDescent="0.3">
      <c r="A929" s="13">
        <v>928</v>
      </c>
      <c r="B929" s="1">
        <v>8.4</v>
      </c>
      <c r="C929" s="1">
        <v>0.67</v>
      </c>
      <c r="D929" s="1">
        <v>0.19</v>
      </c>
      <c r="E929" s="1">
        <v>2.2000000000000002</v>
      </c>
      <c r="F929" s="1">
        <v>9.2999999999999999E-2</v>
      </c>
      <c r="G929" s="1">
        <v>11</v>
      </c>
      <c r="H929" s="1">
        <v>75</v>
      </c>
      <c r="I929" s="1">
        <v>0.99736000000000002</v>
      </c>
      <c r="J929" s="1">
        <v>3.2</v>
      </c>
      <c r="K929" s="1">
        <v>0.59</v>
      </c>
      <c r="L929" s="1">
        <v>9.1999999999999993</v>
      </c>
      <c r="M929" s="2">
        <v>4</v>
      </c>
      <c r="N929" s="2" t="str" cm="1">
        <f t="array" ref="N929">_xlfn.IFS(Table1[[#This Row],[quality]]&lt;=4,"Low",Table1[[#This Row],[quality]]&lt;=6,"Medium",Table1[[#This Row],[quality]]&gt;=7,"High")</f>
        <v>Low</v>
      </c>
      <c r="O929" s="2" t="str">
        <f>IF(AND(Table1[[#This Row],[fixed acidity]]&gt;Sheet1!$C$4,Table1[[#This Row],[pH]]&lt;Sheet1!$K$4),"High","Normal")</f>
        <v>High</v>
      </c>
      <c r="P929" s="1">
        <f>(Table1[[#This Row],[alcohol]]*2)+(Table1[[#This Row],[sulphates]]*1.5)-(Table1[[#This Row],[volatile acidity]]*2)</f>
        <v>17.945</v>
      </c>
      <c r="Q929" s="1">
        <f>RANK(Table1[[#This Row],[Quality_score_index]],Table1[Quality_score_index],0)</f>
        <v>1529</v>
      </c>
      <c r="R929" s="1">
        <f>Table1[[#This Row],[total sulfur dioxide]]-Table1[[#This Row],[free sulfur dioxide]]</f>
        <v>64</v>
      </c>
      <c r="S929" s="1" t="str">
        <f>IF(AND(Table1[[#This Row],[pH]]&gt;=3.2,Table1[[#This Row],[alcohol]]&gt;=10),"White wine","Red wine")</f>
        <v>Red wine</v>
      </c>
    </row>
    <row r="930" spans="1:19" x14ac:dyDescent="0.3">
      <c r="A930" s="13">
        <v>929</v>
      </c>
      <c r="B930" s="1">
        <v>8.6</v>
      </c>
      <c r="C930" s="1">
        <v>0.47</v>
      </c>
      <c r="D930" s="1">
        <v>0.27</v>
      </c>
      <c r="E930" s="1">
        <v>2.2999999999999998</v>
      </c>
      <c r="F930" s="1">
        <v>5.5E-2</v>
      </c>
      <c r="G930" s="1">
        <v>14</v>
      </c>
      <c r="H930" s="1">
        <v>28</v>
      </c>
      <c r="I930" s="1">
        <v>0.99516000000000004</v>
      </c>
      <c r="J930" s="1">
        <v>3.18</v>
      </c>
      <c r="K930" s="1">
        <v>0.8</v>
      </c>
      <c r="L930" s="1">
        <v>11.2</v>
      </c>
      <c r="M930" s="2">
        <v>5</v>
      </c>
      <c r="N930" s="2" t="str" cm="1">
        <f t="array" ref="N930">_xlfn.IFS(Table1[[#This Row],[quality]]&lt;=4,"Low",Table1[[#This Row],[quality]]&lt;=6,"Medium",Table1[[#This Row],[quality]]&gt;=7,"High")</f>
        <v>Medium</v>
      </c>
      <c r="O930" s="2" t="str">
        <f>IF(AND(Table1[[#This Row],[fixed acidity]]&gt;Sheet1!$C$4,Table1[[#This Row],[pH]]&lt;Sheet1!$K$4),"High","Normal")</f>
        <v>High</v>
      </c>
      <c r="P930" s="1">
        <f>(Table1[[#This Row],[alcohol]]*2)+(Table1[[#This Row],[sulphates]]*1.5)-(Table1[[#This Row],[volatile acidity]]*2)</f>
        <v>22.659999999999997</v>
      </c>
      <c r="Q930" s="1">
        <f>RANK(Table1[[#This Row],[Quality_score_index]],Table1[Quality_score_index],0)</f>
        <v>333</v>
      </c>
      <c r="R930" s="1">
        <f>Table1[[#This Row],[total sulfur dioxide]]-Table1[[#This Row],[free sulfur dioxide]]</f>
        <v>14</v>
      </c>
      <c r="S930" s="1" t="str">
        <f>IF(AND(Table1[[#This Row],[pH]]&gt;=3.2,Table1[[#This Row],[alcohol]]&gt;=10),"White wine","Red wine")</f>
        <v>Red wine</v>
      </c>
    </row>
    <row r="931" spans="1:19" x14ac:dyDescent="0.3">
      <c r="A931" s="13">
        <v>930</v>
      </c>
      <c r="B931" s="1">
        <v>8.6999999999999993</v>
      </c>
      <c r="C931" s="1">
        <v>0.33</v>
      </c>
      <c r="D931" s="1">
        <v>0.38</v>
      </c>
      <c r="E931" s="1">
        <v>3.3</v>
      </c>
      <c r="F931" s="1">
        <v>6.3E-2</v>
      </c>
      <c r="G931" s="1">
        <v>10</v>
      </c>
      <c r="H931" s="1">
        <v>19</v>
      </c>
      <c r="I931" s="1">
        <v>0.99468000000000001</v>
      </c>
      <c r="J931" s="1">
        <v>3.3</v>
      </c>
      <c r="K931" s="1">
        <v>0.73</v>
      </c>
      <c r="L931" s="1">
        <v>12</v>
      </c>
      <c r="M931" s="2">
        <v>7</v>
      </c>
      <c r="N931" s="2" t="str" cm="1">
        <f t="array" ref="N931">_xlfn.IFS(Table1[[#This Row],[quality]]&lt;=4,"Low",Table1[[#This Row],[quality]]&lt;=6,"Medium",Table1[[#This Row],[quality]]&gt;=7,"High")</f>
        <v>High</v>
      </c>
      <c r="O931" s="2" t="str">
        <f>IF(AND(Table1[[#This Row],[fixed acidity]]&gt;Sheet1!$C$4,Table1[[#This Row],[pH]]&lt;Sheet1!$K$4),"High","Normal")</f>
        <v>High</v>
      </c>
      <c r="P931" s="1">
        <f>(Table1[[#This Row],[alcohol]]*2)+(Table1[[#This Row],[sulphates]]*1.5)-(Table1[[#This Row],[volatile acidity]]*2)</f>
        <v>24.434999999999999</v>
      </c>
      <c r="Q931" s="1">
        <f>RANK(Table1[[#This Row],[Quality_score_index]],Table1[Quality_score_index],0)</f>
        <v>131</v>
      </c>
      <c r="R931" s="1">
        <f>Table1[[#This Row],[total sulfur dioxide]]-Table1[[#This Row],[free sulfur dioxide]]</f>
        <v>9</v>
      </c>
      <c r="S931" s="1" t="str">
        <f>IF(AND(Table1[[#This Row],[pH]]&gt;=3.2,Table1[[#This Row],[alcohol]]&gt;=10),"White wine","Red wine")</f>
        <v>White wine</v>
      </c>
    </row>
    <row r="932" spans="1:19" x14ac:dyDescent="0.3">
      <c r="A932" s="13">
        <v>931</v>
      </c>
      <c r="B932" s="1">
        <v>6.6</v>
      </c>
      <c r="C932" s="1">
        <v>0.61</v>
      </c>
      <c r="D932" s="1">
        <v>0.01</v>
      </c>
      <c r="E932" s="1">
        <v>1.9</v>
      </c>
      <c r="F932" s="1">
        <v>0.08</v>
      </c>
      <c r="G932" s="1">
        <v>8</v>
      </c>
      <c r="H932" s="1">
        <v>25</v>
      </c>
      <c r="I932" s="1">
        <v>0.99746000000000001</v>
      </c>
      <c r="J932" s="1">
        <v>3.69</v>
      </c>
      <c r="K932" s="1">
        <v>0.73</v>
      </c>
      <c r="L932" s="1">
        <v>10.5</v>
      </c>
      <c r="M932" s="2">
        <v>5</v>
      </c>
      <c r="N932" s="2" t="str" cm="1">
        <f t="array" ref="N932">_xlfn.IFS(Table1[[#This Row],[quality]]&lt;=4,"Low",Table1[[#This Row],[quality]]&lt;=6,"Medium",Table1[[#This Row],[quality]]&gt;=7,"High")</f>
        <v>Medium</v>
      </c>
      <c r="O932" s="2" t="str">
        <f>IF(AND(Table1[[#This Row],[fixed acidity]]&gt;Sheet1!$C$4,Table1[[#This Row],[pH]]&lt;Sheet1!$K$4),"High","Normal")</f>
        <v>Normal</v>
      </c>
      <c r="P932" s="1">
        <f>(Table1[[#This Row],[alcohol]]*2)+(Table1[[#This Row],[sulphates]]*1.5)-(Table1[[#This Row],[volatile acidity]]*2)</f>
        <v>20.875</v>
      </c>
      <c r="Q932" s="1">
        <f>RANK(Table1[[#This Row],[Quality_score_index]],Table1[Quality_score_index],0)</f>
        <v>679</v>
      </c>
      <c r="R932" s="1">
        <f>Table1[[#This Row],[total sulfur dioxide]]-Table1[[#This Row],[free sulfur dioxide]]</f>
        <v>17</v>
      </c>
      <c r="S932" s="1" t="str">
        <f>IF(AND(Table1[[#This Row],[pH]]&gt;=3.2,Table1[[#This Row],[alcohol]]&gt;=10),"White wine","Red wine")</f>
        <v>White wine</v>
      </c>
    </row>
    <row r="933" spans="1:19" x14ac:dyDescent="0.3">
      <c r="A933" s="13">
        <v>932</v>
      </c>
      <c r="B933" s="1">
        <v>7.4</v>
      </c>
      <c r="C933" s="1">
        <v>0.61</v>
      </c>
      <c r="D933" s="1">
        <v>0.01</v>
      </c>
      <c r="E933" s="1">
        <v>2</v>
      </c>
      <c r="F933" s="1">
        <v>7.3999999999999996E-2</v>
      </c>
      <c r="G933" s="1">
        <v>13</v>
      </c>
      <c r="H933" s="1">
        <v>38</v>
      </c>
      <c r="I933" s="1">
        <v>0.99748000000000003</v>
      </c>
      <c r="J933" s="1">
        <v>3.48</v>
      </c>
      <c r="K933" s="1">
        <v>0.65</v>
      </c>
      <c r="L933" s="1">
        <v>9.8000000000000007</v>
      </c>
      <c r="M933" s="2">
        <v>5</v>
      </c>
      <c r="N933" s="2" t="str" cm="1">
        <f t="array" ref="N933">_xlfn.IFS(Table1[[#This Row],[quality]]&lt;=4,"Low",Table1[[#This Row],[quality]]&lt;=6,"Medium",Table1[[#This Row],[quality]]&gt;=7,"High")</f>
        <v>Medium</v>
      </c>
      <c r="O933" s="2" t="str">
        <f>IF(AND(Table1[[#This Row],[fixed acidity]]&gt;Sheet1!$C$4,Table1[[#This Row],[pH]]&lt;Sheet1!$K$4),"High","Normal")</f>
        <v>Normal</v>
      </c>
      <c r="P933" s="1">
        <f>(Table1[[#This Row],[alcohol]]*2)+(Table1[[#This Row],[sulphates]]*1.5)-(Table1[[#This Row],[volatile acidity]]*2)</f>
        <v>19.355000000000004</v>
      </c>
      <c r="Q933" s="1">
        <f>RANK(Table1[[#This Row],[Quality_score_index]],Table1[Quality_score_index],0)</f>
        <v>1020</v>
      </c>
      <c r="R933" s="1">
        <f>Table1[[#This Row],[total sulfur dioxide]]-Table1[[#This Row],[free sulfur dioxide]]</f>
        <v>25</v>
      </c>
      <c r="S933" s="1" t="str">
        <f>IF(AND(Table1[[#This Row],[pH]]&gt;=3.2,Table1[[#This Row],[alcohol]]&gt;=10),"White wine","Red wine")</f>
        <v>Red wine</v>
      </c>
    </row>
    <row r="934" spans="1:19" x14ac:dyDescent="0.3">
      <c r="A934" s="13">
        <v>933</v>
      </c>
      <c r="B934" s="1">
        <v>7.6</v>
      </c>
      <c r="C934" s="1">
        <v>0.4</v>
      </c>
      <c r="D934" s="1">
        <v>0.28999999999999998</v>
      </c>
      <c r="E934" s="1">
        <v>1.9</v>
      </c>
      <c r="F934" s="1">
        <v>7.8E-2</v>
      </c>
      <c r="G934" s="1">
        <v>29</v>
      </c>
      <c r="H934" s="1">
        <v>66</v>
      </c>
      <c r="I934" s="1">
        <v>0.99709999999999999</v>
      </c>
      <c r="J934" s="1">
        <v>3.45</v>
      </c>
      <c r="K934" s="1">
        <v>0.59</v>
      </c>
      <c r="L934" s="1">
        <v>9.5</v>
      </c>
      <c r="M934" s="2">
        <v>6</v>
      </c>
      <c r="N934" s="2" t="str" cm="1">
        <f t="array" ref="N934">_xlfn.IFS(Table1[[#This Row],[quality]]&lt;=4,"Low",Table1[[#This Row],[quality]]&lt;=6,"Medium",Table1[[#This Row],[quality]]&gt;=7,"High")</f>
        <v>Medium</v>
      </c>
      <c r="O934" s="2" t="str">
        <f>IF(AND(Table1[[#This Row],[fixed acidity]]&gt;Sheet1!$C$4,Table1[[#This Row],[pH]]&lt;Sheet1!$K$4),"High","Normal")</f>
        <v>Normal</v>
      </c>
      <c r="P934" s="1">
        <f>(Table1[[#This Row],[alcohol]]*2)+(Table1[[#This Row],[sulphates]]*1.5)-(Table1[[#This Row],[volatile acidity]]*2)</f>
        <v>19.085000000000001</v>
      </c>
      <c r="Q934" s="1">
        <f>RANK(Table1[[#This Row],[Quality_score_index]],Table1[Quality_score_index],0)</f>
        <v>1127</v>
      </c>
      <c r="R934" s="1">
        <f>Table1[[#This Row],[total sulfur dioxide]]-Table1[[#This Row],[free sulfur dioxide]]</f>
        <v>37</v>
      </c>
      <c r="S934" s="1" t="str">
        <f>IF(AND(Table1[[#This Row],[pH]]&gt;=3.2,Table1[[#This Row],[alcohol]]&gt;=10),"White wine","Red wine")</f>
        <v>Red wine</v>
      </c>
    </row>
    <row r="935" spans="1:19" x14ac:dyDescent="0.3">
      <c r="A935" s="13">
        <v>934</v>
      </c>
      <c r="B935" s="1">
        <v>7.4</v>
      </c>
      <c r="C935" s="1">
        <v>0.61</v>
      </c>
      <c r="D935" s="1">
        <v>0.01</v>
      </c>
      <c r="E935" s="1">
        <v>2</v>
      </c>
      <c r="F935" s="1">
        <v>7.3999999999999996E-2</v>
      </c>
      <c r="G935" s="1">
        <v>13</v>
      </c>
      <c r="H935" s="1">
        <v>38</v>
      </c>
      <c r="I935" s="1">
        <v>0.99748000000000003</v>
      </c>
      <c r="J935" s="1">
        <v>3.48</v>
      </c>
      <c r="K935" s="1">
        <v>0.65</v>
      </c>
      <c r="L935" s="1">
        <v>9.8000000000000007</v>
      </c>
      <c r="M935" s="2">
        <v>5</v>
      </c>
      <c r="N935" s="2" t="str" cm="1">
        <f t="array" ref="N935">_xlfn.IFS(Table1[[#This Row],[quality]]&lt;=4,"Low",Table1[[#This Row],[quality]]&lt;=6,"Medium",Table1[[#This Row],[quality]]&gt;=7,"High")</f>
        <v>Medium</v>
      </c>
      <c r="O935" s="2" t="str">
        <f>IF(AND(Table1[[#This Row],[fixed acidity]]&gt;Sheet1!$C$4,Table1[[#This Row],[pH]]&lt;Sheet1!$K$4),"High","Normal")</f>
        <v>Normal</v>
      </c>
      <c r="P935" s="1">
        <f>(Table1[[#This Row],[alcohol]]*2)+(Table1[[#This Row],[sulphates]]*1.5)-(Table1[[#This Row],[volatile acidity]]*2)</f>
        <v>19.355000000000004</v>
      </c>
      <c r="Q935" s="1">
        <f>RANK(Table1[[#This Row],[Quality_score_index]],Table1[Quality_score_index],0)</f>
        <v>1020</v>
      </c>
      <c r="R935" s="1">
        <f>Table1[[#This Row],[total sulfur dioxide]]-Table1[[#This Row],[free sulfur dioxide]]</f>
        <v>25</v>
      </c>
      <c r="S935" s="1" t="str">
        <f>IF(AND(Table1[[#This Row],[pH]]&gt;=3.2,Table1[[#This Row],[alcohol]]&gt;=10),"White wine","Red wine")</f>
        <v>Red wine</v>
      </c>
    </row>
    <row r="936" spans="1:19" x14ac:dyDescent="0.3">
      <c r="A936" s="13">
        <v>935</v>
      </c>
      <c r="B936" s="1">
        <v>6.6</v>
      </c>
      <c r="C936" s="1">
        <v>0.61</v>
      </c>
      <c r="D936" s="1">
        <v>0.01</v>
      </c>
      <c r="E936" s="1">
        <v>1.9</v>
      </c>
      <c r="F936" s="1">
        <v>0.08</v>
      </c>
      <c r="G936" s="1">
        <v>8</v>
      </c>
      <c r="H936" s="1">
        <v>25</v>
      </c>
      <c r="I936" s="1">
        <v>0.99746000000000001</v>
      </c>
      <c r="J936" s="1">
        <v>3.69</v>
      </c>
      <c r="K936" s="1">
        <v>0.73</v>
      </c>
      <c r="L936" s="1">
        <v>10.5</v>
      </c>
      <c r="M936" s="2">
        <v>5</v>
      </c>
      <c r="N936" s="2" t="str" cm="1">
        <f t="array" ref="N936">_xlfn.IFS(Table1[[#This Row],[quality]]&lt;=4,"Low",Table1[[#This Row],[quality]]&lt;=6,"Medium",Table1[[#This Row],[quality]]&gt;=7,"High")</f>
        <v>Medium</v>
      </c>
      <c r="O936" s="2" t="str">
        <f>IF(AND(Table1[[#This Row],[fixed acidity]]&gt;Sheet1!$C$4,Table1[[#This Row],[pH]]&lt;Sheet1!$K$4),"High","Normal")</f>
        <v>Normal</v>
      </c>
      <c r="P936" s="1">
        <f>(Table1[[#This Row],[alcohol]]*2)+(Table1[[#This Row],[sulphates]]*1.5)-(Table1[[#This Row],[volatile acidity]]*2)</f>
        <v>20.875</v>
      </c>
      <c r="Q936" s="1">
        <f>RANK(Table1[[#This Row],[Quality_score_index]],Table1[Quality_score_index],0)</f>
        <v>679</v>
      </c>
      <c r="R936" s="1">
        <f>Table1[[#This Row],[total sulfur dioxide]]-Table1[[#This Row],[free sulfur dioxide]]</f>
        <v>17</v>
      </c>
      <c r="S936" s="1" t="str">
        <f>IF(AND(Table1[[#This Row],[pH]]&gt;=3.2,Table1[[#This Row],[alcohol]]&gt;=10),"White wine","Red wine")</f>
        <v>White wine</v>
      </c>
    </row>
    <row r="937" spans="1:19" x14ac:dyDescent="0.3">
      <c r="A937" s="13">
        <v>936</v>
      </c>
      <c r="B937" s="1">
        <v>8.8000000000000007</v>
      </c>
      <c r="C937" s="1">
        <v>0.3</v>
      </c>
      <c r="D937" s="1">
        <v>0.38</v>
      </c>
      <c r="E937" s="1">
        <v>2.2999999999999998</v>
      </c>
      <c r="F937" s="1">
        <v>0.06</v>
      </c>
      <c r="G937" s="1">
        <v>19</v>
      </c>
      <c r="H937" s="1">
        <v>72</v>
      </c>
      <c r="I937" s="1">
        <v>0.99543000000000004</v>
      </c>
      <c r="J937" s="1">
        <v>3.39</v>
      </c>
      <c r="K937" s="1">
        <v>0.72</v>
      </c>
      <c r="L937" s="1">
        <v>11.8</v>
      </c>
      <c r="M937" s="2">
        <v>6</v>
      </c>
      <c r="N937" s="2" t="str" cm="1">
        <f t="array" ref="N937">_xlfn.IFS(Table1[[#This Row],[quality]]&lt;=4,"Low",Table1[[#This Row],[quality]]&lt;=6,"Medium",Table1[[#This Row],[quality]]&gt;=7,"High")</f>
        <v>Medium</v>
      </c>
      <c r="O937" s="2" t="str">
        <f>IF(AND(Table1[[#This Row],[fixed acidity]]&gt;Sheet1!$C$4,Table1[[#This Row],[pH]]&lt;Sheet1!$K$4),"High","Normal")</f>
        <v>Normal</v>
      </c>
      <c r="P937" s="1">
        <f>(Table1[[#This Row],[alcohol]]*2)+(Table1[[#This Row],[sulphates]]*1.5)-(Table1[[#This Row],[volatile acidity]]*2)</f>
        <v>24.08</v>
      </c>
      <c r="Q937" s="1">
        <f>RANK(Table1[[#This Row],[Quality_score_index]],Table1[Quality_score_index],0)</f>
        <v>170</v>
      </c>
      <c r="R937" s="1">
        <f>Table1[[#This Row],[total sulfur dioxide]]-Table1[[#This Row],[free sulfur dioxide]]</f>
        <v>53</v>
      </c>
      <c r="S937" s="1" t="str">
        <f>IF(AND(Table1[[#This Row],[pH]]&gt;=3.2,Table1[[#This Row],[alcohol]]&gt;=10),"White wine","Red wine")</f>
        <v>White wine</v>
      </c>
    </row>
    <row r="938" spans="1:19" x14ac:dyDescent="0.3">
      <c r="A938" s="13">
        <v>937</v>
      </c>
      <c r="B938" s="1">
        <v>8.8000000000000007</v>
      </c>
      <c r="C938" s="1">
        <v>0.3</v>
      </c>
      <c r="D938" s="1">
        <v>0.38</v>
      </c>
      <c r="E938" s="1">
        <v>2.2999999999999998</v>
      </c>
      <c r="F938" s="1">
        <v>0.06</v>
      </c>
      <c r="G938" s="1">
        <v>19</v>
      </c>
      <c r="H938" s="1">
        <v>72</v>
      </c>
      <c r="I938" s="1">
        <v>0.99543000000000004</v>
      </c>
      <c r="J938" s="1">
        <v>3.39</v>
      </c>
      <c r="K938" s="1">
        <v>0.72</v>
      </c>
      <c r="L938" s="1">
        <v>11.8</v>
      </c>
      <c r="M938" s="2">
        <v>6</v>
      </c>
      <c r="N938" s="2" t="str" cm="1">
        <f t="array" ref="N938">_xlfn.IFS(Table1[[#This Row],[quality]]&lt;=4,"Low",Table1[[#This Row],[quality]]&lt;=6,"Medium",Table1[[#This Row],[quality]]&gt;=7,"High")</f>
        <v>Medium</v>
      </c>
      <c r="O938" s="2" t="str">
        <f>IF(AND(Table1[[#This Row],[fixed acidity]]&gt;Sheet1!$C$4,Table1[[#This Row],[pH]]&lt;Sheet1!$K$4),"High","Normal")</f>
        <v>Normal</v>
      </c>
      <c r="P938" s="1">
        <f>(Table1[[#This Row],[alcohol]]*2)+(Table1[[#This Row],[sulphates]]*1.5)-(Table1[[#This Row],[volatile acidity]]*2)</f>
        <v>24.08</v>
      </c>
      <c r="Q938" s="1">
        <f>RANK(Table1[[#This Row],[Quality_score_index]],Table1[Quality_score_index],0)</f>
        <v>170</v>
      </c>
      <c r="R938" s="1">
        <f>Table1[[#This Row],[total sulfur dioxide]]-Table1[[#This Row],[free sulfur dioxide]]</f>
        <v>53</v>
      </c>
      <c r="S938" s="1" t="str">
        <f>IF(AND(Table1[[#This Row],[pH]]&gt;=3.2,Table1[[#This Row],[alcohol]]&gt;=10),"White wine","Red wine")</f>
        <v>White wine</v>
      </c>
    </row>
    <row r="939" spans="1:19" x14ac:dyDescent="0.3">
      <c r="A939" s="13">
        <v>938</v>
      </c>
      <c r="B939" s="1">
        <v>12</v>
      </c>
      <c r="C939" s="1">
        <v>0.63</v>
      </c>
      <c r="D939" s="1">
        <v>0.5</v>
      </c>
      <c r="E939" s="1">
        <v>1.4</v>
      </c>
      <c r="F939" s="1">
        <v>7.0999999999999994E-2</v>
      </c>
      <c r="G939" s="1">
        <v>6</v>
      </c>
      <c r="H939" s="1">
        <v>26</v>
      </c>
      <c r="I939" s="1">
        <v>0.99790999999999996</v>
      </c>
      <c r="J939" s="1">
        <v>3.07</v>
      </c>
      <c r="K939" s="1">
        <v>0.6</v>
      </c>
      <c r="L939" s="1">
        <v>10.4</v>
      </c>
      <c r="M939" s="2">
        <v>4</v>
      </c>
      <c r="N939" s="2" t="str" cm="1">
        <f t="array" ref="N939">_xlfn.IFS(Table1[[#This Row],[quality]]&lt;=4,"Low",Table1[[#This Row],[quality]]&lt;=6,"Medium",Table1[[#This Row],[quality]]&gt;=7,"High")</f>
        <v>Low</v>
      </c>
      <c r="O939" s="2" t="str">
        <f>IF(AND(Table1[[#This Row],[fixed acidity]]&gt;Sheet1!$C$4,Table1[[#This Row],[pH]]&lt;Sheet1!$K$4),"High","Normal")</f>
        <v>High</v>
      </c>
      <c r="P939" s="1">
        <f>(Table1[[#This Row],[alcohol]]*2)+(Table1[[#This Row],[sulphates]]*1.5)-(Table1[[#This Row],[volatile acidity]]*2)</f>
        <v>20.439999999999998</v>
      </c>
      <c r="Q939" s="1">
        <f>RANK(Table1[[#This Row],[Quality_score_index]],Table1[Quality_score_index],0)</f>
        <v>762</v>
      </c>
      <c r="R939" s="1">
        <f>Table1[[#This Row],[total sulfur dioxide]]-Table1[[#This Row],[free sulfur dioxide]]</f>
        <v>20</v>
      </c>
      <c r="S939" s="1" t="str">
        <f>IF(AND(Table1[[#This Row],[pH]]&gt;=3.2,Table1[[#This Row],[alcohol]]&gt;=10),"White wine","Red wine")</f>
        <v>Red wine</v>
      </c>
    </row>
    <row r="940" spans="1:19" x14ac:dyDescent="0.3">
      <c r="A940" s="13">
        <v>939</v>
      </c>
      <c r="B940" s="1">
        <v>7.2</v>
      </c>
      <c r="C940" s="1">
        <v>0.38</v>
      </c>
      <c r="D940" s="1">
        <v>0.38</v>
      </c>
      <c r="E940" s="1">
        <v>2.8</v>
      </c>
      <c r="F940" s="1">
        <v>6.8000000000000005E-2</v>
      </c>
      <c r="G940" s="1">
        <v>23</v>
      </c>
      <c r="H940" s="1">
        <v>42</v>
      </c>
      <c r="I940" s="1">
        <v>0.99356</v>
      </c>
      <c r="J940" s="1">
        <v>3.34</v>
      </c>
      <c r="K940" s="1">
        <v>0.72</v>
      </c>
      <c r="L940" s="1">
        <v>12.9</v>
      </c>
      <c r="M940" s="2">
        <v>7</v>
      </c>
      <c r="N940" s="2" t="str" cm="1">
        <f t="array" ref="N940">_xlfn.IFS(Table1[[#This Row],[quality]]&lt;=4,"Low",Table1[[#This Row],[quality]]&lt;=6,"Medium",Table1[[#This Row],[quality]]&gt;=7,"High")</f>
        <v>High</v>
      </c>
      <c r="O940" s="2" t="str">
        <f>IF(AND(Table1[[#This Row],[fixed acidity]]&gt;Sheet1!$C$4,Table1[[#This Row],[pH]]&lt;Sheet1!$K$4),"High","Normal")</f>
        <v>Normal</v>
      </c>
      <c r="P940" s="1">
        <f>(Table1[[#This Row],[alcohol]]*2)+(Table1[[#This Row],[sulphates]]*1.5)-(Table1[[#This Row],[volatile acidity]]*2)</f>
        <v>26.12</v>
      </c>
      <c r="Q940" s="1">
        <f>RANK(Table1[[#This Row],[Quality_score_index]],Table1[Quality_score_index],0)</f>
        <v>25</v>
      </c>
      <c r="R940" s="1">
        <f>Table1[[#This Row],[total sulfur dioxide]]-Table1[[#This Row],[free sulfur dioxide]]</f>
        <v>19</v>
      </c>
      <c r="S940" s="1" t="str">
        <f>IF(AND(Table1[[#This Row],[pH]]&gt;=3.2,Table1[[#This Row],[alcohol]]&gt;=10),"White wine","Red wine")</f>
        <v>White wine</v>
      </c>
    </row>
    <row r="941" spans="1:19" x14ac:dyDescent="0.3">
      <c r="A941" s="13">
        <v>940</v>
      </c>
      <c r="B941" s="1">
        <v>6.2</v>
      </c>
      <c r="C941" s="1">
        <v>0.46</v>
      </c>
      <c r="D941" s="1">
        <v>0.17</v>
      </c>
      <c r="E941" s="1">
        <v>1.6</v>
      </c>
      <c r="F941" s="1">
        <v>7.2999999999999995E-2</v>
      </c>
      <c r="G941" s="1">
        <v>7</v>
      </c>
      <c r="H941" s="1">
        <v>11</v>
      </c>
      <c r="I941" s="1">
        <v>0.99424999999999997</v>
      </c>
      <c r="J941" s="1">
        <v>3.61</v>
      </c>
      <c r="K941" s="1">
        <v>0.54</v>
      </c>
      <c r="L941" s="1">
        <v>11.4</v>
      </c>
      <c r="M941" s="2">
        <v>5</v>
      </c>
      <c r="N941" s="2" t="str" cm="1">
        <f t="array" ref="N941">_xlfn.IFS(Table1[[#This Row],[quality]]&lt;=4,"Low",Table1[[#This Row],[quality]]&lt;=6,"Medium",Table1[[#This Row],[quality]]&gt;=7,"High")</f>
        <v>Medium</v>
      </c>
      <c r="O941" s="2" t="str">
        <f>IF(AND(Table1[[#This Row],[fixed acidity]]&gt;Sheet1!$C$4,Table1[[#This Row],[pH]]&lt;Sheet1!$K$4),"High","Normal")</f>
        <v>Normal</v>
      </c>
      <c r="P941" s="1">
        <f>(Table1[[#This Row],[alcohol]]*2)+(Table1[[#This Row],[sulphates]]*1.5)-(Table1[[#This Row],[volatile acidity]]*2)</f>
        <v>22.689999999999998</v>
      </c>
      <c r="Q941" s="1">
        <f>RANK(Table1[[#This Row],[Quality_score_index]],Table1[Quality_score_index],0)</f>
        <v>327</v>
      </c>
      <c r="R941" s="1">
        <f>Table1[[#This Row],[total sulfur dioxide]]-Table1[[#This Row],[free sulfur dioxide]]</f>
        <v>4</v>
      </c>
      <c r="S941" s="1" t="str">
        <f>IF(AND(Table1[[#This Row],[pH]]&gt;=3.2,Table1[[#This Row],[alcohol]]&gt;=10),"White wine","Red wine")</f>
        <v>White wine</v>
      </c>
    </row>
    <row r="942" spans="1:19" x14ac:dyDescent="0.3">
      <c r="A942" s="13">
        <v>941</v>
      </c>
      <c r="B942" s="1">
        <v>9.6</v>
      </c>
      <c r="C942" s="1">
        <v>0.33</v>
      </c>
      <c r="D942" s="1">
        <v>0.52</v>
      </c>
      <c r="E942" s="1">
        <v>2.2000000000000002</v>
      </c>
      <c r="F942" s="1">
        <v>7.3999999999999996E-2</v>
      </c>
      <c r="G942" s="1">
        <v>13</v>
      </c>
      <c r="H942" s="1">
        <v>25</v>
      </c>
      <c r="I942" s="1">
        <v>0.99509000000000003</v>
      </c>
      <c r="J942" s="1">
        <v>3.36</v>
      </c>
      <c r="K942" s="1">
        <v>0.76</v>
      </c>
      <c r="L942" s="1">
        <v>12.4</v>
      </c>
      <c r="M942" s="2">
        <v>7</v>
      </c>
      <c r="N942" s="2" t="str" cm="1">
        <f t="array" ref="N942">_xlfn.IFS(Table1[[#This Row],[quality]]&lt;=4,"Low",Table1[[#This Row],[quality]]&lt;=6,"Medium",Table1[[#This Row],[quality]]&gt;=7,"High")</f>
        <v>High</v>
      </c>
      <c r="O942" s="2" t="str">
        <f>IF(AND(Table1[[#This Row],[fixed acidity]]&gt;Sheet1!$C$4,Table1[[#This Row],[pH]]&lt;Sheet1!$K$4),"High","Normal")</f>
        <v>Normal</v>
      </c>
      <c r="P942" s="1">
        <f>(Table1[[#This Row],[alcohol]]*2)+(Table1[[#This Row],[sulphates]]*1.5)-(Table1[[#This Row],[volatile acidity]]*2)</f>
        <v>25.28</v>
      </c>
      <c r="Q942" s="1">
        <f>RANK(Table1[[#This Row],[Quality_score_index]],Table1[Quality_score_index],0)</f>
        <v>71</v>
      </c>
      <c r="R942" s="1">
        <f>Table1[[#This Row],[total sulfur dioxide]]-Table1[[#This Row],[free sulfur dioxide]]</f>
        <v>12</v>
      </c>
      <c r="S942" s="1" t="str">
        <f>IF(AND(Table1[[#This Row],[pH]]&gt;=3.2,Table1[[#This Row],[alcohol]]&gt;=10),"White wine","Red wine")</f>
        <v>White wine</v>
      </c>
    </row>
    <row r="943" spans="1:19" x14ac:dyDescent="0.3">
      <c r="A943" s="13">
        <v>942</v>
      </c>
      <c r="B943" s="1">
        <v>9.9</v>
      </c>
      <c r="C943" s="1">
        <v>0.27</v>
      </c>
      <c r="D943" s="1">
        <v>0.49</v>
      </c>
      <c r="E943" s="1">
        <v>5</v>
      </c>
      <c r="F943" s="1">
        <v>8.2000000000000003E-2</v>
      </c>
      <c r="G943" s="1">
        <v>9</v>
      </c>
      <c r="H943" s="1">
        <v>17</v>
      </c>
      <c r="I943" s="1">
        <v>0.99483999999999995</v>
      </c>
      <c r="J943" s="1">
        <v>3.19</v>
      </c>
      <c r="K943" s="1">
        <v>0.52</v>
      </c>
      <c r="L943" s="1">
        <v>12.5</v>
      </c>
      <c r="M943" s="2">
        <v>7</v>
      </c>
      <c r="N943" s="2" t="str" cm="1">
        <f t="array" ref="N943">_xlfn.IFS(Table1[[#This Row],[quality]]&lt;=4,"Low",Table1[[#This Row],[quality]]&lt;=6,"Medium",Table1[[#This Row],[quality]]&gt;=7,"High")</f>
        <v>High</v>
      </c>
      <c r="O943" s="2" t="str">
        <f>IF(AND(Table1[[#This Row],[fixed acidity]]&gt;Sheet1!$C$4,Table1[[#This Row],[pH]]&lt;Sheet1!$K$4),"High","Normal")</f>
        <v>High</v>
      </c>
      <c r="P943" s="1">
        <f>(Table1[[#This Row],[alcohol]]*2)+(Table1[[#This Row],[sulphates]]*1.5)-(Table1[[#This Row],[volatile acidity]]*2)</f>
        <v>25.240000000000002</v>
      </c>
      <c r="Q943" s="1">
        <f>RANK(Table1[[#This Row],[Quality_score_index]],Table1[Quality_score_index],0)</f>
        <v>76</v>
      </c>
      <c r="R943" s="1">
        <f>Table1[[#This Row],[total sulfur dioxide]]-Table1[[#This Row],[free sulfur dioxide]]</f>
        <v>8</v>
      </c>
      <c r="S943" s="1" t="str">
        <f>IF(AND(Table1[[#This Row],[pH]]&gt;=3.2,Table1[[#This Row],[alcohol]]&gt;=10),"White wine","Red wine")</f>
        <v>Red wine</v>
      </c>
    </row>
    <row r="944" spans="1:19" x14ac:dyDescent="0.3">
      <c r="A944" s="13">
        <v>943</v>
      </c>
      <c r="B944" s="1">
        <v>10.1</v>
      </c>
      <c r="C944" s="1">
        <v>0.43</v>
      </c>
      <c r="D944" s="1">
        <v>0.4</v>
      </c>
      <c r="E944" s="1">
        <v>2.6</v>
      </c>
      <c r="F944" s="1">
        <v>9.1999999999999998E-2</v>
      </c>
      <c r="G944" s="1">
        <v>13</v>
      </c>
      <c r="H944" s="1">
        <v>52</v>
      </c>
      <c r="I944" s="1">
        <v>0.99834000000000001</v>
      </c>
      <c r="J944" s="1">
        <v>3.22</v>
      </c>
      <c r="K944" s="1">
        <v>0.64</v>
      </c>
      <c r="L944" s="1">
        <v>10</v>
      </c>
      <c r="M944" s="2">
        <v>7</v>
      </c>
      <c r="N944" s="2" t="str" cm="1">
        <f t="array" ref="N944">_xlfn.IFS(Table1[[#This Row],[quality]]&lt;=4,"Low",Table1[[#This Row],[quality]]&lt;=6,"Medium",Table1[[#This Row],[quality]]&gt;=7,"High")</f>
        <v>High</v>
      </c>
      <c r="O944" s="2" t="str">
        <f>IF(AND(Table1[[#This Row],[fixed acidity]]&gt;Sheet1!$C$4,Table1[[#This Row],[pH]]&lt;Sheet1!$K$4),"High","Normal")</f>
        <v>High</v>
      </c>
      <c r="P944" s="1">
        <f>(Table1[[#This Row],[alcohol]]*2)+(Table1[[#This Row],[sulphates]]*1.5)-(Table1[[#This Row],[volatile acidity]]*2)</f>
        <v>20.100000000000001</v>
      </c>
      <c r="Q944" s="1">
        <f>RANK(Table1[[#This Row],[Quality_score_index]],Table1[Quality_score_index],0)</f>
        <v>837</v>
      </c>
      <c r="R944" s="1">
        <f>Table1[[#This Row],[total sulfur dioxide]]-Table1[[#This Row],[free sulfur dioxide]]</f>
        <v>39</v>
      </c>
      <c r="S944" s="1" t="str">
        <f>IF(AND(Table1[[#This Row],[pH]]&gt;=3.2,Table1[[#This Row],[alcohol]]&gt;=10),"White wine","Red wine")</f>
        <v>White wine</v>
      </c>
    </row>
    <row r="945" spans="1:19" x14ac:dyDescent="0.3">
      <c r="A945" s="13">
        <v>944</v>
      </c>
      <c r="B945" s="1">
        <v>9.8000000000000007</v>
      </c>
      <c r="C945" s="1">
        <v>0.5</v>
      </c>
      <c r="D945" s="1">
        <v>0.34</v>
      </c>
      <c r="E945" s="1">
        <v>2.2999999999999998</v>
      </c>
      <c r="F945" s="1">
        <v>9.4E-2</v>
      </c>
      <c r="G945" s="1">
        <v>10</v>
      </c>
      <c r="H945" s="1">
        <v>45</v>
      </c>
      <c r="I945" s="1">
        <v>0.99863999999999997</v>
      </c>
      <c r="J945" s="1">
        <v>3.24</v>
      </c>
      <c r="K945" s="1">
        <v>0.6</v>
      </c>
      <c r="L945" s="1">
        <v>9.6999999999999993</v>
      </c>
      <c r="M945" s="2">
        <v>7</v>
      </c>
      <c r="N945" s="2" t="str" cm="1">
        <f t="array" ref="N945">_xlfn.IFS(Table1[[#This Row],[quality]]&lt;=4,"Low",Table1[[#This Row],[quality]]&lt;=6,"Medium",Table1[[#This Row],[quality]]&gt;=7,"High")</f>
        <v>High</v>
      </c>
      <c r="O945" s="2" t="str">
        <f>IF(AND(Table1[[#This Row],[fixed acidity]]&gt;Sheet1!$C$4,Table1[[#This Row],[pH]]&lt;Sheet1!$K$4),"High","Normal")</f>
        <v>High</v>
      </c>
      <c r="P945" s="1">
        <f>(Table1[[#This Row],[alcohol]]*2)+(Table1[[#This Row],[sulphates]]*1.5)-(Table1[[#This Row],[volatile acidity]]*2)</f>
        <v>19.299999999999997</v>
      </c>
      <c r="Q945" s="1">
        <f>RANK(Table1[[#This Row],[Quality_score_index]],Table1[Quality_score_index],0)</f>
        <v>1043</v>
      </c>
      <c r="R945" s="1">
        <f>Table1[[#This Row],[total sulfur dioxide]]-Table1[[#This Row],[free sulfur dioxide]]</f>
        <v>35</v>
      </c>
      <c r="S945" s="1" t="str">
        <f>IF(AND(Table1[[#This Row],[pH]]&gt;=3.2,Table1[[#This Row],[alcohol]]&gt;=10),"White wine","Red wine")</f>
        <v>Red wine</v>
      </c>
    </row>
    <row r="946" spans="1:19" x14ac:dyDescent="0.3">
      <c r="A946" s="13">
        <v>945</v>
      </c>
      <c r="B946" s="1">
        <v>8.3000000000000007</v>
      </c>
      <c r="C946" s="1">
        <v>0.3</v>
      </c>
      <c r="D946" s="1">
        <v>0.49</v>
      </c>
      <c r="E946" s="1">
        <v>3.8</v>
      </c>
      <c r="F946" s="1">
        <v>0.09</v>
      </c>
      <c r="G946" s="1">
        <v>11</v>
      </c>
      <c r="H946" s="1">
        <v>24</v>
      </c>
      <c r="I946" s="1">
        <v>0.99497999999999998</v>
      </c>
      <c r="J946" s="1">
        <v>3.27</v>
      </c>
      <c r="K946" s="1">
        <v>0.64</v>
      </c>
      <c r="L946" s="1">
        <v>12.1</v>
      </c>
      <c r="M946" s="2">
        <v>7</v>
      </c>
      <c r="N946" s="2" t="str" cm="1">
        <f t="array" ref="N946">_xlfn.IFS(Table1[[#This Row],[quality]]&lt;=4,"Low",Table1[[#This Row],[quality]]&lt;=6,"Medium",Table1[[#This Row],[quality]]&gt;=7,"High")</f>
        <v>High</v>
      </c>
      <c r="O946" s="2" t="str">
        <f>IF(AND(Table1[[#This Row],[fixed acidity]]&gt;Sheet1!$C$4,Table1[[#This Row],[pH]]&lt;Sheet1!$K$4),"High","Normal")</f>
        <v>Normal</v>
      </c>
      <c r="P946" s="1">
        <f>(Table1[[#This Row],[alcohol]]*2)+(Table1[[#This Row],[sulphates]]*1.5)-(Table1[[#This Row],[volatile acidity]]*2)</f>
        <v>24.56</v>
      </c>
      <c r="Q946" s="1">
        <f>RANK(Table1[[#This Row],[Quality_score_index]],Table1[Quality_score_index],0)</f>
        <v>122</v>
      </c>
      <c r="R946" s="1">
        <f>Table1[[#This Row],[total sulfur dioxide]]-Table1[[#This Row],[free sulfur dioxide]]</f>
        <v>13</v>
      </c>
      <c r="S946" s="1" t="str">
        <f>IF(AND(Table1[[#This Row],[pH]]&gt;=3.2,Table1[[#This Row],[alcohol]]&gt;=10),"White wine","Red wine")</f>
        <v>White wine</v>
      </c>
    </row>
    <row r="947" spans="1:19" x14ac:dyDescent="0.3">
      <c r="A947" s="13">
        <v>946</v>
      </c>
      <c r="B947" s="1">
        <v>10.199999999999999</v>
      </c>
      <c r="C947" s="1">
        <v>0.44</v>
      </c>
      <c r="D947" s="1">
        <v>0.42</v>
      </c>
      <c r="E947" s="1">
        <v>2</v>
      </c>
      <c r="F947" s="1">
        <v>7.0999999999999994E-2</v>
      </c>
      <c r="G947" s="1">
        <v>7</v>
      </c>
      <c r="H947" s="1">
        <v>20</v>
      </c>
      <c r="I947" s="1">
        <v>0.99565999999999999</v>
      </c>
      <c r="J947" s="1">
        <v>3.14</v>
      </c>
      <c r="K947" s="1">
        <v>0.79</v>
      </c>
      <c r="L947" s="1">
        <v>11.1</v>
      </c>
      <c r="M947" s="2">
        <v>7</v>
      </c>
      <c r="N947" s="2" t="str" cm="1">
        <f t="array" ref="N947">_xlfn.IFS(Table1[[#This Row],[quality]]&lt;=4,"Low",Table1[[#This Row],[quality]]&lt;=6,"Medium",Table1[[#This Row],[quality]]&gt;=7,"High")</f>
        <v>High</v>
      </c>
      <c r="O947" s="2" t="str">
        <f>IF(AND(Table1[[#This Row],[fixed acidity]]&gt;Sheet1!$C$4,Table1[[#This Row],[pH]]&lt;Sheet1!$K$4),"High","Normal")</f>
        <v>High</v>
      </c>
      <c r="P947" s="1">
        <f>(Table1[[#This Row],[alcohol]]*2)+(Table1[[#This Row],[sulphates]]*1.5)-(Table1[[#This Row],[volatile acidity]]*2)</f>
        <v>22.504999999999999</v>
      </c>
      <c r="Q947" s="1">
        <f>RANK(Table1[[#This Row],[Quality_score_index]],Table1[Quality_score_index],0)</f>
        <v>368</v>
      </c>
      <c r="R947" s="1">
        <f>Table1[[#This Row],[total sulfur dioxide]]-Table1[[#This Row],[free sulfur dioxide]]</f>
        <v>13</v>
      </c>
      <c r="S947" s="1" t="str">
        <f>IF(AND(Table1[[#This Row],[pH]]&gt;=3.2,Table1[[#This Row],[alcohol]]&gt;=10),"White wine","Red wine")</f>
        <v>Red wine</v>
      </c>
    </row>
    <row r="948" spans="1:19" x14ac:dyDescent="0.3">
      <c r="A948" s="13">
        <v>947</v>
      </c>
      <c r="B948" s="1">
        <v>10.199999999999999</v>
      </c>
      <c r="C948" s="1">
        <v>0.44</v>
      </c>
      <c r="D948" s="1">
        <v>0.57999999999999996</v>
      </c>
      <c r="E948" s="1">
        <v>4.0999999999999996</v>
      </c>
      <c r="F948" s="1">
        <v>9.1999999999999998E-2</v>
      </c>
      <c r="G948" s="1">
        <v>11</v>
      </c>
      <c r="H948" s="1">
        <v>24</v>
      </c>
      <c r="I948" s="1">
        <v>0.99744999999999995</v>
      </c>
      <c r="J948" s="1">
        <v>3.29</v>
      </c>
      <c r="K948" s="1">
        <v>0.99</v>
      </c>
      <c r="L948" s="1">
        <v>12</v>
      </c>
      <c r="M948" s="2">
        <v>7</v>
      </c>
      <c r="N948" s="2" t="str" cm="1">
        <f t="array" ref="N948">_xlfn.IFS(Table1[[#This Row],[quality]]&lt;=4,"Low",Table1[[#This Row],[quality]]&lt;=6,"Medium",Table1[[#This Row],[quality]]&gt;=7,"High")</f>
        <v>High</v>
      </c>
      <c r="O948" s="2" t="str">
        <f>IF(AND(Table1[[#This Row],[fixed acidity]]&gt;Sheet1!$C$4,Table1[[#This Row],[pH]]&lt;Sheet1!$K$4),"High","Normal")</f>
        <v>High</v>
      </c>
      <c r="P948" s="1">
        <f>(Table1[[#This Row],[alcohol]]*2)+(Table1[[#This Row],[sulphates]]*1.5)-(Table1[[#This Row],[volatile acidity]]*2)</f>
        <v>24.605</v>
      </c>
      <c r="Q948" s="1">
        <f>RANK(Table1[[#This Row],[Quality_score_index]],Table1[Quality_score_index],0)</f>
        <v>118</v>
      </c>
      <c r="R948" s="1">
        <f>Table1[[#This Row],[total sulfur dioxide]]-Table1[[#This Row],[free sulfur dioxide]]</f>
        <v>13</v>
      </c>
      <c r="S948" s="1" t="str">
        <f>IF(AND(Table1[[#This Row],[pH]]&gt;=3.2,Table1[[#This Row],[alcohol]]&gt;=10),"White wine","Red wine")</f>
        <v>White wine</v>
      </c>
    </row>
    <row r="949" spans="1:19" x14ac:dyDescent="0.3">
      <c r="A949" s="13">
        <v>948</v>
      </c>
      <c r="B949" s="1">
        <v>8.3000000000000007</v>
      </c>
      <c r="C949" s="1">
        <v>0.28000000000000003</v>
      </c>
      <c r="D949" s="1">
        <v>0.48</v>
      </c>
      <c r="E949" s="1">
        <v>2.1</v>
      </c>
      <c r="F949" s="1">
        <v>9.2999999999999999E-2</v>
      </c>
      <c r="G949" s="1">
        <v>6</v>
      </c>
      <c r="H949" s="1">
        <v>12</v>
      </c>
      <c r="I949" s="1">
        <v>0.99407999999999996</v>
      </c>
      <c r="J949" s="1">
        <v>3.26</v>
      </c>
      <c r="K949" s="1">
        <v>0.62</v>
      </c>
      <c r="L949" s="1">
        <v>12.4</v>
      </c>
      <c r="M949" s="2">
        <v>7</v>
      </c>
      <c r="N949" s="2" t="str" cm="1">
        <f t="array" ref="N949">_xlfn.IFS(Table1[[#This Row],[quality]]&lt;=4,"Low",Table1[[#This Row],[quality]]&lt;=6,"Medium",Table1[[#This Row],[quality]]&gt;=7,"High")</f>
        <v>High</v>
      </c>
      <c r="O949" s="2" t="str">
        <f>IF(AND(Table1[[#This Row],[fixed acidity]]&gt;Sheet1!$C$4,Table1[[#This Row],[pH]]&lt;Sheet1!$K$4),"High","Normal")</f>
        <v>Normal</v>
      </c>
      <c r="P949" s="1">
        <f>(Table1[[#This Row],[alcohol]]*2)+(Table1[[#This Row],[sulphates]]*1.5)-(Table1[[#This Row],[volatile acidity]]*2)</f>
        <v>25.17</v>
      </c>
      <c r="Q949" s="1">
        <f>RANK(Table1[[#This Row],[Quality_score_index]],Table1[Quality_score_index],0)</f>
        <v>84</v>
      </c>
      <c r="R949" s="1">
        <f>Table1[[#This Row],[total sulfur dioxide]]-Table1[[#This Row],[free sulfur dioxide]]</f>
        <v>6</v>
      </c>
      <c r="S949" s="1" t="str">
        <f>IF(AND(Table1[[#This Row],[pH]]&gt;=3.2,Table1[[#This Row],[alcohol]]&gt;=10),"White wine","Red wine")</f>
        <v>White wine</v>
      </c>
    </row>
    <row r="950" spans="1:19" x14ac:dyDescent="0.3">
      <c r="A950" s="13">
        <v>949</v>
      </c>
      <c r="B950" s="1">
        <v>8.9</v>
      </c>
      <c r="C950" s="1">
        <v>0.12</v>
      </c>
      <c r="D950" s="1">
        <v>0.45</v>
      </c>
      <c r="E950" s="1">
        <v>1.8</v>
      </c>
      <c r="F950" s="1">
        <v>7.4999999999999997E-2</v>
      </c>
      <c r="G950" s="1">
        <v>10</v>
      </c>
      <c r="H950" s="1">
        <v>21</v>
      </c>
      <c r="I950" s="1">
        <v>0.99551999999999996</v>
      </c>
      <c r="J950" s="1">
        <v>3.41</v>
      </c>
      <c r="K950" s="1">
        <v>0.76</v>
      </c>
      <c r="L950" s="1">
        <v>11.9</v>
      </c>
      <c r="M950" s="2">
        <v>7</v>
      </c>
      <c r="N950" s="2" t="str" cm="1">
        <f t="array" ref="N950">_xlfn.IFS(Table1[[#This Row],[quality]]&lt;=4,"Low",Table1[[#This Row],[quality]]&lt;=6,"Medium",Table1[[#This Row],[quality]]&gt;=7,"High")</f>
        <v>High</v>
      </c>
      <c r="O950" s="2" t="str">
        <f>IF(AND(Table1[[#This Row],[fixed acidity]]&gt;Sheet1!$C$4,Table1[[#This Row],[pH]]&lt;Sheet1!$K$4),"High","Normal")</f>
        <v>Normal</v>
      </c>
      <c r="P950" s="1">
        <f>(Table1[[#This Row],[alcohol]]*2)+(Table1[[#This Row],[sulphates]]*1.5)-(Table1[[#This Row],[volatile acidity]]*2)</f>
        <v>24.700000000000003</v>
      </c>
      <c r="Q950" s="1">
        <f>RANK(Table1[[#This Row],[Quality_score_index]],Table1[Quality_score_index],0)</f>
        <v>109</v>
      </c>
      <c r="R950" s="1">
        <f>Table1[[#This Row],[total sulfur dioxide]]-Table1[[#This Row],[free sulfur dioxide]]</f>
        <v>11</v>
      </c>
      <c r="S950" s="1" t="str">
        <f>IF(AND(Table1[[#This Row],[pH]]&gt;=3.2,Table1[[#This Row],[alcohol]]&gt;=10),"White wine","Red wine")</f>
        <v>White wine</v>
      </c>
    </row>
    <row r="951" spans="1:19" x14ac:dyDescent="0.3">
      <c r="A951" s="13">
        <v>950</v>
      </c>
      <c r="B951" s="1">
        <v>8.9</v>
      </c>
      <c r="C951" s="1">
        <v>0.12</v>
      </c>
      <c r="D951" s="1">
        <v>0.45</v>
      </c>
      <c r="E951" s="1">
        <v>1.8</v>
      </c>
      <c r="F951" s="1">
        <v>7.4999999999999997E-2</v>
      </c>
      <c r="G951" s="1">
        <v>10</v>
      </c>
      <c r="H951" s="1">
        <v>21</v>
      </c>
      <c r="I951" s="1">
        <v>0.99551999999999996</v>
      </c>
      <c r="J951" s="1">
        <v>3.41</v>
      </c>
      <c r="K951" s="1">
        <v>0.76</v>
      </c>
      <c r="L951" s="1">
        <v>11.9</v>
      </c>
      <c r="M951" s="2">
        <v>7</v>
      </c>
      <c r="N951" s="2" t="str" cm="1">
        <f t="array" ref="N951">_xlfn.IFS(Table1[[#This Row],[quality]]&lt;=4,"Low",Table1[[#This Row],[quality]]&lt;=6,"Medium",Table1[[#This Row],[quality]]&gt;=7,"High")</f>
        <v>High</v>
      </c>
      <c r="O951" s="2" t="str">
        <f>IF(AND(Table1[[#This Row],[fixed acidity]]&gt;Sheet1!$C$4,Table1[[#This Row],[pH]]&lt;Sheet1!$K$4),"High","Normal")</f>
        <v>Normal</v>
      </c>
      <c r="P951" s="1">
        <f>(Table1[[#This Row],[alcohol]]*2)+(Table1[[#This Row],[sulphates]]*1.5)-(Table1[[#This Row],[volatile acidity]]*2)</f>
        <v>24.700000000000003</v>
      </c>
      <c r="Q951" s="1">
        <f>RANK(Table1[[#This Row],[Quality_score_index]],Table1[Quality_score_index],0)</f>
        <v>109</v>
      </c>
      <c r="R951" s="1">
        <f>Table1[[#This Row],[total sulfur dioxide]]-Table1[[#This Row],[free sulfur dioxide]]</f>
        <v>11</v>
      </c>
      <c r="S951" s="1" t="str">
        <f>IF(AND(Table1[[#This Row],[pH]]&gt;=3.2,Table1[[#This Row],[alcohol]]&gt;=10),"White wine","Red wine")</f>
        <v>White wine</v>
      </c>
    </row>
    <row r="952" spans="1:19" x14ac:dyDescent="0.3">
      <c r="A952" s="13">
        <v>951</v>
      </c>
      <c r="B952" s="1">
        <v>8.9</v>
      </c>
      <c r="C952" s="1">
        <v>0.12</v>
      </c>
      <c r="D952" s="1">
        <v>0.45</v>
      </c>
      <c r="E952" s="1">
        <v>1.8</v>
      </c>
      <c r="F952" s="1">
        <v>7.4999999999999997E-2</v>
      </c>
      <c r="G952" s="1">
        <v>10</v>
      </c>
      <c r="H952" s="1">
        <v>21</v>
      </c>
      <c r="I952" s="1">
        <v>0.99551999999999996</v>
      </c>
      <c r="J952" s="1">
        <v>3.41</v>
      </c>
      <c r="K952" s="1">
        <v>0.76</v>
      </c>
      <c r="L952" s="1">
        <v>11.9</v>
      </c>
      <c r="M952" s="2">
        <v>7</v>
      </c>
      <c r="N952" s="2" t="str" cm="1">
        <f t="array" ref="N952">_xlfn.IFS(Table1[[#This Row],[quality]]&lt;=4,"Low",Table1[[#This Row],[quality]]&lt;=6,"Medium",Table1[[#This Row],[quality]]&gt;=7,"High")</f>
        <v>High</v>
      </c>
      <c r="O952" s="2" t="str">
        <f>IF(AND(Table1[[#This Row],[fixed acidity]]&gt;Sheet1!$C$4,Table1[[#This Row],[pH]]&lt;Sheet1!$K$4),"High","Normal")</f>
        <v>Normal</v>
      </c>
      <c r="P952" s="1">
        <f>(Table1[[#This Row],[alcohol]]*2)+(Table1[[#This Row],[sulphates]]*1.5)-(Table1[[#This Row],[volatile acidity]]*2)</f>
        <v>24.700000000000003</v>
      </c>
      <c r="Q952" s="1">
        <f>RANK(Table1[[#This Row],[Quality_score_index]],Table1[Quality_score_index],0)</f>
        <v>109</v>
      </c>
      <c r="R952" s="1">
        <f>Table1[[#This Row],[total sulfur dioxide]]-Table1[[#This Row],[free sulfur dioxide]]</f>
        <v>11</v>
      </c>
      <c r="S952" s="1" t="str">
        <f>IF(AND(Table1[[#This Row],[pH]]&gt;=3.2,Table1[[#This Row],[alcohol]]&gt;=10),"White wine","Red wine")</f>
        <v>White wine</v>
      </c>
    </row>
    <row r="953" spans="1:19" x14ac:dyDescent="0.3">
      <c r="A953" s="13">
        <v>952</v>
      </c>
      <c r="B953" s="1">
        <v>8.3000000000000007</v>
      </c>
      <c r="C953" s="1">
        <v>0.28000000000000003</v>
      </c>
      <c r="D953" s="1">
        <v>0.48</v>
      </c>
      <c r="E953" s="1">
        <v>2.1</v>
      </c>
      <c r="F953" s="1">
        <v>9.2999999999999999E-2</v>
      </c>
      <c r="G953" s="1">
        <v>6</v>
      </c>
      <c r="H953" s="1">
        <v>12</v>
      </c>
      <c r="I953" s="1">
        <v>0.99407999999999996</v>
      </c>
      <c r="J953" s="1">
        <v>3.26</v>
      </c>
      <c r="K953" s="1">
        <v>0.62</v>
      </c>
      <c r="L953" s="1">
        <v>12.4</v>
      </c>
      <c r="M953" s="2">
        <v>7</v>
      </c>
      <c r="N953" s="2" t="str" cm="1">
        <f t="array" ref="N953">_xlfn.IFS(Table1[[#This Row],[quality]]&lt;=4,"Low",Table1[[#This Row],[quality]]&lt;=6,"Medium",Table1[[#This Row],[quality]]&gt;=7,"High")</f>
        <v>High</v>
      </c>
      <c r="O953" s="2" t="str">
        <f>IF(AND(Table1[[#This Row],[fixed acidity]]&gt;Sheet1!$C$4,Table1[[#This Row],[pH]]&lt;Sheet1!$K$4),"High","Normal")</f>
        <v>Normal</v>
      </c>
      <c r="P953" s="1">
        <f>(Table1[[#This Row],[alcohol]]*2)+(Table1[[#This Row],[sulphates]]*1.5)-(Table1[[#This Row],[volatile acidity]]*2)</f>
        <v>25.17</v>
      </c>
      <c r="Q953" s="1">
        <f>RANK(Table1[[#This Row],[Quality_score_index]],Table1[Quality_score_index],0)</f>
        <v>84</v>
      </c>
      <c r="R953" s="1">
        <f>Table1[[#This Row],[total sulfur dioxide]]-Table1[[#This Row],[free sulfur dioxide]]</f>
        <v>6</v>
      </c>
      <c r="S953" s="1" t="str">
        <f>IF(AND(Table1[[#This Row],[pH]]&gt;=3.2,Table1[[#This Row],[alcohol]]&gt;=10),"White wine","Red wine")</f>
        <v>White wine</v>
      </c>
    </row>
    <row r="954" spans="1:19" x14ac:dyDescent="0.3">
      <c r="A954" s="13">
        <v>953</v>
      </c>
      <c r="B954" s="1">
        <v>8.1999999999999993</v>
      </c>
      <c r="C954" s="1">
        <v>0.31</v>
      </c>
      <c r="D954" s="1">
        <v>0.4</v>
      </c>
      <c r="E954" s="1">
        <v>2.2000000000000002</v>
      </c>
      <c r="F954" s="1">
        <v>5.8000000000000003E-2</v>
      </c>
      <c r="G954" s="1">
        <v>6</v>
      </c>
      <c r="H954" s="1">
        <v>10</v>
      </c>
      <c r="I954" s="1">
        <v>0.99536000000000002</v>
      </c>
      <c r="J954" s="1">
        <v>3.31</v>
      </c>
      <c r="K954" s="1">
        <v>0.68</v>
      </c>
      <c r="L954" s="1">
        <v>11.2</v>
      </c>
      <c r="M954" s="2">
        <v>7</v>
      </c>
      <c r="N954" s="2" t="str" cm="1">
        <f t="array" ref="N954">_xlfn.IFS(Table1[[#This Row],[quality]]&lt;=4,"Low",Table1[[#This Row],[quality]]&lt;=6,"Medium",Table1[[#This Row],[quality]]&gt;=7,"High")</f>
        <v>High</v>
      </c>
      <c r="O954" s="2" t="str">
        <f>IF(AND(Table1[[#This Row],[fixed acidity]]&gt;Sheet1!$C$4,Table1[[#This Row],[pH]]&lt;Sheet1!$K$4),"High","Normal")</f>
        <v>Normal</v>
      </c>
      <c r="P954" s="1">
        <f>(Table1[[#This Row],[alcohol]]*2)+(Table1[[#This Row],[sulphates]]*1.5)-(Table1[[#This Row],[volatile acidity]]*2)</f>
        <v>22.799999999999997</v>
      </c>
      <c r="Q954" s="1">
        <f>RANK(Table1[[#This Row],[Quality_score_index]],Table1[Quality_score_index],0)</f>
        <v>313</v>
      </c>
      <c r="R954" s="1">
        <f>Table1[[#This Row],[total sulfur dioxide]]-Table1[[#This Row],[free sulfur dioxide]]</f>
        <v>4</v>
      </c>
      <c r="S954" s="1" t="str">
        <f>IF(AND(Table1[[#This Row],[pH]]&gt;=3.2,Table1[[#This Row],[alcohol]]&gt;=10),"White wine","Red wine")</f>
        <v>White wine</v>
      </c>
    </row>
    <row r="955" spans="1:19" x14ac:dyDescent="0.3">
      <c r="A955" s="13">
        <v>954</v>
      </c>
      <c r="B955" s="1">
        <v>10.199999999999999</v>
      </c>
      <c r="C955" s="1">
        <v>0.34</v>
      </c>
      <c r="D955" s="1">
        <v>0.48</v>
      </c>
      <c r="E955" s="1">
        <v>2.1</v>
      </c>
      <c r="F955" s="1">
        <v>5.1999999999999998E-2</v>
      </c>
      <c r="G955" s="1">
        <v>5</v>
      </c>
      <c r="H955" s="1">
        <v>9</v>
      </c>
      <c r="I955" s="1">
        <v>0.99458000000000002</v>
      </c>
      <c r="J955" s="1">
        <v>3.2</v>
      </c>
      <c r="K955" s="1">
        <v>0.69</v>
      </c>
      <c r="L955" s="1">
        <v>12.1</v>
      </c>
      <c r="M955" s="2">
        <v>7</v>
      </c>
      <c r="N955" s="2" t="str" cm="1">
        <f t="array" ref="N955">_xlfn.IFS(Table1[[#This Row],[quality]]&lt;=4,"Low",Table1[[#This Row],[quality]]&lt;=6,"Medium",Table1[[#This Row],[quality]]&gt;=7,"High")</f>
        <v>High</v>
      </c>
      <c r="O955" s="2" t="str">
        <f>IF(AND(Table1[[#This Row],[fixed acidity]]&gt;Sheet1!$C$4,Table1[[#This Row],[pH]]&lt;Sheet1!$K$4),"High","Normal")</f>
        <v>High</v>
      </c>
      <c r="P955" s="1">
        <f>(Table1[[#This Row],[alcohol]]*2)+(Table1[[#This Row],[sulphates]]*1.5)-(Table1[[#This Row],[volatile acidity]]*2)</f>
        <v>24.555</v>
      </c>
      <c r="Q955" s="1">
        <f>RANK(Table1[[#This Row],[Quality_score_index]],Table1[Quality_score_index],0)</f>
        <v>123</v>
      </c>
      <c r="R955" s="1">
        <f>Table1[[#This Row],[total sulfur dioxide]]-Table1[[#This Row],[free sulfur dioxide]]</f>
        <v>4</v>
      </c>
      <c r="S955" s="1" t="str">
        <f>IF(AND(Table1[[#This Row],[pH]]&gt;=3.2,Table1[[#This Row],[alcohol]]&gt;=10),"White wine","Red wine")</f>
        <v>White wine</v>
      </c>
    </row>
    <row r="956" spans="1:19" x14ac:dyDescent="0.3">
      <c r="A956" s="13">
        <v>955</v>
      </c>
      <c r="B956" s="1">
        <v>7.6</v>
      </c>
      <c r="C956" s="1">
        <v>0.43</v>
      </c>
      <c r="D956" s="1">
        <v>0.4</v>
      </c>
      <c r="E956" s="1">
        <v>2.7</v>
      </c>
      <c r="F956" s="1">
        <v>8.2000000000000003E-2</v>
      </c>
      <c r="G956" s="1">
        <v>6</v>
      </c>
      <c r="H956" s="1">
        <v>11</v>
      </c>
      <c r="I956" s="1">
        <v>0.99538000000000004</v>
      </c>
      <c r="J956" s="1">
        <v>3.44</v>
      </c>
      <c r="K956" s="1">
        <v>0.54</v>
      </c>
      <c r="L956" s="1">
        <v>12.2</v>
      </c>
      <c r="M956" s="2">
        <v>6</v>
      </c>
      <c r="N956" s="2" t="str" cm="1">
        <f t="array" ref="N956">_xlfn.IFS(Table1[[#This Row],[quality]]&lt;=4,"Low",Table1[[#This Row],[quality]]&lt;=6,"Medium",Table1[[#This Row],[quality]]&gt;=7,"High")</f>
        <v>Medium</v>
      </c>
      <c r="O956" s="2" t="str">
        <f>IF(AND(Table1[[#This Row],[fixed acidity]]&gt;Sheet1!$C$4,Table1[[#This Row],[pH]]&lt;Sheet1!$K$4),"High","Normal")</f>
        <v>Normal</v>
      </c>
      <c r="P956" s="1">
        <f>(Table1[[#This Row],[alcohol]]*2)+(Table1[[#This Row],[sulphates]]*1.5)-(Table1[[#This Row],[volatile acidity]]*2)</f>
        <v>24.349999999999998</v>
      </c>
      <c r="Q956" s="1">
        <f>RANK(Table1[[#This Row],[Quality_score_index]],Table1[Quality_score_index],0)</f>
        <v>147</v>
      </c>
      <c r="R956" s="1">
        <f>Table1[[#This Row],[total sulfur dioxide]]-Table1[[#This Row],[free sulfur dioxide]]</f>
        <v>5</v>
      </c>
      <c r="S956" s="1" t="str">
        <f>IF(AND(Table1[[#This Row],[pH]]&gt;=3.2,Table1[[#This Row],[alcohol]]&gt;=10),"White wine","Red wine")</f>
        <v>White wine</v>
      </c>
    </row>
    <row r="957" spans="1:19" x14ac:dyDescent="0.3">
      <c r="A957" s="13">
        <v>956</v>
      </c>
      <c r="B957" s="1">
        <v>8.5</v>
      </c>
      <c r="C957" s="1">
        <v>0.21</v>
      </c>
      <c r="D957" s="1">
        <v>0.52</v>
      </c>
      <c r="E957" s="1">
        <v>1.9</v>
      </c>
      <c r="F957" s="1">
        <v>0.09</v>
      </c>
      <c r="G957" s="1">
        <v>9</v>
      </c>
      <c r="H957" s="1">
        <v>23</v>
      </c>
      <c r="I957" s="1">
        <v>0.99648000000000003</v>
      </c>
      <c r="J957" s="1">
        <v>3.36</v>
      </c>
      <c r="K957" s="1">
        <v>0.67</v>
      </c>
      <c r="L957" s="1">
        <v>10.4</v>
      </c>
      <c r="M957" s="2">
        <v>5</v>
      </c>
      <c r="N957" s="2" t="str" cm="1">
        <f t="array" ref="N957">_xlfn.IFS(Table1[[#This Row],[quality]]&lt;=4,"Low",Table1[[#This Row],[quality]]&lt;=6,"Medium",Table1[[#This Row],[quality]]&gt;=7,"High")</f>
        <v>Medium</v>
      </c>
      <c r="O957" s="2" t="str">
        <f>IF(AND(Table1[[#This Row],[fixed acidity]]&gt;Sheet1!$C$4,Table1[[#This Row],[pH]]&lt;Sheet1!$K$4),"High","Normal")</f>
        <v>Normal</v>
      </c>
      <c r="P957" s="1">
        <f>(Table1[[#This Row],[alcohol]]*2)+(Table1[[#This Row],[sulphates]]*1.5)-(Table1[[#This Row],[volatile acidity]]*2)</f>
        <v>21.384999999999998</v>
      </c>
      <c r="Q957" s="1">
        <f>RANK(Table1[[#This Row],[Quality_score_index]],Table1[Quality_score_index],0)</f>
        <v>562</v>
      </c>
      <c r="R957" s="1">
        <f>Table1[[#This Row],[total sulfur dioxide]]-Table1[[#This Row],[free sulfur dioxide]]</f>
        <v>14</v>
      </c>
      <c r="S957" s="1" t="str">
        <f>IF(AND(Table1[[#This Row],[pH]]&gt;=3.2,Table1[[#This Row],[alcohol]]&gt;=10),"White wine","Red wine")</f>
        <v>White wine</v>
      </c>
    </row>
    <row r="958" spans="1:19" x14ac:dyDescent="0.3">
      <c r="A958" s="13">
        <v>957</v>
      </c>
      <c r="B958" s="1">
        <v>9</v>
      </c>
      <c r="C958" s="1">
        <v>0.36</v>
      </c>
      <c r="D958" s="1">
        <v>0.52</v>
      </c>
      <c r="E958" s="1">
        <v>2.1</v>
      </c>
      <c r="F958" s="1">
        <v>0.111</v>
      </c>
      <c r="G958" s="1">
        <v>5</v>
      </c>
      <c r="H958" s="1">
        <v>10</v>
      </c>
      <c r="I958" s="1">
        <v>0.99568000000000001</v>
      </c>
      <c r="J958" s="1">
        <v>3.31</v>
      </c>
      <c r="K958" s="1">
        <v>0.62</v>
      </c>
      <c r="L958" s="1">
        <v>11.3</v>
      </c>
      <c r="M958" s="2">
        <v>6</v>
      </c>
      <c r="N958" s="2" t="str" cm="1">
        <f t="array" ref="N958">_xlfn.IFS(Table1[[#This Row],[quality]]&lt;=4,"Low",Table1[[#This Row],[quality]]&lt;=6,"Medium",Table1[[#This Row],[quality]]&gt;=7,"High")</f>
        <v>Medium</v>
      </c>
      <c r="O958" s="2" t="str">
        <f>IF(AND(Table1[[#This Row],[fixed acidity]]&gt;Sheet1!$C$4,Table1[[#This Row],[pH]]&lt;Sheet1!$K$4),"High","Normal")</f>
        <v>High</v>
      </c>
      <c r="P958" s="1">
        <f>(Table1[[#This Row],[alcohol]]*2)+(Table1[[#This Row],[sulphates]]*1.5)-(Table1[[#This Row],[volatile acidity]]*2)</f>
        <v>22.810000000000002</v>
      </c>
      <c r="Q958" s="1">
        <f>RANK(Table1[[#This Row],[Quality_score_index]],Table1[Quality_score_index],0)</f>
        <v>311</v>
      </c>
      <c r="R958" s="1">
        <f>Table1[[#This Row],[total sulfur dioxide]]-Table1[[#This Row],[free sulfur dioxide]]</f>
        <v>5</v>
      </c>
      <c r="S958" s="1" t="str">
        <f>IF(AND(Table1[[#This Row],[pH]]&gt;=3.2,Table1[[#This Row],[alcohol]]&gt;=10),"White wine","Red wine")</f>
        <v>White wine</v>
      </c>
    </row>
    <row r="959" spans="1:19" x14ac:dyDescent="0.3">
      <c r="A959" s="13">
        <v>958</v>
      </c>
      <c r="B959" s="1">
        <v>9.5</v>
      </c>
      <c r="C959" s="1">
        <v>0.37</v>
      </c>
      <c r="D959" s="1">
        <v>0.52</v>
      </c>
      <c r="E959" s="1">
        <v>2</v>
      </c>
      <c r="F959" s="1">
        <v>8.7999999999999995E-2</v>
      </c>
      <c r="G959" s="1">
        <v>12</v>
      </c>
      <c r="H959" s="1">
        <v>51</v>
      </c>
      <c r="I959" s="1">
        <v>0.99612999999999996</v>
      </c>
      <c r="J959" s="1">
        <v>3.29</v>
      </c>
      <c r="K959" s="1">
        <v>0.57999999999999996</v>
      </c>
      <c r="L959" s="1">
        <v>11.1</v>
      </c>
      <c r="M959" s="2">
        <v>6</v>
      </c>
      <c r="N959" s="2" t="str" cm="1">
        <f t="array" ref="N959">_xlfn.IFS(Table1[[#This Row],[quality]]&lt;=4,"Low",Table1[[#This Row],[quality]]&lt;=6,"Medium",Table1[[#This Row],[quality]]&gt;=7,"High")</f>
        <v>Medium</v>
      </c>
      <c r="O959" s="2" t="str">
        <f>IF(AND(Table1[[#This Row],[fixed acidity]]&gt;Sheet1!$C$4,Table1[[#This Row],[pH]]&lt;Sheet1!$K$4),"High","Normal")</f>
        <v>High</v>
      </c>
      <c r="P959" s="1">
        <f>(Table1[[#This Row],[alcohol]]*2)+(Table1[[#This Row],[sulphates]]*1.5)-(Table1[[#This Row],[volatile acidity]]*2)</f>
        <v>22.330000000000002</v>
      </c>
      <c r="Q959" s="1">
        <f>RANK(Table1[[#This Row],[Quality_score_index]],Table1[Quality_score_index],0)</f>
        <v>403</v>
      </c>
      <c r="R959" s="1">
        <f>Table1[[#This Row],[total sulfur dioxide]]-Table1[[#This Row],[free sulfur dioxide]]</f>
        <v>39</v>
      </c>
      <c r="S959" s="1" t="str">
        <f>IF(AND(Table1[[#This Row],[pH]]&gt;=3.2,Table1[[#This Row],[alcohol]]&gt;=10),"White wine","Red wine")</f>
        <v>White wine</v>
      </c>
    </row>
    <row r="960" spans="1:19" x14ac:dyDescent="0.3">
      <c r="A960" s="13">
        <v>959</v>
      </c>
      <c r="B960" s="1">
        <v>6.4</v>
      </c>
      <c r="C960" s="1">
        <v>0.56999999999999995</v>
      </c>
      <c r="D960" s="1">
        <v>0.12</v>
      </c>
      <c r="E960" s="1">
        <v>2.2999999999999998</v>
      </c>
      <c r="F960" s="1">
        <v>0.12</v>
      </c>
      <c r="G960" s="1">
        <v>25</v>
      </c>
      <c r="H960" s="1">
        <v>36</v>
      </c>
      <c r="I960" s="1">
        <v>0.99519000000000002</v>
      </c>
      <c r="J960" s="1">
        <v>3.47</v>
      </c>
      <c r="K960" s="1">
        <v>0.71</v>
      </c>
      <c r="L960" s="1">
        <v>11.3</v>
      </c>
      <c r="M960" s="2">
        <v>7</v>
      </c>
      <c r="N960" s="2" t="str" cm="1">
        <f t="array" ref="N960">_xlfn.IFS(Table1[[#This Row],[quality]]&lt;=4,"Low",Table1[[#This Row],[quality]]&lt;=6,"Medium",Table1[[#This Row],[quality]]&gt;=7,"High")</f>
        <v>High</v>
      </c>
      <c r="O960" s="2" t="str">
        <f>IF(AND(Table1[[#This Row],[fixed acidity]]&gt;Sheet1!$C$4,Table1[[#This Row],[pH]]&lt;Sheet1!$K$4),"High","Normal")</f>
        <v>Normal</v>
      </c>
      <c r="P960" s="1">
        <f>(Table1[[#This Row],[alcohol]]*2)+(Table1[[#This Row],[sulphates]]*1.5)-(Table1[[#This Row],[volatile acidity]]*2)</f>
        <v>22.525000000000002</v>
      </c>
      <c r="Q960" s="1">
        <f>RANK(Table1[[#This Row],[Quality_score_index]],Table1[Quality_score_index],0)</f>
        <v>360</v>
      </c>
      <c r="R960" s="1">
        <f>Table1[[#This Row],[total sulfur dioxide]]-Table1[[#This Row],[free sulfur dioxide]]</f>
        <v>11</v>
      </c>
      <c r="S960" s="1" t="str">
        <f>IF(AND(Table1[[#This Row],[pH]]&gt;=3.2,Table1[[#This Row],[alcohol]]&gt;=10),"White wine","Red wine")</f>
        <v>White wine</v>
      </c>
    </row>
    <row r="961" spans="1:19" x14ac:dyDescent="0.3">
      <c r="A961" s="13">
        <v>960</v>
      </c>
      <c r="B961" s="1">
        <v>8</v>
      </c>
      <c r="C961" s="1">
        <v>0.59</v>
      </c>
      <c r="D961" s="1">
        <v>0.05</v>
      </c>
      <c r="E961" s="1">
        <v>2</v>
      </c>
      <c r="F961" s="1">
        <v>8.8999999999999996E-2</v>
      </c>
      <c r="G961" s="1">
        <v>12</v>
      </c>
      <c r="H961" s="1">
        <v>32</v>
      </c>
      <c r="I961" s="1">
        <v>0.99734999999999996</v>
      </c>
      <c r="J961" s="1">
        <v>3.36</v>
      </c>
      <c r="K961" s="1">
        <v>0.61</v>
      </c>
      <c r="L961" s="1">
        <v>10</v>
      </c>
      <c r="M961" s="2">
        <v>5</v>
      </c>
      <c r="N961" s="2" t="str" cm="1">
        <f t="array" ref="N961">_xlfn.IFS(Table1[[#This Row],[quality]]&lt;=4,"Low",Table1[[#This Row],[quality]]&lt;=6,"Medium",Table1[[#This Row],[quality]]&gt;=7,"High")</f>
        <v>Medium</v>
      </c>
      <c r="O961" s="2" t="str">
        <f>IF(AND(Table1[[#This Row],[fixed acidity]]&gt;Sheet1!$C$4,Table1[[#This Row],[pH]]&lt;Sheet1!$K$4),"High","Normal")</f>
        <v>Normal</v>
      </c>
      <c r="P961" s="1">
        <f>(Table1[[#This Row],[alcohol]]*2)+(Table1[[#This Row],[sulphates]]*1.5)-(Table1[[#This Row],[volatile acidity]]*2)</f>
        <v>19.734999999999999</v>
      </c>
      <c r="Q961" s="1">
        <f>RANK(Table1[[#This Row],[Quality_score_index]],Table1[Quality_score_index],0)</f>
        <v>920</v>
      </c>
      <c r="R961" s="1">
        <f>Table1[[#This Row],[total sulfur dioxide]]-Table1[[#This Row],[free sulfur dioxide]]</f>
        <v>20</v>
      </c>
      <c r="S961" s="1" t="str">
        <f>IF(AND(Table1[[#This Row],[pH]]&gt;=3.2,Table1[[#This Row],[alcohol]]&gt;=10),"White wine","Red wine")</f>
        <v>White wine</v>
      </c>
    </row>
    <row r="962" spans="1:19" x14ac:dyDescent="0.3">
      <c r="A962" s="13">
        <v>961</v>
      </c>
      <c r="B962" s="1">
        <v>8.5</v>
      </c>
      <c r="C962" s="1">
        <v>0.47</v>
      </c>
      <c r="D962" s="1">
        <v>0.27</v>
      </c>
      <c r="E962" s="1">
        <v>1.9</v>
      </c>
      <c r="F962" s="1">
        <v>5.8000000000000003E-2</v>
      </c>
      <c r="G962" s="1">
        <v>18</v>
      </c>
      <c r="H962" s="1">
        <v>38</v>
      </c>
      <c r="I962" s="1">
        <v>0.99517999999999995</v>
      </c>
      <c r="J962" s="1">
        <v>3.16</v>
      </c>
      <c r="K962" s="1">
        <v>0.85</v>
      </c>
      <c r="L962" s="1">
        <v>11.1</v>
      </c>
      <c r="M962" s="2">
        <v>6</v>
      </c>
      <c r="N962" s="2" t="str" cm="1">
        <f t="array" ref="N962">_xlfn.IFS(Table1[[#This Row],[quality]]&lt;=4,"Low",Table1[[#This Row],[quality]]&lt;=6,"Medium",Table1[[#This Row],[quality]]&gt;=7,"High")</f>
        <v>Medium</v>
      </c>
      <c r="O962" s="2" t="str">
        <f>IF(AND(Table1[[#This Row],[fixed acidity]]&gt;Sheet1!$C$4,Table1[[#This Row],[pH]]&lt;Sheet1!$K$4),"High","Normal")</f>
        <v>High</v>
      </c>
      <c r="P962" s="1">
        <f>(Table1[[#This Row],[alcohol]]*2)+(Table1[[#This Row],[sulphates]]*1.5)-(Table1[[#This Row],[volatile acidity]]*2)</f>
        <v>22.534999999999997</v>
      </c>
      <c r="Q962" s="1">
        <f>RANK(Table1[[#This Row],[Quality_score_index]],Table1[Quality_score_index],0)</f>
        <v>356</v>
      </c>
      <c r="R962" s="1">
        <f>Table1[[#This Row],[total sulfur dioxide]]-Table1[[#This Row],[free sulfur dioxide]]</f>
        <v>20</v>
      </c>
      <c r="S962" s="1" t="str">
        <f>IF(AND(Table1[[#This Row],[pH]]&gt;=3.2,Table1[[#This Row],[alcohol]]&gt;=10),"White wine","Red wine")</f>
        <v>Red wine</v>
      </c>
    </row>
    <row r="963" spans="1:19" x14ac:dyDescent="0.3">
      <c r="A963" s="13">
        <v>962</v>
      </c>
      <c r="B963" s="1">
        <v>7.1</v>
      </c>
      <c r="C963" s="1">
        <v>0.56000000000000005</v>
      </c>
      <c r="D963" s="1">
        <v>0.14000000000000001</v>
      </c>
      <c r="E963" s="1">
        <v>1.6</v>
      </c>
      <c r="F963" s="1">
        <v>7.8E-2</v>
      </c>
      <c r="G963" s="1">
        <v>7</v>
      </c>
      <c r="H963" s="1">
        <v>18</v>
      </c>
      <c r="I963" s="1">
        <v>0.99592000000000003</v>
      </c>
      <c r="J963" s="1">
        <v>3.27</v>
      </c>
      <c r="K963" s="1">
        <v>0.62</v>
      </c>
      <c r="L963" s="1">
        <v>9.3000000000000007</v>
      </c>
      <c r="M963" s="2">
        <v>5</v>
      </c>
      <c r="N963" s="2" t="str" cm="1">
        <f t="array" ref="N963">_xlfn.IFS(Table1[[#This Row],[quality]]&lt;=4,"Low",Table1[[#This Row],[quality]]&lt;=6,"Medium",Table1[[#This Row],[quality]]&gt;=7,"High")</f>
        <v>Medium</v>
      </c>
      <c r="O963" s="2" t="str">
        <f>IF(AND(Table1[[#This Row],[fixed acidity]]&gt;Sheet1!$C$4,Table1[[#This Row],[pH]]&lt;Sheet1!$K$4),"High","Normal")</f>
        <v>Normal</v>
      </c>
      <c r="P963" s="1">
        <f>(Table1[[#This Row],[alcohol]]*2)+(Table1[[#This Row],[sulphates]]*1.5)-(Table1[[#This Row],[volatile acidity]]*2)</f>
        <v>18.41</v>
      </c>
      <c r="Q963" s="1">
        <f>RANK(Table1[[#This Row],[Quality_score_index]],Table1[Quality_score_index],0)</f>
        <v>1413</v>
      </c>
      <c r="R963" s="1">
        <f>Table1[[#This Row],[total sulfur dioxide]]-Table1[[#This Row],[free sulfur dioxide]]</f>
        <v>11</v>
      </c>
      <c r="S963" s="1" t="str">
        <f>IF(AND(Table1[[#This Row],[pH]]&gt;=3.2,Table1[[#This Row],[alcohol]]&gt;=10),"White wine","Red wine")</f>
        <v>Red wine</v>
      </c>
    </row>
    <row r="964" spans="1:19" x14ac:dyDescent="0.3">
      <c r="A964" s="13">
        <v>963</v>
      </c>
      <c r="B964" s="1">
        <v>6.6</v>
      </c>
      <c r="C964" s="1">
        <v>0.56999999999999995</v>
      </c>
      <c r="D964" s="1">
        <v>0.02</v>
      </c>
      <c r="E964" s="1">
        <v>2.1</v>
      </c>
      <c r="F964" s="1">
        <v>0.115</v>
      </c>
      <c r="G964" s="1">
        <v>6</v>
      </c>
      <c r="H964" s="1">
        <v>16</v>
      </c>
      <c r="I964" s="1">
        <v>0.99653999999999998</v>
      </c>
      <c r="J964" s="1">
        <v>3.38</v>
      </c>
      <c r="K964" s="1">
        <v>0.69</v>
      </c>
      <c r="L964" s="1">
        <v>9.5</v>
      </c>
      <c r="M964" s="2">
        <v>5</v>
      </c>
      <c r="N964" s="2" t="str" cm="1">
        <f t="array" ref="N964">_xlfn.IFS(Table1[[#This Row],[quality]]&lt;=4,"Low",Table1[[#This Row],[quality]]&lt;=6,"Medium",Table1[[#This Row],[quality]]&gt;=7,"High")</f>
        <v>Medium</v>
      </c>
      <c r="O964" s="2" t="str">
        <f>IF(AND(Table1[[#This Row],[fixed acidity]]&gt;Sheet1!$C$4,Table1[[#This Row],[pH]]&lt;Sheet1!$K$4),"High","Normal")</f>
        <v>Normal</v>
      </c>
      <c r="P964" s="1">
        <f>(Table1[[#This Row],[alcohol]]*2)+(Table1[[#This Row],[sulphates]]*1.5)-(Table1[[#This Row],[volatile acidity]]*2)</f>
        <v>18.895</v>
      </c>
      <c r="Q964" s="1">
        <f>RANK(Table1[[#This Row],[Quality_score_index]],Table1[Quality_score_index],0)</f>
        <v>1205</v>
      </c>
      <c r="R964" s="1">
        <f>Table1[[#This Row],[total sulfur dioxide]]-Table1[[#This Row],[free sulfur dioxide]]</f>
        <v>10</v>
      </c>
      <c r="S964" s="1" t="str">
        <f>IF(AND(Table1[[#This Row],[pH]]&gt;=3.2,Table1[[#This Row],[alcohol]]&gt;=10),"White wine","Red wine")</f>
        <v>Red wine</v>
      </c>
    </row>
    <row r="965" spans="1:19" x14ac:dyDescent="0.3">
      <c r="A965" s="13">
        <v>964</v>
      </c>
      <c r="B965" s="1">
        <v>8.8000000000000007</v>
      </c>
      <c r="C965" s="1">
        <v>0.27</v>
      </c>
      <c r="D965" s="1">
        <v>0.39</v>
      </c>
      <c r="E965" s="1">
        <v>2</v>
      </c>
      <c r="F965" s="1">
        <v>0.1</v>
      </c>
      <c r="G965" s="1">
        <v>20</v>
      </c>
      <c r="H965" s="1">
        <v>27</v>
      </c>
      <c r="I965" s="1">
        <v>0.99546000000000001</v>
      </c>
      <c r="J965" s="1">
        <v>3.15</v>
      </c>
      <c r="K965" s="1">
        <v>0.69</v>
      </c>
      <c r="L965" s="1">
        <v>11.2</v>
      </c>
      <c r="M965" s="2">
        <v>6</v>
      </c>
      <c r="N965" s="2" t="str" cm="1">
        <f t="array" ref="N965">_xlfn.IFS(Table1[[#This Row],[quality]]&lt;=4,"Low",Table1[[#This Row],[quality]]&lt;=6,"Medium",Table1[[#This Row],[quality]]&gt;=7,"High")</f>
        <v>Medium</v>
      </c>
      <c r="O965" s="2" t="str">
        <f>IF(AND(Table1[[#This Row],[fixed acidity]]&gt;Sheet1!$C$4,Table1[[#This Row],[pH]]&lt;Sheet1!$K$4),"High","Normal")</f>
        <v>High</v>
      </c>
      <c r="P965" s="1">
        <f>(Table1[[#This Row],[alcohol]]*2)+(Table1[[#This Row],[sulphates]]*1.5)-(Table1[[#This Row],[volatile acidity]]*2)</f>
        <v>22.895</v>
      </c>
      <c r="Q965" s="1">
        <f>RANK(Table1[[#This Row],[Quality_score_index]],Table1[Quality_score_index],0)</f>
        <v>291</v>
      </c>
      <c r="R965" s="1">
        <f>Table1[[#This Row],[total sulfur dioxide]]-Table1[[#This Row],[free sulfur dioxide]]</f>
        <v>7</v>
      </c>
      <c r="S965" s="1" t="str">
        <f>IF(AND(Table1[[#This Row],[pH]]&gt;=3.2,Table1[[#This Row],[alcohol]]&gt;=10),"White wine","Red wine")</f>
        <v>Red wine</v>
      </c>
    </row>
    <row r="966" spans="1:19" x14ac:dyDescent="0.3">
      <c r="A966" s="13">
        <v>965</v>
      </c>
      <c r="B966" s="1">
        <v>8.5</v>
      </c>
      <c r="C966" s="1">
        <v>0.47</v>
      </c>
      <c r="D966" s="1">
        <v>0.27</v>
      </c>
      <c r="E966" s="1">
        <v>1.9</v>
      </c>
      <c r="F966" s="1">
        <v>5.8000000000000003E-2</v>
      </c>
      <c r="G966" s="1">
        <v>18</v>
      </c>
      <c r="H966" s="1">
        <v>38</v>
      </c>
      <c r="I966" s="1">
        <v>0.99517999999999995</v>
      </c>
      <c r="J966" s="1">
        <v>3.16</v>
      </c>
      <c r="K966" s="1">
        <v>0.85</v>
      </c>
      <c r="L966" s="1">
        <v>11.1</v>
      </c>
      <c r="M966" s="2">
        <v>6</v>
      </c>
      <c r="N966" s="2" t="str" cm="1">
        <f t="array" ref="N966">_xlfn.IFS(Table1[[#This Row],[quality]]&lt;=4,"Low",Table1[[#This Row],[quality]]&lt;=6,"Medium",Table1[[#This Row],[quality]]&gt;=7,"High")</f>
        <v>Medium</v>
      </c>
      <c r="O966" s="2" t="str">
        <f>IF(AND(Table1[[#This Row],[fixed acidity]]&gt;Sheet1!$C$4,Table1[[#This Row],[pH]]&lt;Sheet1!$K$4),"High","Normal")</f>
        <v>High</v>
      </c>
      <c r="P966" s="1">
        <f>(Table1[[#This Row],[alcohol]]*2)+(Table1[[#This Row],[sulphates]]*1.5)-(Table1[[#This Row],[volatile acidity]]*2)</f>
        <v>22.534999999999997</v>
      </c>
      <c r="Q966" s="1">
        <f>RANK(Table1[[#This Row],[Quality_score_index]],Table1[Quality_score_index],0)</f>
        <v>356</v>
      </c>
      <c r="R966" s="1">
        <f>Table1[[#This Row],[total sulfur dioxide]]-Table1[[#This Row],[free sulfur dioxide]]</f>
        <v>20</v>
      </c>
      <c r="S966" s="1" t="str">
        <f>IF(AND(Table1[[#This Row],[pH]]&gt;=3.2,Table1[[#This Row],[alcohol]]&gt;=10),"White wine","Red wine")</f>
        <v>Red wine</v>
      </c>
    </row>
    <row r="967" spans="1:19" x14ac:dyDescent="0.3">
      <c r="A967" s="13">
        <v>966</v>
      </c>
      <c r="B967" s="1">
        <v>8.3000000000000007</v>
      </c>
      <c r="C967" s="1">
        <v>0.34</v>
      </c>
      <c r="D967" s="1">
        <v>0.4</v>
      </c>
      <c r="E967" s="1">
        <v>2.4</v>
      </c>
      <c r="F967" s="1">
        <v>6.5000000000000002E-2</v>
      </c>
      <c r="G967" s="1">
        <v>24</v>
      </c>
      <c r="H967" s="1">
        <v>48</v>
      </c>
      <c r="I967" s="1">
        <v>0.99553999999999998</v>
      </c>
      <c r="J967" s="1">
        <v>3.34</v>
      </c>
      <c r="K967" s="1">
        <v>0.86</v>
      </c>
      <c r="L967" s="1">
        <v>11</v>
      </c>
      <c r="M967" s="2">
        <v>6</v>
      </c>
      <c r="N967" s="2" t="str" cm="1">
        <f t="array" ref="N967">_xlfn.IFS(Table1[[#This Row],[quality]]&lt;=4,"Low",Table1[[#This Row],[quality]]&lt;=6,"Medium",Table1[[#This Row],[quality]]&gt;=7,"High")</f>
        <v>Medium</v>
      </c>
      <c r="O967" s="2" t="str">
        <f>IF(AND(Table1[[#This Row],[fixed acidity]]&gt;Sheet1!$C$4,Table1[[#This Row],[pH]]&lt;Sheet1!$K$4),"High","Normal")</f>
        <v>Normal</v>
      </c>
      <c r="P967" s="1">
        <f>(Table1[[#This Row],[alcohol]]*2)+(Table1[[#This Row],[sulphates]]*1.5)-(Table1[[#This Row],[volatile acidity]]*2)</f>
        <v>22.61</v>
      </c>
      <c r="Q967" s="1">
        <f>RANK(Table1[[#This Row],[Quality_score_index]],Table1[Quality_score_index],0)</f>
        <v>342</v>
      </c>
      <c r="R967" s="1">
        <f>Table1[[#This Row],[total sulfur dioxide]]-Table1[[#This Row],[free sulfur dioxide]]</f>
        <v>24</v>
      </c>
      <c r="S967" s="1" t="str">
        <f>IF(AND(Table1[[#This Row],[pH]]&gt;=3.2,Table1[[#This Row],[alcohol]]&gt;=10),"White wine","Red wine")</f>
        <v>White wine</v>
      </c>
    </row>
    <row r="968" spans="1:19" x14ac:dyDescent="0.3">
      <c r="A968" s="13">
        <v>967</v>
      </c>
      <c r="B968" s="1">
        <v>9</v>
      </c>
      <c r="C968" s="1">
        <v>0.38</v>
      </c>
      <c r="D968" s="1">
        <v>0.41</v>
      </c>
      <c r="E968" s="1">
        <v>2.4</v>
      </c>
      <c r="F968" s="1">
        <v>0.10299999999999999</v>
      </c>
      <c r="G968" s="1">
        <v>6</v>
      </c>
      <c r="H968" s="1">
        <v>10</v>
      </c>
      <c r="I968" s="1">
        <v>0.99604000000000004</v>
      </c>
      <c r="J968" s="1">
        <v>3.13</v>
      </c>
      <c r="K968" s="1">
        <v>0.57999999999999996</v>
      </c>
      <c r="L968" s="1">
        <v>11.9</v>
      </c>
      <c r="M968" s="2">
        <v>7</v>
      </c>
      <c r="N968" s="2" t="str" cm="1">
        <f t="array" ref="N968">_xlfn.IFS(Table1[[#This Row],[quality]]&lt;=4,"Low",Table1[[#This Row],[quality]]&lt;=6,"Medium",Table1[[#This Row],[quality]]&gt;=7,"High")</f>
        <v>High</v>
      </c>
      <c r="O968" s="2" t="str">
        <f>IF(AND(Table1[[#This Row],[fixed acidity]]&gt;Sheet1!$C$4,Table1[[#This Row],[pH]]&lt;Sheet1!$K$4),"High","Normal")</f>
        <v>High</v>
      </c>
      <c r="P968" s="1">
        <f>(Table1[[#This Row],[alcohol]]*2)+(Table1[[#This Row],[sulphates]]*1.5)-(Table1[[#This Row],[volatile acidity]]*2)</f>
        <v>23.91</v>
      </c>
      <c r="Q968" s="1">
        <f>RANK(Table1[[#This Row],[Quality_score_index]],Table1[Quality_score_index],0)</f>
        <v>188</v>
      </c>
      <c r="R968" s="1">
        <f>Table1[[#This Row],[total sulfur dioxide]]-Table1[[#This Row],[free sulfur dioxide]]</f>
        <v>4</v>
      </c>
      <c r="S968" s="1" t="str">
        <f>IF(AND(Table1[[#This Row],[pH]]&gt;=3.2,Table1[[#This Row],[alcohol]]&gt;=10),"White wine","Red wine")</f>
        <v>Red wine</v>
      </c>
    </row>
    <row r="969" spans="1:19" x14ac:dyDescent="0.3">
      <c r="A969" s="13">
        <v>968</v>
      </c>
      <c r="B969" s="1">
        <v>8.5</v>
      </c>
      <c r="C969" s="1">
        <v>0.66</v>
      </c>
      <c r="D969" s="1">
        <v>0.2</v>
      </c>
      <c r="E969" s="1">
        <v>2.1</v>
      </c>
      <c r="F969" s="1">
        <v>9.7000000000000003E-2</v>
      </c>
      <c r="G969" s="1">
        <v>23</v>
      </c>
      <c r="H969" s="1">
        <v>113</v>
      </c>
      <c r="I969" s="1">
        <v>0.99733000000000005</v>
      </c>
      <c r="J969" s="1">
        <v>3.13</v>
      </c>
      <c r="K969" s="1">
        <v>0.48</v>
      </c>
      <c r="L969" s="1">
        <v>9.1999999999999993</v>
      </c>
      <c r="M969" s="2">
        <v>5</v>
      </c>
      <c r="N969" s="2" t="str" cm="1">
        <f t="array" ref="N969">_xlfn.IFS(Table1[[#This Row],[quality]]&lt;=4,"Low",Table1[[#This Row],[quality]]&lt;=6,"Medium",Table1[[#This Row],[quality]]&gt;=7,"High")</f>
        <v>Medium</v>
      </c>
      <c r="O969" s="2" t="str">
        <f>IF(AND(Table1[[#This Row],[fixed acidity]]&gt;Sheet1!$C$4,Table1[[#This Row],[pH]]&lt;Sheet1!$K$4),"High","Normal")</f>
        <v>High</v>
      </c>
      <c r="P969" s="1">
        <f>(Table1[[#This Row],[alcohol]]*2)+(Table1[[#This Row],[sulphates]]*1.5)-(Table1[[#This Row],[volatile acidity]]*2)</f>
        <v>17.799999999999997</v>
      </c>
      <c r="Q969" s="1">
        <f>RANK(Table1[[#This Row],[Quality_score_index]],Table1[Quality_score_index],0)</f>
        <v>1554</v>
      </c>
      <c r="R969" s="1">
        <f>Table1[[#This Row],[total sulfur dioxide]]-Table1[[#This Row],[free sulfur dioxide]]</f>
        <v>90</v>
      </c>
      <c r="S969" s="1" t="str">
        <f>IF(AND(Table1[[#This Row],[pH]]&gt;=3.2,Table1[[#This Row],[alcohol]]&gt;=10),"White wine","Red wine")</f>
        <v>Red wine</v>
      </c>
    </row>
    <row r="970" spans="1:19" x14ac:dyDescent="0.3">
      <c r="A970" s="13">
        <v>969</v>
      </c>
      <c r="B970" s="1">
        <v>9</v>
      </c>
      <c r="C970" s="1">
        <v>0.4</v>
      </c>
      <c r="D970" s="1">
        <v>0.43</v>
      </c>
      <c r="E970" s="1">
        <v>2.4</v>
      </c>
      <c r="F970" s="1">
        <v>6.8000000000000005E-2</v>
      </c>
      <c r="G970" s="1">
        <v>29</v>
      </c>
      <c r="H970" s="1">
        <v>46</v>
      </c>
      <c r="I970" s="1">
        <v>0.99429999999999996</v>
      </c>
      <c r="J970" s="1">
        <v>3.2</v>
      </c>
      <c r="K970" s="1">
        <v>0.6</v>
      </c>
      <c r="L970" s="1">
        <v>12.2</v>
      </c>
      <c r="M970" s="2">
        <v>6</v>
      </c>
      <c r="N970" s="2" t="str" cm="1">
        <f t="array" ref="N970">_xlfn.IFS(Table1[[#This Row],[quality]]&lt;=4,"Low",Table1[[#This Row],[quality]]&lt;=6,"Medium",Table1[[#This Row],[quality]]&gt;=7,"High")</f>
        <v>Medium</v>
      </c>
      <c r="O970" s="2" t="str">
        <f>IF(AND(Table1[[#This Row],[fixed acidity]]&gt;Sheet1!$C$4,Table1[[#This Row],[pH]]&lt;Sheet1!$K$4),"High","Normal")</f>
        <v>High</v>
      </c>
      <c r="P970" s="1">
        <f>(Table1[[#This Row],[alcohol]]*2)+(Table1[[#This Row],[sulphates]]*1.5)-(Table1[[#This Row],[volatile acidity]]*2)</f>
        <v>24.499999999999996</v>
      </c>
      <c r="Q970" s="1">
        <f>RANK(Table1[[#This Row],[Quality_score_index]],Table1[Quality_score_index],0)</f>
        <v>128</v>
      </c>
      <c r="R970" s="1">
        <f>Table1[[#This Row],[total sulfur dioxide]]-Table1[[#This Row],[free sulfur dioxide]]</f>
        <v>17</v>
      </c>
      <c r="S970" s="1" t="str">
        <f>IF(AND(Table1[[#This Row],[pH]]&gt;=3.2,Table1[[#This Row],[alcohol]]&gt;=10),"White wine","Red wine")</f>
        <v>White wine</v>
      </c>
    </row>
    <row r="971" spans="1:19" x14ac:dyDescent="0.3">
      <c r="A971" s="13">
        <v>970</v>
      </c>
      <c r="B971" s="1">
        <v>6.7</v>
      </c>
      <c r="C971" s="1">
        <v>0.56000000000000005</v>
      </c>
      <c r="D971" s="1">
        <v>0.09</v>
      </c>
      <c r="E971" s="1">
        <v>2.9</v>
      </c>
      <c r="F971" s="1">
        <v>7.9000000000000001E-2</v>
      </c>
      <c r="G971" s="1">
        <v>7</v>
      </c>
      <c r="H971" s="1">
        <v>22</v>
      </c>
      <c r="I971" s="1">
        <v>0.99668999999999996</v>
      </c>
      <c r="J971" s="1">
        <v>3.46</v>
      </c>
      <c r="K971" s="1">
        <v>0.61</v>
      </c>
      <c r="L971" s="1">
        <v>10.199999999999999</v>
      </c>
      <c r="M971" s="2">
        <v>5</v>
      </c>
      <c r="N971" s="2" t="str" cm="1">
        <f t="array" ref="N971">_xlfn.IFS(Table1[[#This Row],[quality]]&lt;=4,"Low",Table1[[#This Row],[quality]]&lt;=6,"Medium",Table1[[#This Row],[quality]]&gt;=7,"High")</f>
        <v>Medium</v>
      </c>
      <c r="O971" s="2" t="str">
        <f>IF(AND(Table1[[#This Row],[fixed acidity]]&gt;Sheet1!$C$4,Table1[[#This Row],[pH]]&lt;Sheet1!$K$4),"High","Normal")</f>
        <v>Normal</v>
      </c>
      <c r="P971" s="1">
        <f>(Table1[[#This Row],[alcohol]]*2)+(Table1[[#This Row],[sulphates]]*1.5)-(Table1[[#This Row],[volatile acidity]]*2)</f>
        <v>20.194999999999997</v>
      </c>
      <c r="Q971" s="1">
        <f>RANK(Table1[[#This Row],[Quality_score_index]],Table1[Quality_score_index],0)</f>
        <v>815</v>
      </c>
      <c r="R971" s="1">
        <f>Table1[[#This Row],[total sulfur dioxide]]-Table1[[#This Row],[free sulfur dioxide]]</f>
        <v>15</v>
      </c>
      <c r="S971" s="1" t="str">
        <f>IF(AND(Table1[[#This Row],[pH]]&gt;=3.2,Table1[[#This Row],[alcohol]]&gt;=10),"White wine","Red wine")</f>
        <v>White wine</v>
      </c>
    </row>
    <row r="972" spans="1:19" x14ac:dyDescent="0.3">
      <c r="A972" s="13">
        <v>971</v>
      </c>
      <c r="B972" s="1">
        <v>10.4</v>
      </c>
      <c r="C972" s="1">
        <v>0.26</v>
      </c>
      <c r="D972" s="1">
        <v>0.48</v>
      </c>
      <c r="E972" s="1">
        <v>1.9</v>
      </c>
      <c r="F972" s="1">
        <v>6.6000000000000003E-2</v>
      </c>
      <c r="G972" s="1">
        <v>6</v>
      </c>
      <c r="H972" s="1">
        <v>10</v>
      </c>
      <c r="I972" s="1">
        <v>0.99724000000000002</v>
      </c>
      <c r="J972" s="1">
        <v>3.33</v>
      </c>
      <c r="K972" s="1">
        <v>0.87</v>
      </c>
      <c r="L972" s="1">
        <v>10.9</v>
      </c>
      <c r="M972" s="2">
        <v>6</v>
      </c>
      <c r="N972" s="2" t="str" cm="1">
        <f t="array" ref="N972">_xlfn.IFS(Table1[[#This Row],[quality]]&lt;=4,"Low",Table1[[#This Row],[quality]]&lt;=6,"Medium",Table1[[#This Row],[quality]]&gt;=7,"High")</f>
        <v>Medium</v>
      </c>
      <c r="O972" s="2" t="str">
        <f>IF(AND(Table1[[#This Row],[fixed acidity]]&gt;Sheet1!$C$4,Table1[[#This Row],[pH]]&lt;Sheet1!$K$4),"High","Normal")</f>
        <v>Normal</v>
      </c>
      <c r="P972" s="1">
        <f>(Table1[[#This Row],[alcohol]]*2)+(Table1[[#This Row],[sulphates]]*1.5)-(Table1[[#This Row],[volatile acidity]]*2)</f>
        <v>22.585000000000001</v>
      </c>
      <c r="Q972" s="1">
        <f>RANK(Table1[[#This Row],[Quality_score_index]],Table1[Quality_score_index],0)</f>
        <v>345</v>
      </c>
      <c r="R972" s="1">
        <f>Table1[[#This Row],[total sulfur dioxide]]-Table1[[#This Row],[free sulfur dioxide]]</f>
        <v>4</v>
      </c>
      <c r="S972" s="1" t="str">
        <f>IF(AND(Table1[[#This Row],[pH]]&gt;=3.2,Table1[[#This Row],[alcohol]]&gt;=10),"White wine","Red wine")</f>
        <v>White wine</v>
      </c>
    </row>
    <row r="973" spans="1:19" x14ac:dyDescent="0.3">
      <c r="A973" s="13">
        <v>972</v>
      </c>
      <c r="B973" s="1">
        <v>10.4</v>
      </c>
      <c r="C973" s="1">
        <v>0.26</v>
      </c>
      <c r="D973" s="1">
        <v>0.48</v>
      </c>
      <c r="E973" s="1">
        <v>1.9</v>
      </c>
      <c r="F973" s="1">
        <v>6.6000000000000003E-2</v>
      </c>
      <c r="G973" s="1">
        <v>6</v>
      </c>
      <c r="H973" s="1">
        <v>10</v>
      </c>
      <c r="I973" s="1">
        <v>0.99724000000000002</v>
      </c>
      <c r="J973" s="1">
        <v>3.33</v>
      </c>
      <c r="K973" s="1">
        <v>0.87</v>
      </c>
      <c r="L973" s="1">
        <v>10.9</v>
      </c>
      <c r="M973" s="2">
        <v>6</v>
      </c>
      <c r="N973" s="2" t="str" cm="1">
        <f t="array" ref="N973">_xlfn.IFS(Table1[[#This Row],[quality]]&lt;=4,"Low",Table1[[#This Row],[quality]]&lt;=6,"Medium",Table1[[#This Row],[quality]]&gt;=7,"High")</f>
        <v>Medium</v>
      </c>
      <c r="O973" s="2" t="str">
        <f>IF(AND(Table1[[#This Row],[fixed acidity]]&gt;Sheet1!$C$4,Table1[[#This Row],[pH]]&lt;Sheet1!$K$4),"High","Normal")</f>
        <v>Normal</v>
      </c>
      <c r="P973" s="1">
        <f>(Table1[[#This Row],[alcohol]]*2)+(Table1[[#This Row],[sulphates]]*1.5)-(Table1[[#This Row],[volatile acidity]]*2)</f>
        <v>22.585000000000001</v>
      </c>
      <c r="Q973" s="1">
        <f>RANK(Table1[[#This Row],[Quality_score_index]],Table1[Quality_score_index],0)</f>
        <v>345</v>
      </c>
      <c r="R973" s="1">
        <f>Table1[[#This Row],[total sulfur dioxide]]-Table1[[#This Row],[free sulfur dioxide]]</f>
        <v>4</v>
      </c>
      <c r="S973" s="1" t="str">
        <f>IF(AND(Table1[[#This Row],[pH]]&gt;=3.2,Table1[[#This Row],[alcohol]]&gt;=10),"White wine","Red wine")</f>
        <v>White wine</v>
      </c>
    </row>
    <row r="974" spans="1:19" x14ac:dyDescent="0.3">
      <c r="A974" s="13">
        <v>973</v>
      </c>
      <c r="B974" s="1">
        <v>10.1</v>
      </c>
      <c r="C974" s="1">
        <v>0.38</v>
      </c>
      <c r="D974" s="1">
        <v>0.5</v>
      </c>
      <c r="E974" s="1">
        <v>2.4</v>
      </c>
      <c r="F974" s="1">
        <v>0.104</v>
      </c>
      <c r="G974" s="1">
        <v>6</v>
      </c>
      <c r="H974" s="1">
        <v>13</v>
      </c>
      <c r="I974" s="1">
        <v>0.99643000000000004</v>
      </c>
      <c r="J974" s="1">
        <v>3.22</v>
      </c>
      <c r="K974" s="1">
        <v>0.65</v>
      </c>
      <c r="L974" s="1">
        <v>11.6</v>
      </c>
      <c r="M974" s="2">
        <v>7</v>
      </c>
      <c r="N974" s="2" t="str" cm="1">
        <f t="array" ref="N974">_xlfn.IFS(Table1[[#This Row],[quality]]&lt;=4,"Low",Table1[[#This Row],[quality]]&lt;=6,"Medium",Table1[[#This Row],[quality]]&gt;=7,"High")</f>
        <v>High</v>
      </c>
      <c r="O974" s="2" t="str">
        <f>IF(AND(Table1[[#This Row],[fixed acidity]]&gt;Sheet1!$C$4,Table1[[#This Row],[pH]]&lt;Sheet1!$K$4),"High","Normal")</f>
        <v>High</v>
      </c>
      <c r="P974" s="1">
        <f>(Table1[[#This Row],[alcohol]]*2)+(Table1[[#This Row],[sulphates]]*1.5)-(Table1[[#This Row],[volatile acidity]]*2)</f>
        <v>23.414999999999999</v>
      </c>
      <c r="Q974" s="1">
        <f>RANK(Table1[[#This Row],[Quality_score_index]],Table1[Quality_score_index],0)</f>
        <v>227</v>
      </c>
      <c r="R974" s="1">
        <f>Table1[[#This Row],[total sulfur dioxide]]-Table1[[#This Row],[free sulfur dioxide]]</f>
        <v>7</v>
      </c>
      <c r="S974" s="1" t="str">
        <f>IF(AND(Table1[[#This Row],[pH]]&gt;=3.2,Table1[[#This Row],[alcohol]]&gt;=10),"White wine","Red wine")</f>
        <v>White wine</v>
      </c>
    </row>
    <row r="975" spans="1:19" x14ac:dyDescent="0.3">
      <c r="A975" s="13">
        <v>974</v>
      </c>
      <c r="B975" s="1">
        <v>8.5</v>
      </c>
      <c r="C975" s="1">
        <v>0.34</v>
      </c>
      <c r="D975" s="1">
        <v>0.44</v>
      </c>
      <c r="E975" s="1">
        <v>1.7</v>
      </c>
      <c r="F975" s="1">
        <v>7.9000000000000001E-2</v>
      </c>
      <c r="G975" s="1">
        <v>6</v>
      </c>
      <c r="H975" s="1">
        <v>12</v>
      </c>
      <c r="I975" s="1">
        <v>0.99604999999999999</v>
      </c>
      <c r="J975" s="1">
        <v>3.52</v>
      </c>
      <c r="K975" s="1">
        <v>0.63</v>
      </c>
      <c r="L975" s="1">
        <v>10.7</v>
      </c>
      <c r="M975" s="2">
        <v>5</v>
      </c>
      <c r="N975" s="2" t="str" cm="1">
        <f t="array" ref="N975">_xlfn.IFS(Table1[[#This Row],[quality]]&lt;=4,"Low",Table1[[#This Row],[quality]]&lt;=6,"Medium",Table1[[#This Row],[quality]]&gt;=7,"High")</f>
        <v>Medium</v>
      </c>
      <c r="O975" s="2" t="str">
        <f>IF(AND(Table1[[#This Row],[fixed acidity]]&gt;Sheet1!$C$4,Table1[[#This Row],[pH]]&lt;Sheet1!$K$4),"High","Normal")</f>
        <v>Normal</v>
      </c>
      <c r="P975" s="1">
        <f>(Table1[[#This Row],[alcohol]]*2)+(Table1[[#This Row],[sulphates]]*1.5)-(Table1[[#This Row],[volatile acidity]]*2)</f>
        <v>21.664999999999999</v>
      </c>
      <c r="Q975" s="1">
        <f>RANK(Table1[[#This Row],[Quality_score_index]],Table1[Quality_score_index],0)</f>
        <v>511</v>
      </c>
      <c r="R975" s="1">
        <f>Table1[[#This Row],[total sulfur dioxide]]-Table1[[#This Row],[free sulfur dioxide]]</f>
        <v>6</v>
      </c>
      <c r="S975" s="1" t="str">
        <f>IF(AND(Table1[[#This Row],[pH]]&gt;=3.2,Table1[[#This Row],[alcohol]]&gt;=10),"White wine","Red wine")</f>
        <v>White wine</v>
      </c>
    </row>
    <row r="976" spans="1:19" x14ac:dyDescent="0.3">
      <c r="A976" s="13">
        <v>975</v>
      </c>
      <c r="B976" s="1">
        <v>8.8000000000000007</v>
      </c>
      <c r="C976" s="1">
        <v>0.33</v>
      </c>
      <c r="D976" s="1">
        <v>0.41</v>
      </c>
      <c r="E976" s="1">
        <v>5.9</v>
      </c>
      <c r="F976" s="1">
        <v>7.2999999999999995E-2</v>
      </c>
      <c r="G976" s="1">
        <v>7</v>
      </c>
      <c r="H976" s="1">
        <v>13</v>
      </c>
      <c r="I976" s="1">
        <v>0.99658000000000002</v>
      </c>
      <c r="J976" s="1">
        <v>3.3</v>
      </c>
      <c r="K976" s="1">
        <v>0.62</v>
      </c>
      <c r="L976" s="1">
        <v>12.1</v>
      </c>
      <c r="M976" s="2">
        <v>7</v>
      </c>
      <c r="N976" s="2" t="str" cm="1">
        <f t="array" ref="N976">_xlfn.IFS(Table1[[#This Row],[quality]]&lt;=4,"Low",Table1[[#This Row],[quality]]&lt;=6,"Medium",Table1[[#This Row],[quality]]&gt;=7,"High")</f>
        <v>High</v>
      </c>
      <c r="O976" s="2" t="str">
        <f>IF(AND(Table1[[#This Row],[fixed acidity]]&gt;Sheet1!$C$4,Table1[[#This Row],[pH]]&lt;Sheet1!$K$4),"High","Normal")</f>
        <v>High</v>
      </c>
      <c r="P976" s="1">
        <f>(Table1[[#This Row],[alcohol]]*2)+(Table1[[#This Row],[sulphates]]*1.5)-(Table1[[#This Row],[volatile acidity]]*2)</f>
        <v>24.47</v>
      </c>
      <c r="Q976" s="1">
        <f>RANK(Table1[[#This Row],[Quality_score_index]],Table1[Quality_score_index],0)</f>
        <v>130</v>
      </c>
      <c r="R976" s="1">
        <f>Table1[[#This Row],[total sulfur dioxide]]-Table1[[#This Row],[free sulfur dioxide]]</f>
        <v>6</v>
      </c>
      <c r="S976" s="1" t="str">
        <f>IF(AND(Table1[[#This Row],[pH]]&gt;=3.2,Table1[[#This Row],[alcohol]]&gt;=10),"White wine","Red wine")</f>
        <v>White wine</v>
      </c>
    </row>
    <row r="977" spans="1:19" x14ac:dyDescent="0.3">
      <c r="A977" s="13">
        <v>976</v>
      </c>
      <c r="B977" s="1">
        <v>7.2</v>
      </c>
      <c r="C977" s="1">
        <v>0.41</v>
      </c>
      <c r="D977" s="1">
        <v>0.3</v>
      </c>
      <c r="E977" s="1">
        <v>2.1</v>
      </c>
      <c r="F977" s="1">
        <v>8.3000000000000004E-2</v>
      </c>
      <c r="G977" s="1">
        <v>35</v>
      </c>
      <c r="H977" s="1">
        <v>72</v>
      </c>
      <c r="I977" s="1">
        <v>0.997</v>
      </c>
      <c r="J977" s="1">
        <v>3.44</v>
      </c>
      <c r="K977" s="1">
        <v>0.52</v>
      </c>
      <c r="L977" s="1">
        <v>9.4</v>
      </c>
      <c r="M977" s="2">
        <v>5</v>
      </c>
      <c r="N977" s="2" t="str" cm="1">
        <f t="array" ref="N977">_xlfn.IFS(Table1[[#This Row],[quality]]&lt;=4,"Low",Table1[[#This Row],[quality]]&lt;=6,"Medium",Table1[[#This Row],[quality]]&gt;=7,"High")</f>
        <v>Medium</v>
      </c>
      <c r="O977" s="2" t="str">
        <f>IF(AND(Table1[[#This Row],[fixed acidity]]&gt;Sheet1!$C$4,Table1[[#This Row],[pH]]&lt;Sheet1!$K$4),"High","Normal")</f>
        <v>Normal</v>
      </c>
      <c r="P977" s="1">
        <f>(Table1[[#This Row],[alcohol]]*2)+(Table1[[#This Row],[sulphates]]*1.5)-(Table1[[#This Row],[volatile acidity]]*2)</f>
        <v>18.760000000000002</v>
      </c>
      <c r="Q977" s="1">
        <f>RANK(Table1[[#This Row],[Quality_score_index]],Table1[Quality_score_index],0)</f>
        <v>1258</v>
      </c>
      <c r="R977" s="1">
        <f>Table1[[#This Row],[total sulfur dioxide]]-Table1[[#This Row],[free sulfur dioxide]]</f>
        <v>37</v>
      </c>
      <c r="S977" s="1" t="str">
        <f>IF(AND(Table1[[#This Row],[pH]]&gt;=3.2,Table1[[#This Row],[alcohol]]&gt;=10),"White wine","Red wine")</f>
        <v>Red wine</v>
      </c>
    </row>
    <row r="978" spans="1:19" x14ac:dyDescent="0.3">
      <c r="A978" s="13">
        <v>977</v>
      </c>
      <c r="B978" s="1">
        <v>7.2</v>
      </c>
      <c r="C978" s="1">
        <v>0.41</v>
      </c>
      <c r="D978" s="1">
        <v>0.3</v>
      </c>
      <c r="E978" s="1">
        <v>2.1</v>
      </c>
      <c r="F978" s="1">
        <v>8.3000000000000004E-2</v>
      </c>
      <c r="G978" s="1">
        <v>35</v>
      </c>
      <c r="H978" s="1">
        <v>72</v>
      </c>
      <c r="I978" s="1">
        <v>0.997</v>
      </c>
      <c r="J978" s="1">
        <v>3.44</v>
      </c>
      <c r="K978" s="1">
        <v>0.52</v>
      </c>
      <c r="L978" s="1">
        <v>9.4</v>
      </c>
      <c r="M978" s="2">
        <v>5</v>
      </c>
      <c r="N978" s="2" t="str" cm="1">
        <f t="array" ref="N978">_xlfn.IFS(Table1[[#This Row],[quality]]&lt;=4,"Low",Table1[[#This Row],[quality]]&lt;=6,"Medium",Table1[[#This Row],[quality]]&gt;=7,"High")</f>
        <v>Medium</v>
      </c>
      <c r="O978" s="2" t="str">
        <f>IF(AND(Table1[[#This Row],[fixed acidity]]&gt;Sheet1!$C$4,Table1[[#This Row],[pH]]&lt;Sheet1!$K$4),"High","Normal")</f>
        <v>Normal</v>
      </c>
      <c r="P978" s="1">
        <f>(Table1[[#This Row],[alcohol]]*2)+(Table1[[#This Row],[sulphates]]*1.5)-(Table1[[#This Row],[volatile acidity]]*2)</f>
        <v>18.760000000000002</v>
      </c>
      <c r="Q978" s="1">
        <f>RANK(Table1[[#This Row],[Quality_score_index]],Table1[Quality_score_index],0)</f>
        <v>1258</v>
      </c>
      <c r="R978" s="1">
        <f>Table1[[#This Row],[total sulfur dioxide]]-Table1[[#This Row],[free sulfur dioxide]]</f>
        <v>37</v>
      </c>
      <c r="S978" s="1" t="str">
        <f>IF(AND(Table1[[#This Row],[pH]]&gt;=3.2,Table1[[#This Row],[alcohol]]&gt;=10),"White wine","Red wine")</f>
        <v>Red wine</v>
      </c>
    </row>
    <row r="979" spans="1:19" x14ac:dyDescent="0.3">
      <c r="A979" s="13">
        <v>978</v>
      </c>
      <c r="B979" s="1">
        <v>8.4</v>
      </c>
      <c r="C979" s="1">
        <v>0.59</v>
      </c>
      <c r="D979" s="1">
        <v>0.28999999999999998</v>
      </c>
      <c r="E979" s="1">
        <v>2.6</v>
      </c>
      <c r="F979" s="1">
        <v>0.109</v>
      </c>
      <c r="G979" s="1">
        <v>31</v>
      </c>
      <c r="H979" s="1">
        <v>119</v>
      </c>
      <c r="I979" s="1">
        <v>0.99800999999999995</v>
      </c>
      <c r="J979" s="1">
        <v>3.15</v>
      </c>
      <c r="K979" s="1">
        <v>0.5</v>
      </c>
      <c r="L979" s="1">
        <v>9.1</v>
      </c>
      <c r="M979" s="2">
        <v>5</v>
      </c>
      <c r="N979" s="2" t="str" cm="1">
        <f t="array" ref="N979">_xlfn.IFS(Table1[[#This Row],[quality]]&lt;=4,"Low",Table1[[#This Row],[quality]]&lt;=6,"Medium",Table1[[#This Row],[quality]]&gt;=7,"High")</f>
        <v>Medium</v>
      </c>
      <c r="O979" s="2" t="str">
        <f>IF(AND(Table1[[#This Row],[fixed acidity]]&gt;Sheet1!$C$4,Table1[[#This Row],[pH]]&lt;Sheet1!$K$4),"High","Normal")</f>
        <v>High</v>
      </c>
      <c r="P979" s="1">
        <f>(Table1[[#This Row],[alcohol]]*2)+(Table1[[#This Row],[sulphates]]*1.5)-(Table1[[#This Row],[volatile acidity]]*2)</f>
        <v>17.77</v>
      </c>
      <c r="Q979" s="1">
        <f>RANK(Table1[[#This Row],[Quality_score_index]],Table1[Quality_score_index],0)</f>
        <v>1561</v>
      </c>
      <c r="R979" s="1">
        <f>Table1[[#This Row],[total sulfur dioxide]]-Table1[[#This Row],[free sulfur dioxide]]</f>
        <v>88</v>
      </c>
      <c r="S979" s="1" t="str">
        <f>IF(AND(Table1[[#This Row],[pH]]&gt;=3.2,Table1[[#This Row],[alcohol]]&gt;=10),"White wine","Red wine")</f>
        <v>Red wine</v>
      </c>
    </row>
    <row r="980" spans="1:19" x14ac:dyDescent="0.3">
      <c r="A980" s="13">
        <v>979</v>
      </c>
      <c r="B980" s="1">
        <v>7</v>
      </c>
      <c r="C980" s="1">
        <v>0.4</v>
      </c>
      <c r="D980" s="1">
        <v>0.32</v>
      </c>
      <c r="E980" s="1">
        <v>3.6</v>
      </c>
      <c r="F980" s="1">
        <v>6.0999999999999999E-2</v>
      </c>
      <c r="G980" s="1">
        <v>9</v>
      </c>
      <c r="H980" s="1">
        <v>29</v>
      </c>
      <c r="I980" s="1">
        <v>0.99416000000000004</v>
      </c>
      <c r="J980" s="1">
        <v>3.28</v>
      </c>
      <c r="K980" s="1">
        <v>0.49</v>
      </c>
      <c r="L980" s="1">
        <v>11.3</v>
      </c>
      <c r="M980" s="2">
        <v>7</v>
      </c>
      <c r="N980" s="2" t="str" cm="1">
        <f t="array" ref="N980">_xlfn.IFS(Table1[[#This Row],[quality]]&lt;=4,"Low",Table1[[#This Row],[quality]]&lt;=6,"Medium",Table1[[#This Row],[quality]]&gt;=7,"High")</f>
        <v>High</v>
      </c>
      <c r="O980" s="2" t="str">
        <f>IF(AND(Table1[[#This Row],[fixed acidity]]&gt;Sheet1!$C$4,Table1[[#This Row],[pH]]&lt;Sheet1!$K$4),"High","Normal")</f>
        <v>Normal</v>
      </c>
      <c r="P980" s="1">
        <f>(Table1[[#This Row],[alcohol]]*2)+(Table1[[#This Row],[sulphates]]*1.5)-(Table1[[#This Row],[volatile acidity]]*2)</f>
        <v>22.535</v>
      </c>
      <c r="Q980" s="1">
        <f>RANK(Table1[[#This Row],[Quality_score_index]],Table1[Quality_score_index],0)</f>
        <v>355</v>
      </c>
      <c r="R980" s="1">
        <f>Table1[[#This Row],[total sulfur dioxide]]-Table1[[#This Row],[free sulfur dioxide]]</f>
        <v>20</v>
      </c>
      <c r="S980" s="1" t="str">
        <f>IF(AND(Table1[[#This Row],[pH]]&gt;=3.2,Table1[[#This Row],[alcohol]]&gt;=10),"White wine","Red wine")</f>
        <v>White wine</v>
      </c>
    </row>
    <row r="981" spans="1:19" x14ac:dyDescent="0.3">
      <c r="A981" s="13">
        <v>980</v>
      </c>
      <c r="B981" s="1">
        <v>12.2</v>
      </c>
      <c r="C981" s="1">
        <v>0.45</v>
      </c>
      <c r="D981" s="1">
        <v>0.49</v>
      </c>
      <c r="E981" s="1">
        <v>1.4</v>
      </c>
      <c r="F981" s="1">
        <v>7.4999999999999997E-2</v>
      </c>
      <c r="G981" s="1">
        <v>3</v>
      </c>
      <c r="H981" s="1">
        <v>6</v>
      </c>
      <c r="I981" s="1">
        <v>0.99690000000000001</v>
      </c>
      <c r="J981" s="1">
        <v>3.13</v>
      </c>
      <c r="K981" s="1">
        <v>0.63</v>
      </c>
      <c r="L981" s="1">
        <v>10.4</v>
      </c>
      <c r="M981" s="2">
        <v>5</v>
      </c>
      <c r="N981" s="2" t="str" cm="1">
        <f t="array" ref="N981">_xlfn.IFS(Table1[[#This Row],[quality]]&lt;=4,"Low",Table1[[#This Row],[quality]]&lt;=6,"Medium",Table1[[#This Row],[quality]]&gt;=7,"High")</f>
        <v>Medium</v>
      </c>
      <c r="O981" s="2" t="str">
        <f>IF(AND(Table1[[#This Row],[fixed acidity]]&gt;Sheet1!$C$4,Table1[[#This Row],[pH]]&lt;Sheet1!$K$4),"High","Normal")</f>
        <v>High</v>
      </c>
      <c r="P981" s="1">
        <f>(Table1[[#This Row],[alcohol]]*2)+(Table1[[#This Row],[sulphates]]*1.5)-(Table1[[#This Row],[volatile acidity]]*2)</f>
        <v>20.845000000000002</v>
      </c>
      <c r="Q981" s="1">
        <f>RANK(Table1[[#This Row],[Quality_score_index]],Table1[Quality_score_index],0)</f>
        <v>688</v>
      </c>
      <c r="R981" s="1">
        <f>Table1[[#This Row],[total sulfur dioxide]]-Table1[[#This Row],[free sulfur dioxide]]</f>
        <v>3</v>
      </c>
      <c r="S981" s="1" t="str">
        <f>IF(AND(Table1[[#This Row],[pH]]&gt;=3.2,Table1[[#This Row],[alcohol]]&gt;=10),"White wine","Red wine")</f>
        <v>Red wine</v>
      </c>
    </row>
    <row r="982" spans="1:19" x14ac:dyDescent="0.3">
      <c r="A982" s="13">
        <v>981</v>
      </c>
      <c r="B982" s="1">
        <v>9.1</v>
      </c>
      <c r="C982" s="1">
        <v>0.5</v>
      </c>
      <c r="D982" s="1">
        <v>0.3</v>
      </c>
      <c r="E982" s="1">
        <v>1.9</v>
      </c>
      <c r="F982" s="1">
        <v>6.5000000000000002E-2</v>
      </c>
      <c r="G982" s="1">
        <v>8</v>
      </c>
      <c r="H982" s="1">
        <v>17</v>
      </c>
      <c r="I982" s="1">
        <v>0.99773999999999996</v>
      </c>
      <c r="J982" s="1">
        <v>3.32</v>
      </c>
      <c r="K982" s="1">
        <v>0.71</v>
      </c>
      <c r="L982" s="1">
        <v>10.5</v>
      </c>
      <c r="M982" s="2">
        <v>6</v>
      </c>
      <c r="N982" s="2" t="str" cm="1">
        <f t="array" ref="N982">_xlfn.IFS(Table1[[#This Row],[quality]]&lt;=4,"Low",Table1[[#This Row],[quality]]&lt;=6,"Medium",Table1[[#This Row],[quality]]&gt;=7,"High")</f>
        <v>Medium</v>
      </c>
      <c r="O982" s="2" t="str">
        <f>IF(AND(Table1[[#This Row],[fixed acidity]]&gt;Sheet1!$C$4,Table1[[#This Row],[pH]]&lt;Sheet1!$K$4),"High","Normal")</f>
        <v>Normal</v>
      </c>
      <c r="P982" s="1">
        <f>(Table1[[#This Row],[alcohol]]*2)+(Table1[[#This Row],[sulphates]]*1.5)-(Table1[[#This Row],[volatile acidity]]*2)</f>
        <v>21.065000000000001</v>
      </c>
      <c r="Q982" s="1">
        <f>RANK(Table1[[#This Row],[Quality_score_index]],Table1[Quality_score_index],0)</f>
        <v>638</v>
      </c>
      <c r="R982" s="1">
        <f>Table1[[#This Row],[total sulfur dioxide]]-Table1[[#This Row],[free sulfur dioxide]]</f>
        <v>9</v>
      </c>
      <c r="S982" s="1" t="str">
        <f>IF(AND(Table1[[#This Row],[pH]]&gt;=3.2,Table1[[#This Row],[alcohol]]&gt;=10),"White wine","Red wine")</f>
        <v>White wine</v>
      </c>
    </row>
    <row r="983" spans="1:19" x14ac:dyDescent="0.3">
      <c r="A983" s="13">
        <v>982</v>
      </c>
      <c r="B983" s="1">
        <v>9.5</v>
      </c>
      <c r="C983" s="1">
        <v>0.86</v>
      </c>
      <c r="D983" s="1">
        <v>0.26</v>
      </c>
      <c r="E983" s="1">
        <v>1.9</v>
      </c>
      <c r="F983" s="1">
        <v>7.9000000000000001E-2</v>
      </c>
      <c r="G983" s="1">
        <v>13</v>
      </c>
      <c r="H983" s="1">
        <v>28</v>
      </c>
      <c r="I983" s="1">
        <v>0.99712000000000001</v>
      </c>
      <c r="J983" s="1">
        <v>3.25</v>
      </c>
      <c r="K983" s="1">
        <v>0.62</v>
      </c>
      <c r="L983" s="1">
        <v>10</v>
      </c>
      <c r="M983" s="2">
        <v>5</v>
      </c>
      <c r="N983" s="2" t="str" cm="1">
        <f t="array" ref="N983">_xlfn.IFS(Table1[[#This Row],[quality]]&lt;=4,"Low",Table1[[#This Row],[quality]]&lt;=6,"Medium",Table1[[#This Row],[quality]]&gt;=7,"High")</f>
        <v>Medium</v>
      </c>
      <c r="O983" s="2" t="str">
        <f>IF(AND(Table1[[#This Row],[fixed acidity]]&gt;Sheet1!$C$4,Table1[[#This Row],[pH]]&lt;Sheet1!$K$4),"High","Normal")</f>
        <v>High</v>
      </c>
      <c r="P983" s="1">
        <f>(Table1[[#This Row],[alcohol]]*2)+(Table1[[#This Row],[sulphates]]*1.5)-(Table1[[#This Row],[volatile acidity]]*2)</f>
        <v>19.21</v>
      </c>
      <c r="Q983" s="1">
        <f>RANK(Table1[[#This Row],[Quality_score_index]],Table1[Quality_score_index],0)</f>
        <v>1075</v>
      </c>
      <c r="R983" s="1">
        <f>Table1[[#This Row],[total sulfur dioxide]]-Table1[[#This Row],[free sulfur dioxide]]</f>
        <v>15</v>
      </c>
      <c r="S983" s="1" t="str">
        <f>IF(AND(Table1[[#This Row],[pH]]&gt;=3.2,Table1[[#This Row],[alcohol]]&gt;=10),"White wine","Red wine")</f>
        <v>White wine</v>
      </c>
    </row>
    <row r="984" spans="1:19" x14ac:dyDescent="0.3">
      <c r="A984" s="13">
        <v>983</v>
      </c>
      <c r="B984" s="1">
        <v>7.3</v>
      </c>
      <c r="C984" s="1">
        <v>0.52</v>
      </c>
      <c r="D984" s="1">
        <v>0.32</v>
      </c>
      <c r="E984" s="1">
        <v>2.1</v>
      </c>
      <c r="F984" s="1">
        <v>7.0000000000000007E-2</v>
      </c>
      <c r="G984" s="1">
        <v>51</v>
      </c>
      <c r="H984" s="1">
        <v>70</v>
      </c>
      <c r="I984" s="1">
        <v>0.99417999999999995</v>
      </c>
      <c r="J984" s="1">
        <v>3.34</v>
      </c>
      <c r="K984" s="1">
        <v>0.82</v>
      </c>
      <c r="L984" s="1">
        <v>12.9</v>
      </c>
      <c r="M984" s="2">
        <v>6</v>
      </c>
      <c r="N984" s="2" t="str" cm="1">
        <f t="array" ref="N984">_xlfn.IFS(Table1[[#This Row],[quality]]&lt;=4,"Low",Table1[[#This Row],[quality]]&lt;=6,"Medium",Table1[[#This Row],[quality]]&gt;=7,"High")</f>
        <v>Medium</v>
      </c>
      <c r="O984" s="2" t="str">
        <f>IF(AND(Table1[[#This Row],[fixed acidity]]&gt;Sheet1!$C$4,Table1[[#This Row],[pH]]&lt;Sheet1!$K$4),"High","Normal")</f>
        <v>Normal</v>
      </c>
      <c r="P984" s="1">
        <f>(Table1[[#This Row],[alcohol]]*2)+(Table1[[#This Row],[sulphates]]*1.5)-(Table1[[#This Row],[volatile acidity]]*2)</f>
        <v>25.990000000000002</v>
      </c>
      <c r="Q984" s="1">
        <f>RANK(Table1[[#This Row],[Quality_score_index]],Table1[Quality_score_index],0)</f>
        <v>34</v>
      </c>
      <c r="R984" s="1">
        <f>Table1[[#This Row],[total sulfur dioxide]]-Table1[[#This Row],[free sulfur dioxide]]</f>
        <v>19</v>
      </c>
      <c r="S984" s="1" t="str">
        <f>IF(AND(Table1[[#This Row],[pH]]&gt;=3.2,Table1[[#This Row],[alcohol]]&gt;=10),"White wine","Red wine")</f>
        <v>White wine</v>
      </c>
    </row>
    <row r="985" spans="1:19" x14ac:dyDescent="0.3">
      <c r="A985" s="13">
        <v>984</v>
      </c>
      <c r="B985" s="1">
        <v>9.1</v>
      </c>
      <c r="C985" s="1">
        <v>0.5</v>
      </c>
      <c r="D985" s="1">
        <v>0.3</v>
      </c>
      <c r="E985" s="1">
        <v>1.9</v>
      </c>
      <c r="F985" s="1">
        <v>6.5000000000000002E-2</v>
      </c>
      <c r="G985" s="1">
        <v>8</v>
      </c>
      <c r="H985" s="1">
        <v>17</v>
      </c>
      <c r="I985" s="1">
        <v>0.99773999999999996</v>
      </c>
      <c r="J985" s="1">
        <v>3.32</v>
      </c>
      <c r="K985" s="1">
        <v>0.71</v>
      </c>
      <c r="L985" s="1">
        <v>10.5</v>
      </c>
      <c r="M985" s="2">
        <v>6</v>
      </c>
      <c r="N985" s="2" t="str" cm="1">
        <f t="array" ref="N985">_xlfn.IFS(Table1[[#This Row],[quality]]&lt;=4,"Low",Table1[[#This Row],[quality]]&lt;=6,"Medium",Table1[[#This Row],[quality]]&gt;=7,"High")</f>
        <v>Medium</v>
      </c>
      <c r="O985" s="2" t="str">
        <f>IF(AND(Table1[[#This Row],[fixed acidity]]&gt;Sheet1!$C$4,Table1[[#This Row],[pH]]&lt;Sheet1!$K$4),"High","Normal")</f>
        <v>Normal</v>
      </c>
      <c r="P985" s="1">
        <f>(Table1[[#This Row],[alcohol]]*2)+(Table1[[#This Row],[sulphates]]*1.5)-(Table1[[#This Row],[volatile acidity]]*2)</f>
        <v>21.065000000000001</v>
      </c>
      <c r="Q985" s="1">
        <f>RANK(Table1[[#This Row],[Quality_score_index]],Table1[Quality_score_index],0)</f>
        <v>638</v>
      </c>
      <c r="R985" s="1">
        <f>Table1[[#This Row],[total sulfur dioxide]]-Table1[[#This Row],[free sulfur dioxide]]</f>
        <v>9</v>
      </c>
      <c r="S985" s="1" t="str">
        <f>IF(AND(Table1[[#This Row],[pH]]&gt;=3.2,Table1[[#This Row],[alcohol]]&gt;=10),"White wine","Red wine")</f>
        <v>White wine</v>
      </c>
    </row>
    <row r="986" spans="1:19" x14ac:dyDescent="0.3">
      <c r="A986" s="13">
        <v>985</v>
      </c>
      <c r="B986" s="1">
        <v>12.2</v>
      </c>
      <c r="C986" s="1">
        <v>0.45</v>
      </c>
      <c r="D986" s="1">
        <v>0.49</v>
      </c>
      <c r="E986" s="1">
        <v>1.4</v>
      </c>
      <c r="F986" s="1">
        <v>7.4999999999999997E-2</v>
      </c>
      <c r="G986" s="1">
        <v>3</v>
      </c>
      <c r="H986" s="1">
        <v>6</v>
      </c>
      <c r="I986" s="1">
        <v>0.99690000000000001</v>
      </c>
      <c r="J986" s="1">
        <v>3.13</v>
      </c>
      <c r="K986" s="1">
        <v>0.63</v>
      </c>
      <c r="L986" s="1">
        <v>10.4</v>
      </c>
      <c r="M986" s="2">
        <v>5</v>
      </c>
      <c r="N986" s="2" t="str" cm="1">
        <f t="array" ref="N986">_xlfn.IFS(Table1[[#This Row],[quality]]&lt;=4,"Low",Table1[[#This Row],[quality]]&lt;=6,"Medium",Table1[[#This Row],[quality]]&gt;=7,"High")</f>
        <v>Medium</v>
      </c>
      <c r="O986" s="2" t="str">
        <f>IF(AND(Table1[[#This Row],[fixed acidity]]&gt;Sheet1!$C$4,Table1[[#This Row],[pH]]&lt;Sheet1!$K$4),"High","Normal")</f>
        <v>High</v>
      </c>
      <c r="P986" s="1">
        <f>(Table1[[#This Row],[alcohol]]*2)+(Table1[[#This Row],[sulphates]]*1.5)-(Table1[[#This Row],[volatile acidity]]*2)</f>
        <v>20.845000000000002</v>
      </c>
      <c r="Q986" s="1">
        <f>RANK(Table1[[#This Row],[Quality_score_index]],Table1[Quality_score_index],0)</f>
        <v>688</v>
      </c>
      <c r="R986" s="1">
        <f>Table1[[#This Row],[total sulfur dioxide]]-Table1[[#This Row],[free sulfur dioxide]]</f>
        <v>3</v>
      </c>
      <c r="S986" s="1" t="str">
        <f>IF(AND(Table1[[#This Row],[pH]]&gt;=3.2,Table1[[#This Row],[alcohol]]&gt;=10),"White wine","Red wine")</f>
        <v>Red wine</v>
      </c>
    </row>
    <row r="987" spans="1:19" x14ac:dyDescent="0.3">
      <c r="A987" s="13">
        <v>986</v>
      </c>
      <c r="B987" s="1">
        <v>7.4</v>
      </c>
      <c r="C987" s="1">
        <v>0.57999999999999996</v>
      </c>
      <c r="D987" s="1">
        <v>0</v>
      </c>
      <c r="E987" s="1">
        <v>2</v>
      </c>
      <c r="F987" s="1">
        <v>6.4000000000000001E-2</v>
      </c>
      <c r="G987" s="1">
        <v>7</v>
      </c>
      <c r="H987" s="1">
        <v>11</v>
      </c>
      <c r="I987" s="1">
        <v>0.99561999999999995</v>
      </c>
      <c r="J987" s="1">
        <v>3.45</v>
      </c>
      <c r="K987" s="1">
        <v>0.57999999999999996</v>
      </c>
      <c r="L987" s="1">
        <v>11.3</v>
      </c>
      <c r="M987" s="2">
        <v>6</v>
      </c>
      <c r="N987" s="2" t="str" cm="1">
        <f t="array" ref="N987">_xlfn.IFS(Table1[[#This Row],[quality]]&lt;=4,"Low",Table1[[#This Row],[quality]]&lt;=6,"Medium",Table1[[#This Row],[quality]]&gt;=7,"High")</f>
        <v>Medium</v>
      </c>
      <c r="O987" s="2" t="str">
        <f>IF(AND(Table1[[#This Row],[fixed acidity]]&gt;Sheet1!$C$4,Table1[[#This Row],[pH]]&lt;Sheet1!$K$4),"High","Normal")</f>
        <v>Normal</v>
      </c>
      <c r="P987" s="1">
        <f>(Table1[[#This Row],[alcohol]]*2)+(Table1[[#This Row],[sulphates]]*1.5)-(Table1[[#This Row],[volatile acidity]]*2)</f>
        <v>22.310000000000002</v>
      </c>
      <c r="Q987" s="1">
        <f>RANK(Table1[[#This Row],[Quality_score_index]],Table1[Quality_score_index],0)</f>
        <v>405</v>
      </c>
      <c r="R987" s="1">
        <f>Table1[[#This Row],[total sulfur dioxide]]-Table1[[#This Row],[free sulfur dioxide]]</f>
        <v>4</v>
      </c>
      <c r="S987" s="1" t="str">
        <f>IF(AND(Table1[[#This Row],[pH]]&gt;=3.2,Table1[[#This Row],[alcohol]]&gt;=10),"White wine","Red wine")</f>
        <v>White wine</v>
      </c>
    </row>
    <row r="988" spans="1:19" x14ac:dyDescent="0.3">
      <c r="A988" s="13">
        <v>987</v>
      </c>
      <c r="B988" s="1">
        <v>9.8000000000000007</v>
      </c>
      <c r="C988" s="1">
        <v>0.34</v>
      </c>
      <c r="D988" s="1">
        <v>0.39</v>
      </c>
      <c r="E988" s="1">
        <v>1.4</v>
      </c>
      <c r="F988" s="1">
        <v>6.6000000000000003E-2</v>
      </c>
      <c r="G988" s="1">
        <v>3</v>
      </c>
      <c r="H988" s="1">
        <v>7</v>
      </c>
      <c r="I988" s="1">
        <v>0.99470000000000003</v>
      </c>
      <c r="J988" s="1">
        <v>3.19</v>
      </c>
      <c r="K988" s="1">
        <v>0.55000000000000004</v>
      </c>
      <c r="L988" s="1">
        <v>11.4</v>
      </c>
      <c r="M988" s="2">
        <v>7</v>
      </c>
      <c r="N988" s="2" t="str" cm="1">
        <f t="array" ref="N988">_xlfn.IFS(Table1[[#This Row],[quality]]&lt;=4,"Low",Table1[[#This Row],[quality]]&lt;=6,"Medium",Table1[[#This Row],[quality]]&gt;=7,"High")</f>
        <v>High</v>
      </c>
      <c r="O988" s="2" t="str">
        <f>IF(AND(Table1[[#This Row],[fixed acidity]]&gt;Sheet1!$C$4,Table1[[#This Row],[pH]]&lt;Sheet1!$K$4),"High","Normal")</f>
        <v>High</v>
      </c>
      <c r="P988" s="1">
        <f>(Table1[[#This Row],[alcohol]]*2)+(Table1[[#This Row],[sulphates]]*1.5)-(Table1[[#This Row],[volatile acidity]]*2)</f>
        <v>22.945</v>
      </c>
      <c r="Q988" s="1">
        <f>RANK(Table1[[#This Row],[Quality_score_index]],Table1[Quality_score_index],0)</f>
        <v>281</v>
      </c>
      <c r="R988" s="1">
        <f>Table1[[#This Row],[total sulfur dioxide]]-Table1[[#This Row],[free sulfur dioxide]]</f>
        <v>4</v>
      </c>
      <c r="S988" s="1" t="str">
        <f>IF(AND(Table1[[#This Row],[pH]]&gt;=3.2,Table1[[#This Row],[alcohol]]&gt;=10),"White wine","Red wine")</f>
        <v>Red wine</v>
      </c>
    </row>
    <row r="989" spans="1:19" x14ac:dyDescent="0.3">
      <c r="A989" s="13">
        <v>988</v>
      </c>
      <c r="B989" s="1">
        <v>7.1</v>
      </c>
      <c r="C989" s="1">
        <v>0.36</v>
      </c>
      <c r="D989" s="1">
        <v>0.3</v>
      </c>
      <c r="E989" s="1">
        <v>1.6</v>
      </c>
      <c r="F989" s="1">
        <v>0.08</v>
      </c>
      <c r="G989" s="1">
        <v>35</v>
      </c>
      <c r="H989" s="1">
        <v>70</v>
      </c>
      <c r="I989" s="1">
        <v>0.99692999999999998</v>
      </c>
      <c r="J989" s="1">
        <v>3.44</v>
      </c>
      <c r="K989" s="1">
        <v>0.5</v>
      </c>
      <c r="L989" s="1">
        <v>9.4</v>
      </c>
      <c r="M989" s="2">
        <v>5</v>
      </c>
      <c r="N989" s="2" t="str" cm="1">
        <f t="array" ref="N989">_xlfn.IFS(Table1[[#This Row],[quality]]&lt;=4,"Low",Table1[[#This Row],[quality]]&lt;=6,"Medium",Table1[[#This Row],[quality]]&gt;=7,"High")</f>
        <v>Medium</v>
      </c>
      <c r="O989" s="2" t="str">
        <f>IF(AND(Table1[[#This Row],[fixed acidity]]&gt;Sheet1!$C$4,Table1[[#This Row],[pH]]&lt;Sheet1!$K$4),"High","Normal")</f>
        <v>Normal</v>
      </c>
      <c r="P989" s="1">
        <f>(Table1[[#This Row],[alcohol]]*2)+(Table1[[#This Row],[sulphates]]*1.5)-(Table1[[#This Row],[volatile acidity]]*2)</f>
        <v>18.830000000000002</v>
      </c>
      <c r="Q989" s="1">
        <f>RANK(Table1[[#This Row],[Quality_score_index]],Table1[Quality_score_index],0)</f>
        <v>1232</v>
      </c>
      <c r="R989" s="1">
        <f>Table1[[#This Row],[total sulfur dioxide]]-Table1[[#This Row],[free sulfur dioxide]]</f>
        <v>35</v>
      </c>
      <c r="S989" s="1" t="str">
        <f>IF(AND(Table1[[#This Row],[pH]]&gt;=3.2,Table1[[#This Row],[alcohol]]&gt;=10),"White wine","Red wine")</f>
        <v>Red wine</v>
      </c>
    </row>
    <row r="990" spans="1:19" x14ac:dyDescent="0.3">
      <c r="A990" s="13">
        <v>989</v>
      </c>
      <c r="B990" s="1">
        <v>7.7</v>
      </c>
      <c r="C990" s="1">
        <v>0.39</v>
      </c>
      <c r="D990" s="1">
        <v>0.12</v>
      </c>
      <c r="E990" s="1">
        <v>1.7</v>
      </c>
      <c r="F990" s="1">
        <v>9.7000000000000003E-2</v>
      </c>
      <c r="G990" s="1">
        <v>19</v>
      </c>
      <c r="H990" s="1">
        <v>27</v>
      </c>
      <c r="I990" s="1">
        <v>0.99595999999999996</v>
      </c>
      <c r="J990" s="1">
        <v>3.16</v>
      </c>
      <c r="K990" s="1">
        <v>0.49</v>
      </c>
      <c r="L990" s="1">
        <v>9.4</v>
      </c>
      <c r="M990" s="2">
        <v>5</v>
      </c>
      <c r="N990" s="2" t="str" cm="1">
        <f t="array" ref="N990">_xlfn.IFS(Table1[[#This Row],[quality]]&lt;=4,"Low",Table1[[#This Row],[quality]]&lt;=6,"Medium",Table1[[#This Row],[quality]]&gt;=7,"High")</f>
        <v>Medium</v>
      </c>
      <c r="O990" s="2" t="str">
        <f>IF(AND(Table1[[#This Row],[fixed acidity]]&gt;Sheet1!$C$4,Table1[[#This Row],[pH]]&lt;Sheet1!$K$4),"High","Normal")</f>
        <v>Normal</v>
      </c>
      <c r="P990" s="1">
        <f>(Table1[[#This Row],[alcohol]]*2)+(Table1[[#This Row],[sulphates]]*1.5)-(Table1[[#This Row],[volatile acidity]]*2)</f>
        <v>18.754999999999999</v>
      </c>
      <c r="Q990" s="1">
        <f>RANK(Table1[[#This Row],[Quality_score_index]],Table1[Quality_score_index],0)</f>
        <v>1262</v>
      </c>
      <c r="R990" s="1">
        <f>Table1[[#This Row],[total sulfur dioxide]]-Table1[[#This Row],[free sulfur dioxide]]</f>
        <v>8</v>
      </c>
      <c r="S990" s="1" t="str">
        <f>IF(AND(Table1[[#This Row],[pH]]&gt;=3.2,Table1[[#This Row],[alcohol]]&gt;=10),"White wine","Red wine")</f>
        <v>Red wine</v>
      </c>
    </row>
    <row r="991" spans="1:19" x14ac:dyDescent="0.3">
      <c r="A991" s="13">
        <v>990</v>
      </c>
      <c r="B991" s="1">
        <v>9.6999999999999993</v>
      </c>
      <c r="C991" s="1">
        <v>0.29499999999999998</v>
      </c>
      <c r="D991" s="1">
        <v>0.4</v>
      </c>
      <c r="E991" s="1">
        <v>1.5</v>
      </c>
      <c r="F991" s="1">
        <v>7.2999999999999995E-2</v>
      </c>
      <c r="G991" s="1">
        <v>14</v>
      </c>
      <c r="H991" s="1">
        <v>21</v>
      </c>
      <c r="I991" s="1">
        <v>0.99556</v>
      </c>
      <c r="J991" s="1">
        <v>3.14</v>
      </c>
      <c r="K991" s="1">
        <v>0.51</v>
      </c>
      <c r="L991" s="1">
        <v>10.9</v>
      </c>
      <c r="M991" s="2">
        <v>6</v>
      </c>
      <c r="N991" s="2" t="str" cm="1">
        <f t="array" ref="N991">_xlfn.IFS(Table1[[#This Row],[quality]]&lt;=4,"Low",Table1[[#This Row],[quality]]&lt;=6,"Medium",Table1[[#This Row],[quality]]&gt;=7,"High")</f>
        <v>Medium</v>
      </c>
      <c r="O991" s="2" t="str">
        <f>IF(AND(Table1[[#This Row],[fixed acidity]]&gt;Sheet1!$C$4,Table1[[#This Row],[pH]]&lt;Sheet1!$K$4),"High","Normal")</f>
        <v>High</v>
      </c>
      <c r="P991" s="1">
        <f>(Table1[[#This Row],[alcohol]]*2)+(Table1[[#This Row],[sulphates]]*1.5)-(Table1[[#This Row],[volatile acidity]]*2)</f>
        <v>21.975000000000001</v>
      </c>
      <c r="Q991" s="1">
        <f>RANK(Table1[[#This Row],[Quality_score_index]],Table1[Quality_score_index],0)</f>
        <v>460</v>
      </c>
      <c r="R991" s="1">
        <f>Table1[[#This Row],[total sulfur dioxide]]-Table1[[#This Row],[free sulfur dioxide]]</f>
        <v>7</v>
      </c>
      <c r="S991" s="1" t="str">
        <f>IF(AND(Table1[[#This Row],[pH]]&gt;=3.2,Table1[[#This Row],[alcohol]]&gt;=10),"White wine","Red wine")</f>
        <v>Red wine</v>
      </c>
    </row>
    <row r="992" spans="1:19" x14ac:dyDescent="0.3">
      <c r="A992" s="13">
        <v>991</v>
      </c>
      <c r="B992" s="1">
        <v>7.7</v>
      </c>
      <c r="C992" s="1">
        <v>0.39</v>
      </c>
      <c r="D992" s="1">
        <v>0.12</v>
      </c>
      <c r="E992" s="1">
        <v>1.7</v>
      </c>
      <c r="F992" s="1">
        <v>9.7000000000000003E-2</v>
      </c>
      <c r="G992" s="1">
        <v>19</v>
      </c>
      <c r="H992" s="1">
        <v>27</v>
      </c>
      <c r="I992" s="1">
        <v>0.99595999999999996</v>
      </c>
      <c r="J992" s="1">
        <v>3.16</v>
      </c>
      <c r="K992" s="1">
        <v>0.49</v>
      </c>
      <c r="L992" s="1">
        <v>9.4</v>
      </c>
      <c r="M992" s="2">
        <v>5</v>
      </c>
      <c r="N992" s="2" t="str" cm="1">
        <f t="array" ref="N992">_xlfn.IFS(Table1[[#This Row],[quality]]&lt;=4,"Low",Table1[[#This Row],[quality]]&lt;=6,"Medium",Table1[[#This Row],[quality]]&gt;=7,"High")</f>
        <v>Medium</v>
      </c>
      <c r="O992" s="2" t="str">
        <f>IF(AND(Table1[[#This Row],[fixed acidity]]&gt;Sheet1!$C$4,Table1[[#This Row],[pH]]&lt;Sheet1!$K$4),"High","Normal")</f>
        <v>Normal</v>
      </c>
      <c r="P992" s="1">
        <f>(Table1[[#This Row],[alcohol]]*2)+(Table1[[#This Row],[sulphates]]*1.5)-(Table1[[#This Row],[volatile acidity]]*2)</f>
        <v>18.754999999999999</v>
      </c>
      <c r="Q992" s="1">
        <f>RANK(Table1[[#This Row],[Quality_score_index]],Table1[Quality_score_index],0)</f>
        <v>1262</v>
      </c>
      <c r="R992" s="1">
        <f>Table1[[#This Row],[total sulfur dioxide]]-Table1[[#This Row],[free sulfur dioxide]]</f>
        <v>8</v>
      </c>
      <c r="S992" s="1" t="str">
        <f>IF(AND(Table1[[#This Row],[pH]]&gt;=3.2,Table1[[#This Row],[alcohol]]&gt;=10),"White wine","Red wine")</f>
        <v>Red wine</v>
      </c>
    </row>
    <row r="993" spans="1:19" x14ac:dyDescent="0.3">
      <c r="A993" s="13">
        <v>992</v>
      </c>
      <c r="B993" s="1">
        <v>7.1</v>
      </c>
      <c r="C993" s="1">
        <v>0.34</v>
      </c>
      <c r="D993" s="1">
        <v>0.28000000000000003</v>
      </c>
      <c r="E993" s="1">
        <v>2</v>
      </c>
      <c r="F993" s="1">
        <v>8.2000000000000003E-2</v>
      </c>
      <c r="G993" s="1">
        <v>31</v>
      </c>
      <c r="H993" s="1">
        <v>68</v>
      </c>
      <c r="I993" s="1">
        <v>0.99694000000000005</v>
      </c>
      <c r="J993" s="1">
        <v>3.45</v>
      </c>
      <c r="K993" s="1">
        <v>0.48</v>
      </c>
      <c r="L993" s="1">
        <v>9.4</v>
      </c>
      <c r="M993" s="2">
        <v>5</v>
      </c>
      <c r="N993" s="2" t="str" cm="1">
        <f t="array" ref="N993">_xlfn.IFS(Table1[[#This Row],[quality]]&lt;=4,"Low",Table1[[#This Row],[quality]]&lt;=6,"Medium",Table1[[#This Row],[quality]]&gt;=7,"High")</f>
        <v>Medium</v>
      </c>
      <c r="O993" s="2" t="str">
        <f>IF(AND(Table1[[#This Row],[fixed acidity]]&gt;Sheet1!$C$4,Table1[[#This Row],[pH]]&lt;Sheet1!$K$4),"High","Normal")</f>
        <v>Normal</v>
      </c>
      <c r="P993" s="1">
        <f>(Table1[[#This Row],[alcohol]]*2)+(Table1[[#This Row],[sulphates]]*1.5)-(Table1[[#This Row],[volatile acidity]]*2)</f>
        <v>18.84</v>
      </c>
      <c r="Q993" s="1">
        <f>RANK(Table1[[#This Row],[Quality_score_index]],Table1[Quality_score_index],0)</f>
        <v>1229</v>
      </c>
      <c r="R993" s="1">
        <f>Table1[[#This Row],[total sulfur dioxide]]-Table1[[#This Row],[free sulfur dioxide]]</f>
        <v>37</v>
      </c>
      <c r="S993" s="1" t="str">
        <f>IF(AND(Table1[[#This Row],[pH]]&gt;=3.2,Table1[[#This Row],[alcohol]]&gt;=10),"White wine","Red wine")</f>
        <v>Red wine</v>
      </c>
    </row>
    <row r="994" spans="1:19" x14ac:dyDescent="0.3">
      <c r="A994" s="13">
        <v>993</v>
      </c>
      <c r="B994" s="1">
        <v>6.5</v>
      </c>
      <c r="C994" s="1">
        <v>0.4</v>
      </c>
      <c r="D994" s="1">
        <v>0.1</v>
      </c>
      <c r="E994" s="1">
        <v>2</v>
      </c>
      <c r="F994" s="1">
        <v>7.5999999999999998E-2</v>
      </c>
      <c r="G994" s="1">
        <v>30</v>
      </c>
      <c r="H994" s="1">
        <v>47</v>
      </c>
      <c r="I994" s="1">
        <v>0.99553999999999998</v>
      </c>
      <c r="J994" s="1">
        <v>3.36</v>
      </c>
      <c r="K994" s="1">
        <v>0.48</v>
      </c>
      <c r="L994" s="1">
        <v>9.4</v>
      </c>
      <c r="M994" s="2">
        <v>6</v>
      </c>
      <c r="N994" s="2" t="str" cm="1">
        <f t="array" ref="N994">_xlfn.IFS(Table1[[#This Row],[quality]]&lt;=4,"Low",Table1[[#This Row],[quality]]&lt;=6,"Medium",Table1[[#This Row],[quality]]&gt;=7,"High")</f>
        <v>Medium</v>
      </c>
      <c r="O994" s="2" t="str">
        <f>IF(AND(Table1[[#This Row],[fixed acidity]]&gt;Sheet1!$C$4,Table1[[#This Row],[pH]]&lt;Sheet1!$K$4),"High","Normal")</f>
        <v>Normal</v>
      </c>
      <c r="P994" s="1">
        <f>(Table1[[#This Row],[alcohol]]*2)+(Table1[[#This Row],[sulphates]]*1.5)-(Table1[[#This Row],[volatile acidity]]*2)</f>
        <v>18.72</v>
      </c>
      <c r="Q994" s="1">
        <f>RANK(Table1[[#This Row],[Quality_score_index]],Table1[Quality_score_index],0)</f>
        <v>1281</v>
      </c>
      <c r="R994" s="1">
        <f>Table1[[#This Row],[total sulfur dioxide]]-Table1[[#This Row],[free sulfur dioxide]]</f>
        <v>17</v>
      </c>
      <c r="S994" s="1" t="str">
        <f>IF(AND(Table1[[#This Row],[pH]]&gt;=3.2,Table1[[#This Row],[alcohol]]&gt;=10),"White wine","Red wine")</f>
        <v>Red wine</v>
      </c>
    </row>
    <row r="995" spans="1:19" x14ac:dyDescent="0.3">
      <c r="A995" s="13">
        <v>994</v>
      </c>
      <c r="B995" s="1">
        <v>7.1</v>
      </c>
      <c r="C995" s="1">
        <v>0.34</v>
      </c>
      <c r="D995" s="1">
        <v>0.28000000000000003</v>
      </c>
      <c r="E995" s="1">
        <v>2</v>
      </c>
      <c r="F995" s="1">
        <v>8.2000000000000003E-2</v>
      </c>
      <c r="G995" s="1">
        <v>31</v>
      </c>
      <c r="H995" s="1">
        <v>68</v>
      </c>
      <c r="I995" s="1">
        <v>0.99694000000000005</v>
      </c>
      <c r="J995" s="1">
        <v>3.45</v>
      </c>
      <c r="K995" s="1">
        <v>0.48</v>
      </c>
      <c r="L995" s="1">
        <v>9.4</v>
      </c>
      <c r="M995" s="2">
        <v>5</v>
      </c>
      <c r="N995" s="2" t="str" cm="1">
        <f t="array" ref="N995">_xlfn.IFS(Table1[[#This Row],[quality]]&lt;=4,"Low",Table1[[#This Row],[quality]]&lt;=6,"Medium",Table1[[#This Row],[quality]]&gt;=7,"High")</f>
        <v>Medium</v>
      </c>
      <c r="O995" s="2" t="str">
        <f>IF(AND(Table1[[#This Row],[fixed acidity]]&gt;Sheet1!$C$4,Table1[[#This Row],[pH]]&lt;Sheet1!$K$4),"High","Normal")</f>
        <v>Normal</v>
      </c>
      <c r="P995" s="1">
        <f>(Table1[[#This Row],[alcohol]]*2)+(Table1[[#This Row],[sulphates]]*1.5)-(Table1[[#This Row],[volatile acidity]]*2)</f>
        <v>18.84</v>
      </c>
      <c r="Q995" s="1">
        <f>RANK(Table1[[#This Row],[Quality_score_index]],Table1[Quality_score_index],0)</f>
        <v>1229</v>
      </c>
      <c r="R995" s="1">
        <f>Table1[[#This Row],[total sulfur dioxide]]-Table1[[#This Row],[free sulfur dioxide]]</f>
        <v>37</v>
      </c>
      <c r="S995" s="1" t="str">
        <f>IF(AND(Table1[[#This Row],[pH]]&gt;=3.2,Table1[[#This Row],[alcohol]]&gt;=10),"White wine","Red wine")</f>
        <v>Red wine</v>
      </c>
    </row>
    <row r="996" spans="1:19" x14ac:dyDescent="0.3">
      <c r="A996" s="13">
        <v>995</v>
      </c>
      <c r="B996" s="1">
        <v>10</v>
      </c>
      <c r="C996" s="1">
        <v>0.35</v>
      </c>
      <c r="D996" s="1">
        <v>0.45</v>
      </c>
      <c r="E996" s="1">
        <v>2.5</v>
      </c>
      <c r="F996" s="1">
        <v>9.1999999999999998E-2</v>
      </c>
      <c r="G996" s="1">
        <v>20</v>
      </c>
      <c r="H996" s="1">
        <v>88</v>
      </c>
      <c r="I996" s="1">
        <v>0.99917999999999996</v>
      </c>
      <c r="J996" s="1">
        <v>3.15</v>
      </c>
      <c r="K996" s="1">
        <v>0.43</v>
      </c>
      <c r="L996" s="1">
        <v>9.4</v>
      </c>
      <c r="M996" s="2">
        <v>5</v>
      </c>
      <c r="N996" s="2" t="str" cm="1">
        <f t="array" ref="N996">_xlfn.IFS(Table1[[#This Row],[quality]]&lt;=4,"Low",Table1[[#This Row],[quality]]&lt;=6,"Medium",Table1[[#This Row],[quality]]&gt;=7,"High")</f>
        <v>Medium</v>
      </c>
      <c r="O996" s="2" t="str">
        <f>IF(AND(Table1[[#This Row],[fixed acidity]]&gt;Sheet1!$C$4,Table1[[#This Row],[pH]]&lt;Sheet1!$K$4),"High","Normal")</f>
        <v>High</v>
      </c>
      <c r="P996" s="1">
        <f>(Table1[[#This Row],[alcohol]]*2)+(Table1[[#This Row],[sulphates]]*1.5)-(Table1[[#This Row],[volatile acidity]]*2)</f>
        <v>18.745000000000001</v>
      </c>
      <c r="Q996" s="1">
        <f>RANK(Table1[[#This Row],[Quality_score_index]],Table1[Quality_score_index],0)</f>
        <v>1265</v>
      </c>
      <c r="R996" s="1">
        <f>Table1[[#This Row],[total sulfur dioxide]]-Table1[[#This Row],[free sulfur dioxide]]</f>
        <v>68</v>
      </c>
      <c r="S996" s="1" t="str">
        <f>IF(AND(Table1[[#This Row],[pH]]&gt;=3.2,Table1[[#This Row],[alcohol]]&gt;=10),"White wine","Red wine")</f>
        <v>Red wine</v>
      </c>
    </row>
    <row r="997" spans="1:19" x14ac:dyDescent="0.3">
      <c r="A997" s="13">
        <v>996</v>
      </c>
      <c r="B997" s="1">
        <v>7.7</v>
      </c>
      <c r="C997" s="1">
        <v>0.6</v>
      </c>
      <c r="D997" s="1">
        <v>0.06</v>
      </c>
      <c r="E997" s="1">
        <v>2</v>
      </c>
      <c r="F997" s="1">
        <v>7.9000000000000001E-2</v>
      </c>
      <c r="G997" s="1">
        <v>19</v>
      </c>
      <c r="H997" s="1">
        <v>41</v>
      </c>
      <c r="I997" s="1">
        <v>0.99697000000000002</v>
      </c>
      <c r="J997" s="1">
        <v>3.39</v>
      </c>
      <c r="K997" s="1">
        <v>0.62</v>
      </c>
      <c r="L997" s="1">
        <v>10.1</v>
      </c>
      <c r="M997" s="2">
        <v>6</v>
      </c>
      <c r="N997" s="2" t="str" cm="1">
        <f t="array" ref="N997">_xlfn.IFS(Table1[[#This Row],[quality]]&lt;=4,"Low",Table1[[#This Row],[quality]]&lt;=6,"Medium",Table1[[#This Row],[quality]]&gt;=7,"High")</f>
        <v>Medium</v>
      </c>
      <c r="O997" s="2" t="str">
        <f>IF(AND(Table1[[#This Row],[fixed acidity]]&gt;Sheet1!$C$4,Table1[[#This Row],[pH]]&lt;Sheet1!$K$4),"High","Normal")</f>
        <v>Normal</v>
      </c>
      <c r="P997" s="1">
        <f>(Table1[[#This Row],[alcohol]]*2)+(Table1[[#This Row],[sulphates]]*1.5)-(Table1[[#This Row],[volatile acidity]]*2)</f>
        <v>19.93</v>
      </c>
      <c r="Q997" s="1">
        <f>RANK(Table1[[#This Row],[Quality_score_index]],Table1[Quality_score_index],0)</f>
        <v>868</v>
      </c>
      <c r="R997" s="1">
        <f>Table1[[#This Row],[total sulfur dioxide]]-Table1[[#This Row],[free sulfur dioxide]]</f>
        <v>22</v>
      </c>
      <c r="S997" s="1" t="str">
        <f>IF(AND(Table1[[#This Row],[pH]]&gt;=3.2,Table1[[#This Row],[alcohol]]&gt;=10),"White wine","Red wine")</f>
        <v>White wine</v>
      </c>
    </row>
    <row r="998" spans="1:19" x14ac:dyDescent="0.3">
      <c r="A998" s="13">
        <v>997</v>
      </c>
      <c r="B998" s="1">
        <v>5.6</v>
      </c>
      <c r="C998" s="1">
        <v>0.66</v>
      </c>
      <c r="D998" s="1">
        <v>0</v>
      </c>
      <c r="E998" s="1">
        <v>2.2000000000000002</v>
      </c>
      <c r="F998" s="1">
        <v>8.6999999999999994E-2</v>
      </c>
      <c r="G998" s="1">
        <v>3</v>
      </c>
      <c r="H998" s="1">
        <v>11</v>
      </c>
      <c r="I998" s="1">
        <v>0.99378</v>
      </c>
      <c r="J998" s="1">
        <v>3.71</v>
      </c>
      <c r="K998" s="1">
        <v>0.63</v>
      </c>
      <c r="L998" s="1">
        <v>12.8</v>
      </c>
      <c r="M998" s="2">
        <v>7</v>
      </c>
      <c r="N998" s="2" t="str" cm="1">
        <f t="array" ref="N998">_xlfn.IFS(Table1[[#This Row],[quality]]&lt;=4,"Low",Table1[[#This Row],[quality]]&lt;=6,"Medium",Table1[[#This Row],[quality]]&gt;=7,"High")</f>
        <v>High</v>
      </c>
      <c r="O998" s="2" t="str">
        <f>IF(AND(Table1[[#This Row],[fixed acidity]]&gt;Sheet1!$C$4,Table1[[#This Row],[pH]]&lt;Sheet1!$K$4),"High","Normal")</f>
        <v>Normal</v>
      </c>
      <c r="P998" s="1">
        <f>(Table1[[#This Row],[alcohol]]*2)+(Table1[[#This Row],[sulphates]]*1.5)-(Table1[[#This Row],[volatile acidity]]*2)</f>
        <v>25.225000000000001</v>
      </c>
      <c r="Q998" s="1">
        <f>RANK(Table1[[#This Row],[Quality_score_index]],Table1[Quality_score_index],0)</f>
        <v>78</v>
      </c>
      <c r="R998" s="1">
        <f>Table1[[#This Row],[total sulfur dioxide]]-Table1[[#This Row],[free sulfur dioxide]]</f>
        <v>8</v>
      </c>
      <c r="S998" s="1" t="str">
        <f>IF(AND(Table1[[#This Row],[pH]]&gt;=3.2,Table1[[#This Row],[alcohol]]&gt;=10),"White wine","Red wine")</f>
        <v>White wine</v>
      </c>
    </row>
    <row r="999" spans="1:19" x14ac:dyDescent="0.3">
      <c r="A999" s="13">
        <v>998</v>
      </c>
      <c r="B999" s="1">
        <v>5.6</v>
      </c>
      <c r="C999" s="1">
        <v>0.66</v>
      </c>
      <c r="D999" s="1">
        <v>0</v>
      </c>
      <c r="E999" s="1">
        <v>2.2000000000000002</v>
      </c>
      <c r="F999" s="1">
        <v>8.6999999999999994E-2</v>
      </c>
      <c r="G999" s="1">
        <v>3</v>
      </c>
      <c r="H999" s="1">
        <v>11</v>
      </c>
      <c r="I999" s="1">
        <v>0.99378</v>
      </c>
      <c r="J999" s="1">
        <v>3.71</v>
      </c>
      <c r="K999" s="1">
        <v>0.63</v>
      </c>
      <c r="L999" s="1">
        <v>12.8</v>
      </c>
      <c r="M999" s="2">
        <v>7</v>
      </c>
      <c r="N999" s="2" t="str" cm="1">
        <f t="array" ref="N999">_xlfn.IFS(Table1[[#This Row],[quality]]&lt;=4,"Low",Table1[[#This Row],[quality]]&lt;=6,"Medium",Table1[[#This Row],[quality]]&gt;=7,"High")</f>
        <v>High</v>
      </c>
      <c r="O999" s="2" t="str">
        <f>IF(AND(Table1[[#This Row],[fixed acidity]]&gt;Sheet1!$C$4,Table1[[#This Row],[pH]]&lt;Sheet1!$K$4),"High","Normal")</f>
        <v>Normal</v>
      </c>
      <c r="P999" s="1">
        <f>(Table1[[#This Row],[alcohol]]*2)+(Table1[[#This Row],[sulphates]]*1.5)-(Table1[[#This Row],[volatile acidity]]*2)</f>
        <v>25.225000000000001</v>
      </c>
      <c r="Q999" s="1">
        <f>RANK(Table1[[#This Row],[Quality_score_index]],Table1[Quality_score_index],0)</f>
        <v>78</v>
      </c>
      <c r="R999" s="1">
        <f>Table1[[#This Row],[total sulfur dioxide]]-Table1[[#This Row],[free sulfur dioxide]]</f>
        <v>8</v>
      </c>
      <c r="S999" s="1" t="str">
        <f>IF(AND(Table1[[#This Row],[pH]]&gt;=3.2,Table1[[#This Row],[alcohol]]&gt;=10),"White wine","Red wine")</f>
        <v>White wine</v>
      </c>
    </row>
    <row r="1000" spans="1:19" x14ac:dyDescent="0.3">
      <c r="A1000" s="13">
        <v>999</v>
      </c>
      <c r="B1000" s="1">
        <v>8.9</v>
      </c>
      <c r="C1000" s="1">
        <v>0.84</v>
      </c>
      <c r="D1000" s="1">
        <v>0.34</v>
      </c>
      <c r="E1000" s="1">
        <v>1.4</v>
      </c>
      <c r="F1000" s="1">
        <v>0.05</v>
      </c>
      <c r="G1000" s="1">
        <v>4</v>
      </c>
      <c r="H1000" s="1">
        <v>10</v>
      </c>
      <c r="I1000" s="1">
        <v>0.99553999999999998</v>
      </c>
      <c r="J1000" s="1">
        <v>3.12</v>
      </c>
      <c r="K1000" s="1">
        <v>0.48</v>
      </c>
      <c r="L1000" s="1">
        <v>9.1</v>
      </c>
      <c r="M1000" s="2">
        <v>6</v>
      </c>
      <c r="N1000" s="2" t="str" cm="1">
        <f t="array" ref="N1000">_xlfn.IFS(Table1[[#This Row],[quality]]&lt;=4,"Low",Table1[[#This Row],[quality]]&lt;=6,"Medium",Table1[[#This Row],[quality]]&gt;=7,"High")</f>
        <v>Medium</v>
      </c>
      <c r="O1000" s="2" t="str">
        <f>IF(AND(Table1[[#This Row],[fixed acidity]]&gt;Sheet1!$C$4,Table1[[#This Row],[pH]]&lt;Sheet1!$K$4),"High","Normal")</f>
        <v>High</v>
      </c>
      <c r="P1000" s="1">
        <f>(Table1[[#This Row],[alcohol]]*2)+(Table1[[#This Row],[sulphates]]*1.5)-(Table1[[#This Row],[volatile acidity]]*2)</f>
        <v>17.239999999999998</v>
      </c>
      <c r="Q1000" s="1">
        <f>RANK(Table1[[#This Row],[Quality_score_index]],Table1[Quality_score_index],0)</f>
        <v>1593</v>
      </c>
      <c r="R1000" s="1">
        <f>Table1[[#This Row],[total sulfur dioxide]]-Table1[[#This Row],[free sulfur dioxide]]</f>
        <v>6</v>
      </c>
      <c r="S1000" s="1" t="str">
        <f>IF(AND(Table1[[#This Row],[pH]]&gt;=3.2,Table1[[#This Row],[alcohol]]&gt;=10),"White wine","Red wine")</f>
        <v>Red wine</v>
      </c>
    </row>
    <row r="1001" spans="1:19" x14ac:dyDescent="0.3">
      <c r="A1001" s="13">
        <v>1000</v>
      </c>
      <c r="B1001" s="1">
        <v>6.4</v>
      </c>
      <c r="C1001" s="1">
        <v>0.69</v>
      </c>
      <c r="D1001" s="1">
        <v>0</v>
      </c>
      <c r="E1001" s="1">
        <v>1.65</v>
      </c>
      <c r="F1001" s="1">
        <v>5.5E-2</v>
      </c>
      <c r="G1001" s="1">
        <v>7</v>
      </c>
      <c r="H1001" s="1">
        <v>12</v>
      </c>
      <c r="I1001" s="1">
        <v>0.99161999999999995</v>
      </c>
      <c r="J1001" s="1">
        <v>3.47</v>
      </c>
      <c r="K1001" s="1">
        <v>0.53</v>
      </c>
      <c r="L1001" s="1">
        <v>12.9</v>
      </c>
      <c r="M1001" s="2">
        <v>6</v>
      </c>
      <c r="N1001" s="2" t="str" cm="1">
        <f t="array" ref="N1001">_xlfn.IFS(Table1[[#This Row],[quality]]&lt;=4,"Low",Table1[[#This Row],[quality]]&lt;=6,"Medium",Table1[[#This Row],[quality]]&gt;=7,"High")</f>
        <v>Medium</v>
      </c>
      <c r="O1001" s="2" t="str">
        <f>IF(AND(Table1[[#This Row],[fixed acidity]]&gt;Sheet1!$C$4,Table1[[#This Row],[pH]]&lt;Sheet1!$K$4),"High","Normal")</f>
        <v>Normal</v>
      </c>
      <c r="P1001" s="1">
        <f>(Table1[[#This Row],[alcohol]]*2)+(Table1[[#This Row],[sulphates]]*1.5)-(Table1[[#This Row],[volatile acidity]]*2)</f>
        <v>25.215000000000003</v>
      </c>
      <c r="Q1001" s="1">
        <f>RANK(Table1[[#This Row],[Quality_score_index]],Table1[Quality_score_index],0)</f>
        <v>80</v>
      </c>
      <c r="R1001" s="1">
        <f>Table1[[#This Row],[total sulfur dioxide]]-Table1[[#This Row],[free sulfur dioxide]]</f>
        <v>5</v>
      </c>
      <c r="S1001" s="1" t="str">
        <f>IF(AND(Table1[[#This Row],[pH]]&gt;=3.2,Table1[[#This Row],[alcohol]]&gt;=10),"White wine","Red wine")</f>
        <v>White wine</v>
      </c>
    </row>
    <row r="1002" spans="1:19" x14ac:dyDescent="0.3">
      <c r="A1002" s="13">
        <v>1001</v>
      </c>
      <c r="B1002" s="1">
        <v>7.5</v>
      </c>
      <c r="C1002" s="1">
        <v>0.43</v>
      </c>
      <c r="D1002" s="1">
        <v>0.3</v>
      </c>
      <c r="E1002" s="1">
        <v>2.2000000000000002</v>
      </c>
      <c r="F1002" s="1">
        <v>6.2E-2</v>
      </c>
      <c r="G1002" s="1">
        <v>6</v>
      </c>
      <c r="H1002" s="1">
        <v>12</v>
      </c>
      <c r="I1002" s="1">
        <v>0.99495</v>
      </c>
      <c r="J1002" s="1">
        <v>3.44</v>
      </c>
      <c r="K1002" s="1">
        <v>0.72</v>
      </c>
      <c r="L1002" s="1">
        <v>11.5</v>
      </c>
      <c r="M1002" s="2">
        <v>7</v>
      </c>
      <c r="N1002" s="2" t="str" cm="1">
        <f t="array" ref="N1002">_xlfn.IFS(Table1[[#This Row],[quality]]&lt;=4,"Low",Table1[[#This Row],[quality]]&lt;=6,"Medium",Table1[[#This Row],[quality]]&gt;=7,"High")</f>
        <v>High</v>
      </c>
      <c r="O1002" s="2" t="str">
        <f>IF(AND(Table1[[#This Row],[fixed acidity]]&gt;Sheet1!$C$4,Table1[[#This Row],[pH]]&lt;Sheet1!$K$4),"High","Normal")</f>
        <v>Normal</v>
      </c>
      <c r="P1002" s="1">
        <f>(Table1[[#This Row],[alcohol]]*2)+(Table1[[#This Row],[sulphates]]*1.5)-(Table1[[#This Row],[volatile acidity]]*2)</f>
        <v>23.22</v>
      </c>
      <c r="Q1002" s="1">
        <f>RANK(Table1[[#This Row],[Quality_score_index]],Table1[Quality_score_index],0)</f>
        <v>243</v>
      </c>
      <c r="R1002" s="1">
        <f>Table1[[#This Row],[total sulfur dioxide]]-Table1[[#This Row],[free sulfur dioxide]]</f>
        <v>6</v>
      </c>
      <c r="S1002" s="1" t="str">
        <f>IF(AND(Table1[[#This Row],[pH]]&gt;=3.2,Table1[[#This Row],[alcohol]]&gt;=10),"White wine","Red wine")</f>
        <v>White wine</v>
      </c>
    </row>
    <row r="1003" spans="1:19" x14ac:dyDescent="0.3">
      <c r="A1003" s="13">
        <v>1002</v>
      </c>
      <c r="B1003" s="1">
        <v>9.9</v>
      </c>
      <c r="C1003" s="1">
        <v>0.35</v>
      </c>
      <c r="D1003" s="1">
        <v>0.38</v>
      </c>
      <c r="E1003" s="1">
        <v>1.5</v>
      </c>
      <c r="F1003" s="1">
        <v>5.8000000000000003E-2</v>
      </c>
      <c r="G1003" s="1">
        <v>31</v>
      </c>
      <c r="H1003" s="1">
        <v>47</v>
      </c>
      <c r="I1003" s="1">
        <v>0.99675999999999998</v>
      </c>
      <c r="J1003" s="1">
        <v>3.26</v>
      </c>
      <c r="K1003" s="1">
        <v>0.82</v>
      </c>
      <c r="L1003" s="1">
        <v>10.6</v>
      </c>
      <c r="M1003" s="2">
        <v>7</v>
      </c>
      <c r="N1003" s="2" t="str" cm="1">
        <f t="array" ref="N1003">_xlfn.IFS(Table1[[#This Row],[quality]]&lt;=4,"Low",Table1[[#This Row],[quality]]&lt;=6,"Medium",Table1[[#This Row],[quality]]&gt;=7,"High")</f>
        <v>High</v>
      </c>
      <c r="O1003" s="2" t="str">
        <f>IF(AND(Table1[[#This Row],[fixed acidity]]&gt;Sheet1!$C$4,Table1[[#This Row],[pH]]&lt;Sheet1!$K$4),"High","Normal")</f>
        <v>High</v>
      </c>
      <c r="P1003" s="1">
        <f>(Table1[[#This Row],[alcohol]]*2)+(Table1[[#This Row],[sulphates]]*1.5)-(Table1[[#This Row],[volatile acidity]]*2)</f>
        <v>21.73</v>
      </c>
      <c r="Q1003" s="1">
        <f>RANK(Table1[[#This Row],[Quality_score_index]],Table1[Quality_score_index],0)</f>
        <v>500</v>
      </c>
      <c r="R1003" s="1">
        <f>Table1[[#This Row],[total sulfur dioxide]]-Table1[[#This Row],[free sulfur dioxide]]</f>
        <v>16</v>
      </c>
      <c r="S1003" s="1" t="str">
        <f>IF(AND(Table1[[#This Row],[pH]]&gt;=3.2,Table1[[#This Row],[alcohol]]&gt;=10),"White wine","Red wine")</f>
        <v>White wine</v>
      </c>
    </row>
    <row r="1004" spans="1:19" x14ac:dyDescent="0.3">
      <c r="A1004" s="13">
        <v>1003</v>
      </c>
      <c r="B1004" s="1">
        <v>9.1</v>
      </c>
      <c r="C1004" s="1">
        <v>0.28999999999999998</v>
      </c>
      <c r="D1004" s="1">
        <v>0.33</v>
      </c>
      <c r="E1004" s="1">
        <v>2.0499999999999998</v>
      </c>
      <c r="F1004" s="1">
        <v>6.3E-2</v>
      </c>
      <c r="G1004" s="1">
        <v>13</v>
      </c>
      <c r="H1004" s="1">
        <v>27</v>
      </c>
      <c r="I1004" s="1">
        <v>0.99516000000000004</v>
      </c>
      <c r="J1004" s="1">
        <v>3.26</v>
      </c>
      <c r="K1004" s="1">
        <v>0.84</v>
      </c>
      <c r="L1004" s="1">
        <v>11.7</v>
      </c>
      <c r="M1004" s="2">
        <v>7</v>
      </c>
      <c r="N1004" s="2" t="str" cm="1">
        <f t="array" ref="N1004">_xlfn.IFS(Table1[[#This Row],[quality]]&lt;=4,"Low",Table1[[#This Row],[quality]]&lt;=6,"Medium",Table1[[#This Row],[quality]]&gt;=7,"High")</f>
        <v>High</v>
      </c>
      <c r="O1004" s="2" t="str">
        <f>IF(AND(Table1[[#This Row],[fixed acidity]]&gt;Sheet1!$C$4,Table1[[#This Row],[pH]]&lt;Sheet1!$K$4),"High","Normal")</f>
        <v>High</v>
      </c>
      <c r="P1004" s="1">
        <f>(Table1[[#This Row],[alcohol]]*2)+(Table1[[#This Row],[sulphates]]*1.5)-(Table1[[#This Row],[volatile acidity]]*2)</f>
        <v>24.080000000000002</v>
      </c>
      <c r="Q1004" s="1">
        <f>RANK(Table1[[#This Row],[Quality_score_index]],Table1[Quality_score_index],0)</f>
        <v>167</v>
      </c>
      <c r="R1004" s="1">
        <f>Table1[[#This Row],[total sulfur dioxide]]-Table1[[#This Row],[free sulfur dioxide]]</f>
        <v>14</v>
      </c>
      <c r="S1004" s="1" t="str">
        <f>IF(AND(Table1[[#This Row],[pH]]&gt;=3.2,Table1[[#This Row],[alcohol]]&gt;=10),"White wine","Red wine")</f>
        <v>White wine</v>
      </c>
    </row>
    <row r="1005" spans="1:19" x14ac:dyDescent="0.3">
      <c r="A1005" s="13">
        <v>1004</v>
      </c>
      <c r="B1005" s="1">
        <v>6.8</v>
      </c>
      <c r="C1005" s="1">
        <v>0.36</v>
      </c>
      <c r="D1005" s="1">
        <v>0.32</v>
      </c>
      <c r="E1005" s="1">
        <v>1.8</v>
      </c>
      <c r="F1005" s="1">
        <v>6.7000000000000004E-2</v>
      </c>
      <c r="G1005" s="1">
        <v>4</v>
      </c>
      <c r="H1005" s="1">
        <v>8</v>
      </c>
      <c r="I1005" s="1">
        <v>0.99280000000000002</v>
      </c>
      <c r="J1005" s="1">
        <v>3.36</v>
      </c>
      <c r="K1005" s="1">
        <v>0.55000000000000004</v>
      </c>
      <c r="L1005" s="1">
        <v>12.8</v>
      </c>
      <c r="M1005" s="2">
        <v>7</v>
      </c>
      <c r="N1005" s="2" t="str" cm="1">
        <f t="array" ref="N1005">_xlfn.IFS(Table1[[#This Row],[quality]]&lt;=4,"Low",Table1[[#This Row],[quality]]&lt;=6,"Medium",Table1[[#This Row],[quality]]&gt;=7,"High")</f>
        <v>High</v>
      </c>
      <c r="O1005" s="2" t="str">
        <f>IF(AND(Table1[[#This Row],[fixed acidity]]&gt;Sheet1!$C$4,Table1[[#This Row],[pH]]&lt;Sheet1!$K$4),"High","Normal")</f>
        <v>Normal</v>
      </c>
      <c r="P1005" s="1">
        <f>(Table1[[#This Row],[alcohol]]*2)+(Table1[[#This Row],[sulphates]]*1.5)-(Table1[[#This Row],[volatile acidity]]*2)</f>
        <v>25.705000000000002</v>
      </c>
      <c r="Q1005" s="1">
        <f>RANK(Table1[[#This Row],[Quality_score_index]],Table1[Quality_score_index],0)</f>
        <v>41</v>
      </c>
      <c r="R1005" s="1">
        <f>Table1[[#This Row],[total sulfur dioxide]]-Table1[[#This Row],[free sulfur dioxide]]</f>
        <v>4</v>
      </c>
      <c r="S1005" s="1" t="str">
        <f>IF(AND(Table1[[#This Row],[pH]]&gt;=3.2,Table1[[#This Row],[alcohol]]&gt;=10),"White wine","Red wine")</f>
        <v>White wine</v>
      </c>
    </row>
    <row r="1006" spans="1:19" x14ac:dyDescent="0.3">
      <c r="A1006" s="13">
        <v>1005</v>
      </c>
      <c r="B1006" s="1">
        <v>8.1999999999999993</v>
      </c>
      <c r="C1006" s="1">
        <v>0.43</v>
      </c>
      <c r="D1006" s="1">
        <v>0.28999999999999998</v>
      </c>
      <c r="E1006" s="1">
        <v>1.6</v>
      </c>
      <c r="F1006" s="1">
        <v>8.1000000000000003E-2</v>
      </c>
      <c r="G1006" s="1">
        <v>27</v>
      </c>
      <c r="H1006" s="1">
        <v>45</v>
      </c>
      <c r="I1006" s="1">
        <v>0.99602999999999997</v>
      </c>
      <c r="J1006" s="1">
        <v>3.25</v>
      </c>
      <c r="K1006" s="1">
        <v>0.54</v>
      </c>
      <c r="L1006" s="1">
        <v>10.3</v>
      </c>
      <c r="M1006" s="2">
        <v>5</v>
      </c>
      <c r="N1006" s="2" t="str" cm="1">
        <f t="array" ref="N1006">_xlfn.IFS(Table1[[#This Row],[quality]]&lt;=4,"Low",Table1[[#This Row],[quality]]&lt;=6,"Medium",Table1[[#This Row],[quality]]&gt;=7,"High")</f>
        <v>Medium</v>
      </c>
      <c r="O1006" s="2" t="str">
        <f>IF(AND(Table1[[#This Row],[fixed acidity]]&gt;Sheet1!$C$4,Table1[[#This Row],[pH]]&lt;Sheet1!$K$4),"High","Normal")</f>
        <v>Normal</v>
      </c>
      <c r="P1006" s="1">
        <f>(Table1[[#This Row],[alcohol]]*2)+(Table1[[#This Row],[sulphates]]*1.5)-(Table1[[#This Row],[volatile acidity]]*2)</f>
        <v>20.55</v>
      </c>
      <c r="Q1006" s="1">
        <f>RANK(Table1[[#This Row],[Quality_score_index]],Table1[Quality_score_index],0)</f>
        <v>745</v>
      </c>
      <c r="R1006" s="1">
        <f>Table1[[#This Row],[total sulfur dioxide]]-Table1[[#This Row],[free sulfur dioxide]]</f>
        <v>18</v>
      </c>
      <c r="S1006" s="1" t="str">
        <f>IF(AND(Table1[[#This Row],[pH]]&gt;=3.2,Table1[[#This Row],[alcohol]]&gt;=10),"White wine","Red wine")</f>
        <v>White wine</v>
      </c>
    </row>
    <row r="1007" spans="1:19" x14ac:dyDescent="0.3">
      <c r="A1007" s="13">
        <v>1006</v>
      </c>
      <c r="B1007" s="1">
        <v>6.8</v>
      </c>
      <c r="C1007" s="1">
        <v>0.36</v>
      </c>
      <c r="D1007" s="1">
        <v>0.32</v>
      </c>
      <c r="E1007" s="1">
        <v>1.8</v>
      </c>
      <c r="F1007" s="1">
        <v>6.7000000000000004E-2</v>
      </c>
      <c r="G1007" s="1">
        <v>4</v>
      </c>
      <c r="H1007" s="1">
        <v>8</v>
      </c>
      <c r="I1007" s="1">
        <v>0.99280000000000002</v>
      </c>
      <c r="J1007" s="1">
        <v>3.36</v>
      </c>
      <c r="K1007" s="1">
        <v>0.55000000000000004</v>
      </c>
      <c r="L1007" s="1">
        <v>12.8</v>
      </c>
      <c r="M1007" s="2">
        <v>7</v>
      </c>
      <c r="N1007" s="2" t="str" cm="1">
        <f t="array" ref="N1007">_xlfn.IFS(Table1[[#This Row],[quality]]&lt;=4,"Low",Table1[[#This Row],[quality]]&lt;=6,"Medium",Table1[[#This Row],[quality]]&gt;=7,"High")</f>
        <v>High</v>
      </c>
      <c r="O1007" s="2" t="str">
        <f>IF(AND(Table1[[#This Row],[fixed acidity]]&gt;Sheet1!$C$4,Table1[[#This Row],[pH]]&lt;Sheet1!$K$4),"High","Normal")</f>
        <v>Normal</v>
      </c>
      <c r="P1007" s="1">
        <f>(Table1[[#This Row],[alcohol]]*2)+(Table1[[#This Row],[sulphates]]*1.5)-(Table1[[#This Row],[volatile acidity]]*2)</f>
        <v>25.705000000000002</v>
      </c>
      <c r="Q1007" s="1">
        <f>RANK(Table1[[#This Row],[Quality_score_index]],Table1[Quality_score_index],0)</f>
        <v>41</v>
      </c>
      <c r="R1007" s="1">
        <f>Table1[[#This Row],[total sulfur dioxide]]-Table1[[#This Row],[free sulfur dioxide]]</f>
        <v>4</v>
      </c>
      <c r="S1007" s="1" t="str">
        <f>IF(AND(Table1[[#This Row],[pH]]&gt;=3.2,Table1[[#This Row],[alcohol]]&gt;=10),"White wine","Red wine")</f>
        <v>White wine</v>
      </c>
    </row>
    <row r="1008" spans="1:19" x14ac:dyDescent="0.3">
      <c r="A1008" s="13">
        <v>1007</v>
      </c>
      <c r="B1008" s="1">
        <v>9.1</v>
      </c>
      <c r="C1008" s="1">
        <v>0.28999999999999998</v>
      </c>
      <c r="D1008" s="1">
        <v>0.33</v>
      </c>
      <c r="E1008" s="1">
        <v>2.0499999999999998</v>
      </c>
      <c r="F1008" s="1">
        <v>6.3E-2</v>
      </c>
      <c r="G1008" s="1">
        <v>13</v>
      </c>
      <c r="H1008" s="1">
        <v>27</v>
      </c>
      <c r="I1008" s="1">
        <v>0.99516000000000004</v>
      </c>
      <c r="J1008" s="1">
        <v>3.26</v>
      </c>
      <c r="K1008" s="1">
        <v>0.84</v>
      </c>
      <c r="L1008" s="1">
        <v>11.7</v>
      </c>
      <c r="M1008" s="2">
        <v>7</v>
      </c>
      <c r="N1008" s="2" t="str" cm="1">
        <f t="array" ref="N1008">_xlfn.IFS(Table1[[#This Row],[quality]]&lt;=4,"Low",Table1[[#This Row],[quality]]&lt;=6,"Medium",Table1[[#This Row],[quality]]&gt;=7,"High")</f>
        <v>High</v>
      </c>
      <c r="O1008" s="2" t="str">
        <f>IF(AND(Table1[[#This Row],[fixed acidity]]&gt;Sheet1!$C$4,Table1[[#This Row],[pH]]&lt;Sheet1!$K$4),"High","Normal")</f>
        <v>High</v>
      </c>
      <c r="P1008" s="1">
        <f>(Table1[[#This Row],[alcohol]]*2)+(Table1[[#This Row],[sulphates]]*1.5)-(Table1[[#This Row],[volatile acidity]]*2)</f>
        <v>24.080000000000002</v>
      </c>
      <c r="Q1008" s="1">
        <f>RANK(Table1[[#This Row],[Quality_score_index]],Table1[Quality_score_index],0)</f>
        <v>167</v>
      </c>
      <c r="R1008" s="1">
        <f>Table1[[#This Row],[total sulfur dioxide]]-Table1[[#This Row],[free sulfur dioxide]]</f>
        <v>14</v>
      </c>
      <c r="S1008" s="1" t="str">
        <f>IF(AND(Table1[[#This Row],[pH]]&gt;=3.2,Table1[[#This Row],[alcohol]]&gt;=10),"White wine","Red wine")</f>
        <v>White wine</v>
      </c>
    </row>
    <row r="1009" spans="1:19" x14ac:dyDescent="0.3">
      <c r="A1009" s="13">
        <v>1008</v>
      </c>
      <c r="B1009" s="1">
        <v>9.1</v>
      </c>
      <c r="C1009" s="1">
        <v>0.3</v>
      </c>
      <c r="D1009" s="1">
        <v>0.34</v>
      </c>
      <c r="E1009" s="1">
        <v>2</v>
      </c>
      <c r="F1009" s="1">
        <v>6.4000000000000001E-2</v>
      </c>
      <c r="G1009" s="1">
        <v>12</v>
      </c>
      <c r="H1009" s="1">
        <v>25</v>
      </c>
      <c r="I1009" s="1">
        <v>0.99516000000000004</v>
      </c>
      <c r="J1009" s="1">
        <v>3.26</v>
      </c>
      <c r="K1009" s="1">
        <v>0.84</v>
      </c>
      <c r="L1009" s="1">
        <v>11.7</v>
      </c>
      <c r="M1009" s="2">
        <v>7</v>
      </c>
      <c r="N1009" s="2" t="str" cm="1">
        <f t="array" ref="N1009">_xlfn.IFS(Table1[[#This Row],[quality]]&lt;=4,"Low",Table1[[#This Row],[quality]]&lt;=6,"Medium",Table1[[#This Row],[quality]]&gt;=7,"High")</f>
        <v>High</v>
      </c>
      <c r="O1009" s="2" t="str">
        <f>IF(AND(Table1[[#This Row],[fixed acidity]]&gt;Sheet1!$C$4,Table1[[#This Row],[pH]]&lt;Sheet1!$K$4),"High","Normal")</f>
        <v>High</v>
      </c>
      <c r="P1009" s="1">
        <f>(Table1[[#This Row],[alcohol]]*2)+(Table1[[#This Row],[sulphates]]*1.5)-(Table1[[#This Row],[volatile acidity]]*2)</f>
        <v>24.06</v>
      </c>
      <c r="Q1009" s="1">
        <f>RANK(Table1[[#This Row],[Quality_score_index]],Table1[Quality_score_index],0)</f>
        <v>173</v>
      </c>
      <c r="R1009" s="1">
        <f>Table1[[#This Row],[total sulfur dioxide]]-Table1[[#This Row],[free sulfur dioxide]]</f>
        <v>13</v>
      </c>
      <c r="S1009" s="1" t="str">
        <f>IF(AND(Table1[[#This Row],[pH]]&gt;=3.2,Table1[[#This Row],[alcohol]]&gt;=10),"White wine","Red wine")</f>
        <v>White wine</v>
      </c>
    </row>
    <row r="1010" spans="1:19" x14ac:dyDescent="0.3">
      <c r="A1010" s="13">
        <v>1009</v>
      </c>
      <c r="B1010" s="1">
        <v>8.9</v>
      </c>
      <c r="C1010" s="1">
        <v>0.35</v>
      </c>
      <c r="D1010" s="1">
        <v>0.4</v>
      </c>
      <c r="E1010" s="1">
        <v>3.6</v>
      </c>
      <c r="F1010" s="1">
        <v>0.11</v>
      </c>
      <c r="G1010" s="1">
        <v>12</v>
      </c>
      <c r="H1010" s="1">
        <v>24</v>
      </c>
      <c r="I1010" s="1">
        <v>0.99548999999999999</v>
      </c>
      <c r="J1010" s="1">
        <v>3.23</v>
      </c>
      <c r="K1010" s="1">
        <v>0.7</v>
      </c>
      <c r="L1010" s="1">
        <v>12</v>
      </c>
      <c r="M1010" s="2">
        <v>7</v>
      </c>
      <c r="N1010" s="2" t="str" cm="1">
        <f t="array" ref="N1010">_xlfn.IFS(Table1[[#This Row],[quality]]&lt;=4,"Low",Table1[[#This Row],[quality]]&lt;=6,"Medium",Table1[[#This Row],[quality]]&gt;=7,"High")</f>
        <v>High</v>
      </c>
      <c r="O1010" s="2" t="str">
        <f>IF(AND(Table1[[#This Row],[fixed acidity]]&gt;Sheet1!$C$4,Table1[[#This Row],[pH]]&lt;Sheet1!$K$4),"High","Normal")</f>
        <v>High</v>
      </c>
      <c r="P1010" s="1">
        <f>(Table1[[#This Row],[alcohol]]*2)+(Table1[[#This Row],[sulphates]]*1.5)-(Table1[[#This Row],[volatile acidity]]*2)</f>
        <v>24.35</v>
      </c>
      <c r="Q1010" s="1">
        <f>RANK(Table1[[#This Row],[Quality_score_index]],Table1[Quality_score_index],0)</f>
        <v>146</v>
      </c>
      <c r="R1010" s="1">
        <f>Table1[[#This Row],[total sulfur dioxide]]-Table1[[#This Row],[free sulfur dioxide]]</f>
        <v>12</v>
      </c>
      <c r="S1010" s="1" t="str">
        <f>IF(AND(Table1[[#This Row],[pH]]&gt;=3.2,Table1[[#This Row],[alcohol]]&gt;=10),"White wine","Red wine")</f>
        <v>White wine</v>
      </c>
    </row>
    <row r="1011" spans="1:19" x14ac:dyDescent="0.3">
      <c r="A1011" s="13">
        <v>1010</v>
      </c>
      <c r="B1011" s="1">
        <v>9.6</v>
      </c>
      <c r="C1011" s="1">
        <v>0.5</v>
      </c>
      <c r="D1011" s="1">
        <v>0.36</v>
      </c>
      <c r="E1011" s="1">
        <v>2.8</v>
      </c>
      <c r="F1011" s="1">
        <v>0.11600000000000001</v>
      </c>
      <c r="G1011" s="1">
        <v>26</v>
      </c>
      <c r="H1011" s="1">
        <v>55</v>
      </c>
      <c r="I1011" s="1">
        <v>0.99722</v>
      </c>
      <c r="J1011" s="1">
        <v>3.18</v>
      </c>
      <c r="K1011" s="1">
        <v>0.68</v>
      </c>
      <c r="L1011" s="1">
        <v>10.9</v>
      </c>
      <c r="M1011" s="2">
        <v>5</v>
      </c>
      <c r="N1011" s="2" t="str" cm="1">
        <f t="array" ref="N1011">_xlfn.IFS(Table1[[#This Row],[quality]]&lt;=4,"Low",Table1[[#This Row],[quality]]&lt;=6,"Medium",Table1[[#This Row],[quality]]&gt;=7,"High")</f>
        <v>Medium</v>
      </c>
      <c r="O1011" s="2" t="str">
        <f>IF(AND(Table1[[#This Row],[fixed acidity]]&gt;Sheet1!$C$4,Table1[[#This Row],[pH]]&lt;Sheet1!$K$4),"High","Normal")</f>
        <v>High</v>
      </c>
      <c r="P1011" s="1">
        <f>(Table1[[#This Row],[alcohol]]*2)+(Table1[[#This Row],[sulphates]]*1.5)-(Table1[[#This Row],[volatile acidity]]*2)</f>
        <v>21.82</v>
      </c>
      <c r="Q1011" s="1">
        <f>RANK(Table1[[#This Row],[Quality_score_index]],Table1[Quality_score_index],0)</f>
        <v>476</v>
      </c>
      <c r="R1011" s="1">
        <f>Table1[[#This Row],[total sulfur dioxide]]-Table1[[#This Row],[free sulfur dioxide]]</f>
        <v>29</v>
      </c>
      <c r="S1011" s="1" t="str">
        <f>IF(AND(Table1[[#This Row],[pH]]&gt;=3.2,Table1[[#This Row],[alcohol]]&gt;=10),"White wine","Red wine")</f>
        <v>Red wine</v>
      </c>
    </row>
    <row r="1012" spans="1:19" x14ac:dyDescent="0.3">
      <c r="A1012" s="13">
        <v>1011</v>
      </c>
      <c r="B1012" s="1">
        <v>8.9</v>
      </c>
      <c r="C1012" s="1">
        <v>0.28000000000000003</v>
      </c>
      <c r="D1012" s="1">
        <v>0.45</v>
      </c>
      <c r="E1012" s="1">
        <v>1.7</v>
      </c>
      <c r="F1012" s="1">
        <v>6.7000000000000004E-2</v>
      </c>
      <c r="G1012" s="1">
        <v>7</v>
      </c>
      <c r="H1012" s="1">
        <v>12</v>
      </c>
      <c r="I1012" s="1">
        <v>0.99353999999999998</v>
      </c>
      <c r="J1012" s="1">
        <v>3.25</v>
      </c>
      <c r="K1012" s="1">
        <v>0.55000000000000004</v>
      </c>
      <c r="L1012" s="1">
        <v>12.3</v>
      </c>
      <c r="M1012" s="2">
        <v>7</v>
      </c>
      <c r="N1012" s="2" t="str" cm="1">
        <f t="array" ref="N1012">_xlfn.IFS(Table1[[#This Row],[quality]]&lt;=4,"Low",Table1[[#This Row],[quality]]&lt;=6,"Medium",Table1[[#This Row],[quality]]&gt;=7,"High")</f>
        <v>High</v>
      </c>
      <c r="O1012" s="2" t="str">
        <f>IF(AND(Table1[[#This Row],[fixed acidity]]&gt;Sheet1!$C$4,Table1[[#This Row],[pH]]&lt;Sheet1!$K$4),"High","Normal")</f>
        <v>High</v>
      </c>
      <c r="P1012" s="1">
        <f>(Table1[[#This Row],[alcohol]]*2)+(Table1[[#This Row],[sulphates]]*1.5)-(Table1[[#This Row],[volatile acidity]]*2)</f>
        <v>24.865000000000002</v>
      </c>
      <c r="Q1012" s="1">
        <f>RANK(Table1[[#This Row],[Quality_score_index]],Table1[Quality_score_index],0)</f>
        <v>99</v>
      </c>
      <c r="R1012" s="1">
        <f>Table1[[#This Row],[total sulfur dioxide]]-Table1[[#This Row],[free sulfur dioxide]]</f>
        <v>5</v>
      </c>
      <c r="S1012" s="1" t="str">
        <f>IF(AND(Table1[[#This Row],[pH]]&gt;=3.2,Table1[[#This Row],[alcohol]]&gt;=10),"White wine","Red wine")</f>
        <v>White wine</v>
      </c>
    </row>
    <row r="1013" spans="1:19" x14ac:dyDescent="0.3">
      <c r="A1013" s="13">
        <v>1012</v>
      </c>
      <c r="B1013" s="1">
        <v>8.9</v>
      </c>
      <c r="C1013" s="1">
        <v>0.32</v>
      </c>
      <c r="D1013" s="1">
        <v>0.31</v>
      </c>
      <c r="E1013" s="1">
        <v>2</v>
      </c>
      <c r="F1013" s="1">
        <v>8.7999999999999995E-2</v>
      </c>
      <c r="G1013" s="1">
        <v>12</v>
      </c>
      <c r="H1013" s="1">
        <v>19</v>
      </c>
      <c r="I1013" s="1">
        <v>0.99570000000000003</v>
      </c>
      <c r="J1013" s="1">
        <v>3.17</v>
      </c>
      <c r="K1013" s="1">
        <v>0.55000000000000004</v>
      </c>
      <c r="L1013" s="1">
        <v>10.4</v>
      </c>
      <c r="M1013" s="2">
        <v>6</v>
      </c>
      <c r="N1013" s="2" t="str" cm="1">
        <f t="array" ref="N1013">_xlfn.IFS(Table1[[#This Row],[quality]]&lt;=4,"Low",Table1[[#This Row],[quality]]&lt;=6,"Medium",Table1[[#This Row],[quality]]&gt;=7,"High")</f>
        <v>Medium</v>
      </c>
      <c r="O1013" s="2" t="str">
        <f>IF(AND(Table1[[#This Row],[fixed acidity]]&gt;Sheet1!$C$4,Table1[[#This Row],[pH]]&lt;Sheet1!$K$4),"High","Normal")</f>
        <v>High</v>
      </c>
      <c r="P1013" s="1">
        <f>(Table1[[#This Row],[alcohol]]*2)+(Table1[[#This Row],[sulphates]]*1.5)-(Table1[[#This Row],[volatile acidity]]*2)</f>
        <v>20.984999999999999</v>
      </c>
      <c r="Q1013" s="1">
        <f>RANK(Table1[[#This Row],[Quality_score_index]],Table1[Quality_score_index],0)</f>
        <v>655</v>
      </c>
      <c r="R1013" s="1">
        <f>Table1[[#This Row],[total sulfur dioxide]]-Table1[[#This Row],[free sulfur dioxide]]</f>
        <v>7</v>
      </c>
      <c r="S1013" s="1" t="str">
        <f>IF(AND(Table1[[#This Row],[pH]]&gt;=3.2,Table1[[#This Row],[alcohol]]&gt;=10),"White wine","Red wine")</f>
        <v>Red wine</v>
      </c>
    </row>
    <row r="1014" spans="1:19" x14ac:dyDescent="0.3">
      <c r="A1014" s="13">
        <v>1013</v>
      </c>
      <c r="B1014" s="1">
        <v>7.7</v>
      </c>
      <c r="C1014" s="1">
        <v>1.0049999999999999</v>
      </c>
      <c r="D1014" s="1">
        <v>0.15</v>
      </c>
      <c r="E1014" s="1">
        <v>2.1</v>
      </c>
      <c r="F1014" s="1">
        <v>0.10199999999999999</v>
      </c>
      <c r="G1014" s="1">
        <v>11</v>
      </c>
      <c r="H1014" s="1">
        <v>32</v>
      </c>
      <c r="I1014" s="1">
        <v>0.99604000000000004</v>
      </c>
      <c r="J1014" s="1">
        <v>3.23</v>
      </c>
      <c r="K1014" s="1">
        <v>0.48</v>
      </c>
      <c r="L1014" s="1">
        <v>10</v>
      </c>
      <c r="M1014" s="2">
        <v>5</v>
      </c>
      <c r="N1014" s="2" t="str" cm="1">
        <f t="array" ref="N1014">_xlfn.IFS(Table1[[#This Row],[quality]]&lt;=4,"Low",Table1[[#This Row],[quality]]&lt;=6,"Medium",Table1[[#This Row],[quality]]&gt;=7,"High")</f>
        <v>Medium</v>
      </c>
      <c r="O1014" s="2" t="str">
        <f>IF(AND(Table1[[#This Row],[fixed acidity]]&gt;Sheet1!$C$4,Table1[[#This Row],[pH]]&lt;Sheet1!$K$4),"High","Normal")</f>
        <v>Normal</v>
      </c>
      <c r="P1014" s="1">
        <f>(Table1[[#This Row],[alcohol]]*2)+(Table1[[#This Row],[sulphates]]*1.5)-(Table1[[#This Row],[volatile acidity]]*2)</f>
        <v>18.71</v>
      </c>
      <c r="Q1014" s="1">
        <f>RANK(Table1[[#This Row],[Quality_score_index]],Table1[Quality_score_index],0)</f>
        <v>1283</v>
      </c>
      <c r="R1014" s="1">
        <f>Table1[[#This Row],[total sulfur dioxide]]-Table1[[#This Row],[free sulfur dioxide]]</f>
        <v>21</v>
      </c>
      <c r="S1014" s="1" t="str">
        <f>IF(AND(Table1[[#This Row],[pH]]&gt;=3.2,Table1[[#This Row],[alcohol]]&gt;=10),"White wine","Red wine")</f>
        <v>White wine</v>
      </c>
    </row>
    <row r="1015" spans="1:19" x14ac:dyDescent="0.3">
      <c r="A1015" s="13">
        <v>1014</v>
      </c>
      <c r="B1015" s="1">
        <v>7.5</v>
      </c>
      <c r="C1015" s="1">
        <v>0.71</v>
      </c>
      <c r="D1015" s="1">
        <v>0</v>
      </c>
      <c r="E1015" s="1">
        <v>1.6</v>
      </c>
      <c r="F1015" s="1">
        <v>9.1999999999999998E-2</v>
      </c>
      <c r="G1015" s="1">
        <v>22</v>
      </c>
      <c r="H1015" s="1">
        <v>31</v>
      </c>
      <c r="I1015" s="1">
        <v>0.99634999999999996</v>
      </c>
      <c r="J1015" s="1">
        <v>3.38</v>
      </c>
      <c r="K1015" s="1">
        <v>0.57999999999999996</v>
      </c>
      <c r="L1015" s="1">
        <v>10</v>
      </c>
      <c r="M1015" s="2">
        <v>6</v>
      </c>
      <c r="N1015" s="2" t="str" cm="1">
        <f t="array" ref="N1015">_xlfn.IFS(Table1[[#This Row],[quality]]&lt;=4,"Low",Table1[[#This Row],[quality]]&lt;=6,"Medium",Table1[[#This Row],[quality]]&gt;=7,"High")</f>
        <v>Medium</v>
      </c>
      <c r="O1015" s="2" t="str">
        <f>IF(AND(Table1[[#This Row],[fixed acidity]]&gt;Sheet1!$C$4,Table1[[#This Row],[pH]]&lt;Sheet1!$K$4),"High","Normal")</f>
        <v>Normal</v>
      </c>
      <c r="P1015" s="1">
        <f>(Table1[[#This Row],[alcohol]]*2)+(Table1[[#This Row],[sulphates]]*1.5)-(Table1[[#This Row],[volatile acidity]]*2)</f>
        <v>19.450000000000003</v>
      </c>
      <c r="Q1015" s="1">
        <f>RANK(Table1[[#This Row],[Quality_score_index]],Table1[Quality_score_index],0)</f>
        <v>994</v>
      </c>
      <c r="R1015" s="1">
        <f>Table1[[#This Row],[total sulfur dioxide]]-Table1[[#This Row],[free sulfur dioxide]]</f>
        <v>9</v>
      </c>
      <c r="S1015" s="1" t="str">
        <f>IF(AND(Table1[[#This Row],[pH]]&gt;=3.2,Table1[[#This Row],[alcohol]]&gt;=10),"White wine","Red wine")</f>
        <v>White wine</v>
      </c>
    </row>
    <row r="1016" spans="1:19" x14ac:dyDescent="0.3">
      <c r="A1016" s="13">
        <v>1015</v>
      </c>
      <c r="B1016" s="1">
        <v>8</v>
      </c>
      <c r="C1016" s="1">
        <v>0.57999999999999996</v>
      </c>
      <c r="D1016" s="1">
        <v>0.16</v>
      </c>
      <c r="E1016" s="1">
        <v>2</v>
      </c>
      <c r="F1016" s="1">
        <v>0.12</v>
      </c>
      <c r="G1016" s="1">
        <v>3</v>
      </c>
      <c r="H1016" s="1">
        <v>7</v>
      </c>
      <c r="I1016" s="1">
        <v>0.99453999999999998</v>
      </c>
      <c r="J1016" s="1">
        <v>3.22</v>
      </c>
      <c r="K1016" s="1">
        <v>0.57999999999999996</v>
      </c>
      <c r="L1016" s="1">
        <v>11.2</v>
      </c>
      <c r="M1016" s="2">
        <v>6</v>
      </c>
      <c r="N1016" s="2" t="str" cm="1">
        <f t="array" ref="N1016">_xlfn.IFS(Table1[[#This Row],[quality]]&lt;=4,"Low",Table1[[#This Row],[quality]]&lt;=6,"Medium",Table1[[#This Row],[quality]]&gt;=7,"High")</f>
        <v>Medium</v>
      </c>
      <c r="O1016" s="2" t="str">
        <f>IF(AND(Table1[[#This Row],[fixed acidity]]&gt;Sheet1!$C$4,Table1[[#This Row],[pH]]&lt;Sheet1!$K$4),"High","Normal")</f>
        <v>Normal</v>
      </c>
      <c r="P1016" s="1">
        <f>(Table1[[#This Row],[alcohol]]*2)+(Table1[[#This Row],[sulphates]]*1.5)-(Table1[[#This Row],[volatile acidity]]*2)</f>
        <v>22.11</v>
      </c>
      <c r="Q1016" s="1">
        <f>RANK(Table1[[#This Row],[Quality_score_index]],Table1[Quality_score_index],0)</f>
        <v>438</v>
      </c>
      <c r="R1016" s="1">
        <f>Table1[[#This Row],[total sulfur dioxide]]-Table1[[#This Row],[free sulfur dioxide]]</f>
        <v>4</v>
      </c>
      <c r="S1016" s="1" t="str">
        <f>IF(AND(Table1[[#This Row],[pH]]&gt;=3.2,Table1[[#This Row],[alcohol]]&gt;=10),"White wine","Red wine")</f>
        <v>White wine</v>
      </c>
    </row>
    <row r="1017" spans="1:19" x14ac:dyDescent="0.3">
      <c r="A1017" s="13">
        <v>1016</v>
      </c>
      <c r="B1017" s="1">
        <v>10.5</v>
      </c>
      <c r="C1017" s="1">
        <v>0.39</v>
      </c>
      <c r="D1017" s="1">
        <v>0.46</v>
      </c>
      <c r="E1017" s="1">
        <v>2.2000000000000002</v>
      </c>
      <c r="F1017" s="1">
        <v>7.4999999999999997E-2</v>
      </c>
      <c r="G1017" s="1">
        <v>14</v>
      </c>
      <c r="H1017" s="1">
        <v>27</v>
      </c>
      <c r="I1017" s="1">
        <v>0.99597999999999998</v>
      </c>
      <c r="J1017" s="1">
        <v>3.06</v>
      </c>
      <c r="K1017" s="1">
        <v>0.84</v>
      </c>
      <c r="L1017" s="1">
        <v>11.4</v>
      </c>
      <c r="M1017" s="2">
        <v>6</v>
      </c>
      <c r="N1017" s="2" t="str" cm="1">
        <f t="array" ref="N1017">_xlfn.IFS(Table1[[#This Row],[quality]]&lt;=4,"Low",Table1[[#This Row],[quality]]&lt;=6,"Medium",Table1[[#This Row],[quality]]&gt;=7,"High")</f>
        <v>Medium</v>
      </c>
      <c r="O1017" s="2" t="str">
        <f>IF(AND(Table1[[#This Row],[fixed acidity]]&gt;Sheet1!$C$4,Table1[[#This Row],[pH]]&lt;Sheet1!$K$4),"High","Normal")</f>
        <v>High</v>
      </c>
      <c r="P1017" s="1">
        <f>(Table1[[#This Row],[alcohol]]*2)+(Table1[[#This Row],[sulphates]]*1.5)-(Table1[[#This Row],[volatile acidity]]*2)</f>
        <v>23.28</v>
      </c>
      <c r="Q1017" s="1">
        <f>RANK(Table1[[#This Row],[Quality_score_index]],Table1[Quality_score_index],0)</f>
        <v>235</v>
      </c>
      <c r="R1017" s="1">
        <f>Table1[[#This Row],[total sulfur dioxide]]-Table1[[#This Row],[free sulfur dioxide]]</f>
        <v>13</v>
      </c>
      <c r="S1017" s="1" t="str">
        <f>IF(AND(Table1[[#This Row],[pH]]&gt;=3.2,Table1[[#This Row],[alcohol]]&gt;=10),"White wine","Red wine")</f>
        <v>Red wine</v>
      </c>
    </row>
    <row r="1018" spans="1:19" x14ac:dyDescent="0.3">
      <c r="A1018" s="13">
        <v>1017</v>
      </c>
      <c r="B1018" s="1">
        <v>8.9</v>
      </c>
      <c r="C1018" s="1">
        <v>0.38</v>
      </c>
      <c r="D1018" s="1">
        <v>0.4</v>
      </c>
      <c r="E1018" s="1">
        <v>2.2000000000000002</v>
      </c>
      <c r="F1018" s="1">
        <v>6.8000000000000005E-2</v>
      </c>
      <c r="G1018" s="1">
        <v>12</v>
      </c>
      <c r="H1018" s="1">
        <v>28</v>
      </c>
      <c r="I1018" s="1">
        <v>0.99485999999999997</v>
      </c>
      <c r="J1018" s="1">
        <v>3.27</v>
      </c>
      <c r="K1018" s="1">
        <v>0.75</v>
      </c>
      <c r="L1018" s="1">
        <v>12.6</v>
      </c>
      <c r="M1018" s="2">
        <v>7</v>
      </c>
      <c r="N1018" s="2" t="str" cm="1">
        <f t="array" ref="N1018">_xlfn.IFS(Table1[[#This Row],[quality]]&lt;=4,"Low",Table1[[#This Row],[quality]]&lt;=6,"Medium",Table1[[#This Row],[quality]]&gt;=7,"High")</f>
        <v>High</v>
      </c>
      <c r="O1018" s="2" t="str">
        <f>IF(AND(Table1[[#This Row],[fixed acidity]]&gt;Sheet1!$C$4,Table1[[#This Row],[pH]]&lt;Sheet1!$K$4),"High","Normal")</f>
        <v>High</v>
      </c>
      <c r="P1018" s="1">
        <f>(Table1[[#This Row],[alcohol]]*2)+(Table1[[#This Row],[sulphates]]*1.5)-(Table1[[#This Row],[volatile acidity]]*2)</f>
        <v>25.564999999999998</v>
      </c>
      <c r="Q1018" s="1">
        <f>RANK(Table1[[#This Row],[Quality_score_index]],Table1[Quality_score_index],0)</f>
        <v>49</v>
      </c>
      <c r="R1018" s="1">
        <f>Table1[[#This Row],[total sulfur dioxide]]-Table1[[#This Row],[free sulfur dioxide]]</f>
        <v>16</v>
      </c>
      <c r="S1018" s="1" t="str">
        <f>IF(AND(Table1[[#This Row],[pH]]&gt;=3.2,Table1[[#This Row],[alcohol]]&gt;=10),"White wine","Red wine")</f>
        <v>White wine</v>
      </c>
    </row>
    <row r="1019" spans="1:19" x14ac:dyDescent="0.3">
      <c r="A1019" s="13">
        <v>1018</v>
      </c>
      <c r="B1019" s="1">
        <v>8</v>
      </c>
      <c r="C1019" s="1">
        <v>0.18</v>
      </c>
      <c r="D1019" s="1">
        <v>0.37</v>
      </c>
      <c r="E1019" s="1">
        <v>0.9</v>
      </c>
      <c r="F1019" s="1">
        <v>4.9000000000000002E-2</v>
      </c>
      <c r="G1019" s="1">
        <v>36</v>
      </c>
      <c r="H1019" s="1">
        <v>109</v>
      </c>
      <c r="I1019" s="1">
        <v>0.99007000000000001</v>
      </c>
      <c r="J1019" s="1">
        <v>2.89</v>
      </c>
      <c r="K1019" s="1">
        <v>0.44</v>
      </c>
      <c r="L1019" s="1">
        <v>12.7</v>
      </c>
      <c r="M1019" s="2">
        <v>6</v>
      </c>
      <c r="N1019" s="2" t="str" cm="1">
        <f t="array" ref="N1019">_xlfn.IFS(Table1[[#This Row],[quality]]&lt;=4,"Low",Table1[[#This Row],[quality]]&lt;=6,"Medium",Table1[[#This Row],[quality]]&gt;=7,"High")</f>
        <v>Medium</v>
      </c>
      <c r="O1019" s="2" t="str">
        <f>IF(AND(Table1[[#This Row],[fixed acidity]]&gt;Sheet1!$C$4,Table1[[#This Row],[pH]]&lt;Sheet1!$K$4),"High","Normal")</f>
        <v>Normal</v>
      </c>
      <c r="P1019" s="1">
        <f>(Table1[[#This Row],[alcohol]]*2)+(Table1[[#This Row],[sulphates]]*1.5)-(Table1[[#This Row],[volatile acidity]]*2)</f>
        <v>25.7</v>
      </c>
      <c r="Q1019" s="1">
        <f>RANK(Table1[[#This Row],[Quality_score_index]],Table1[Quality_score_index],0)</f>
        <v>43</v>
      </c>
      <c r="R1019" s="1">
        <f>Table1[[#This Row],[total sulfur dioxide]]-Table1[[#This Row],[free sulfur dioxide]]</f>
        <v>73</v>
      </c>
      <c r="S1019" s="1" t="str">
        <f>IF(AND(Table1[[#This Row],[pH]]&gt;=3.2,Table1[[#This Row],[alcohol]]&gt;=10),"White wine","Red wine")</f>
        <v>Red wine</v>
      </c>
    </row>
    <row r="1020" spans="1:19" x14ac:dyDescent="0.3">
      <c r="A1020" s="13">
        <v>1019</v>
      </c>
      <c r="B1020" s="1">
        <v>8</v>
      </c>
      <c r="C1020" s="1">
        <v>0.18</v>
      </c>
      <c r="D1020" s="1">
        <v>0.37</v>
      </c>
      <c r="E1020" s="1">
        <v>0.9</v>
      </c>
      <c r="F1020" s="1">
        <v>4.9000000000000002E-2</v>
      </c>
      <c r="G1020" s="1">
        <v>36</v>
      </c>
      <c r="H1020" s="1">
        <v>109</v>
      </c>
      <c r="I1020" s="1">
        <v>0.99007000000000001</v>
      </c>
      <c r="J1020" s="1">
        <v>2.89</v>
      </c>
      <c r="K1020" s="1">
        <v>0.44</v>
      </c>
      <c r="L1020" s="1">
        <v>12.7</v>
      </c>
      <c r="M1020" s="2">
        <v>6</v>
      </c>
      <c r="N1020" s="2" t="str" cm="1">
        <f t="array" ref="N1020">_xlfn.IFS(Table1[[#This Row],[quality]]&lt;=4,"Low",Table1[[#This Row],[quality]]&lt;=6,"Medium",Table1[[#This Row],[quality]]&gt;=7,"High")</f>
        <v>Medium</v>
      </c>
      <c r="O1020" s="2" t="str">
        <f>IF(AND(Table1[[#This Row],[fixed acidity]]&gt;Sheet1!$C$4,Table1[[#This Row],[pH]]&lt;Sheet1!$K$4),"High","Normal")</f>
        <v>Normal</v>
      </c>
      <c r="P1020" s="1">
        <f>(Table1[[#This Row],[alcohol]]*2)+(Table1[[#This Row],[sulphates]]*1.5)-(Table1[[#This Row],[volatile acidity]]*2)</f>
        <v>25.7</v>
      </c>
      <c r="Q1020" s="1">
        <f>RANK(Table1[[#This Row],[Quality_score_index]],Table1[Quality_score_index],0)</f>
        <v>43</v>
      </c>
      <c r="R1020" s="1">
        <f>Table1[[#This Row],[total sulfur dioxide]]-Table1[[#This Row],[free sulfur dioxide]]</f>
        <v>73</v>
      </c>
      <c r="S1020" s="1" t="str">
        <f>IF(AND(Table1[[#This Row],[pH]]&gt;=3.2,Table1[[#This Row],[alcohol]]&gt;=10),"White wine","Red wine")</f>
        <v>Red wine</v>
      </c>
    </row>
    <row r="1021" spans="1:19" x14ac:dyDescent="0.3">
      <c r="A1021" s="13">
        <v>1020</v>
      </c>
      <c r="B1021" s="1">
        <v>7</v>
      </c>
      <c r="C1021" s="1">
        <v>0.5</v>
      </c>
      <c r="D1021" s="1">
        <v>0.14000000000000001</v>
      </c>
      <c r="E1021" s="1">
        <v>1.8</v>
      </c>
      <c r="F1021" s="1">
        <v>7.8E-2</v>
      </c>
      <c r="G1021" s="1">
        <v>10</v>
      </c>
      <c r="H1021" s="1">
        <v>23</v>
      </c>
      <c r="I1021" s="1">
        <v>0.99636000000000002</v>
      </c>
      <c r="J1021" s="1">
        <v>3.53</v>
      </c>
      <c r="K1021" s="1">
        <v>0.61</v>
      </c>
      <c r="L1021" s="1">
        <v>10.4</v>
      </c>
      <c r="M1021" s="2">
        <v>5</v>
      </c>
      <c r="N1021" s="2" t="str" cm="1">
        <f t="array" ref="N1021">_xlfn.IFS(Table1[[#This Row],[quality]]&lt;=4,"Low",Table1[[#This Row],[quality]]&lt;=6,"Medium",Table1[[#This Row],[quality]]&gt;=7,"High")</f>
        <v>Medium</v>
      </c>
      <c r="O1021" s="2" t="str">
        <f>IF(AND(Table1[[#This Row],[fixed acidity]]&gt;Sheet1!$C$4,Table1[[#This Row],[pH]]&lt;Sheet1!$K$4),"High","Normal")</f>
        <v>Normal</v>
      </c>
      <c r="P1021" s="1">
        <f>(Table1[[#This Row],[alcohol]]*2)+(Table1[[#This Row],[sulphates]]*1.5)-(Table1[[#This Row],[volatile acidity]]*2)</f>
        <v>20.715</v>
      </c>
      <c r="Q1021" s="1">
        <f>RANK(Table1[[#This Row],[Quality_score_index]],Table1[Quality_score_index],0)</f>
        <v>722</v>
      </c>
      <c r="R1021" s="1">
        <f>Table1[[#This Row],[total sulfur dioxide]]-Table1[[#This Row],[free sulfur dioxide]]</f>
        <v>13</v>
      </c>
      <c r="S1021" s="1" t="str">
        <f>IF(AND(Table1[[#This Row],[pH]]&gt;=3.2,Table1[[#This Row],[alcohol]]&gt;=10),"White wine","Red wine")</f>
        <v>White wine</v>
      </c>
    </row>
    <row r="1022" spans="1:19" x14ac:dyDescent="0.3">
      <c r="A1022" s="13">
        <v>1021</v>
      </c>
      <c r="B1022" s="1">
        <v>11.3</v>
      </c>
      <c r="C1022" s="1">
        <v>0.36</v>
      </c>
      <c r="D1022" s="1">
        <v>0.66</v>
      </c>
      <c r="E1022" s="1">
        <v>2.4</v>
      </c>
      <c r="F1022" s="1">
        <v>0.123</v>
      </c>
      <c r="G1022" s="1">
        <v>3</v>
      </c>
      <c r="H1022" s="1">
        <v>8</v>
      </c>
      <c r="I1022" s="1">
        <v>0.99641999999999997</v>
      </c>
      <c r="J1022" s="1">
        <v>3.2</v>
      </c>
      <c r="K1022" s="1">
        <v>0.53</v>
      </c>
      <c r="L1022" s="1">
        <v>11.9</v>
      </c>
      <c r="M1022" s="2">
        <v>6</v>
      </c>
      <c r="N1022" s="2" t="str" cm="1">
        <f t="array" ref="N1022">_xlfn.IFS(Table1[[#This Row],[quality]]&lt;=4,"Low",Table1[[#This Row],[quality]]&lt;=6,"Medium",Table1[[#This Row],[quality]]&gt;=7,"High")</f>
        <v>Medium</v>
      </c>
      <c r="O1022" s="2" t="str">
        <f>IF(AND(Table1[[#This Row],[fixed acidity]]&gt;Sheet1!$C$4,Table1[[#This Row],[pH]]&lt;Sheet1!$K$4),"High","Normal")</f>
        <v>High</v>
      </c>
      <c r="P1022" s="1">
        <f>(Table1[[#This Row],[alcohol]]*2)+(Table1[[#This Row],[sulphates]]*1.5)-(Table1[[#This Row],[volatile acidity]]*2)</f>
        <v>23.875000000000004</v>
      </c>
      <c r="Q1022" s="1">
        <f>RANK(Table1[[#This Row],[Quality_score_index]],Table1[Quality_score_index],0)</f>
        <v>189</v>
      </c>
      <c r="R1022" s="1">
        <f>Table1[[#This Row],[total sulfur dioxide]]-Table1[[#This Row],[free sulfur dioxide]]</f>
        <v>5</v>
      </c>
      <c r="S1022" s="1" t="str">
        <f>IF(AND(Table1[[#This Row],[pH]]&gt;=3.2,Table1[[#This Row],[alcohol]]&gt;=10),"White wine","Red wine")</f>
        <v>White wine</v>
      </c>
    </row>
    <row r="1023" spans="1:19" x14ac:dyDescent="0.3">
      <c r="A1023" s="13">
        <v>1022</v>
      </c>
      <c r="B1023" s="1">
        <v>11.3</v>
      </c>
      <c r="C1023" s="1">
        <v>0.36</v>
      </c>
      <c r="D1023" s="1">
        <v>0.66</v>
      </c>
      <c r="E1023" s="1">
        <v>2.4</v>
      </c>
      <c r="F1023" s="1">
        <v>0.123</v>
      </c>
      <c r="G1023" s="1">
        <v>3</v>
      </c>
      <c r="H1023" s="1">
        <v>8</v>
      </c>
      <c r="I1023" s="1">
        <v>0.99641999999999997</v>
      </c>
      <c r="J1023" s="1">
        <v>3.2</v>
      </c>
      <c r="K1023" s="1">
        <v>0.53</v>
      </c>
      <c r="L1023" s="1">
        <v>11.9</v>
      </c>
      <c r="M1023" s="2">
        <v>6</v>
      </c>
      <c r="N1023" s="2" t="str" cm="1">
        <f t="array" ref="N1023">_xlfn.IFS(Table1[[#This Row],[quality]]&lt;=4,"Low",Table1[[#This Row],[quality]]&lt;=6,"Medium",Table1[[#This Row],[quality]]&gt;=7,"High")</f>
        <v>Medium</v>
      </c>
      <c r="O1023" s="2" t="str">
        <f>IF(AND(Table1[[#This Row],[fixed acidity]]&gt;Sheet1!$C$4,Table1[[#This Row],[pH]]&lt;Sheet1!$K$4),"High","Normal")</f>
        <v>High</v>
      </c>
      <c r="P1023" s="1">
        <f>(Table1[[#This Row],[alcohol]]*2)+(Table1[[#This Row],[sulphates]]*1.5)-(Table1[[#This Row],[volatile acidity]]*2)</f>
        <v>23.875000000000004</v>
      </c>
      <c r="Q1023" s="1">
        <f>RANK(Table1[[#This Row],[Quality_score_index]],Table1[Quality_score_index],0)</f>
        <v>189</v>
      </c>
      <c r="R1023" s="1">
        <f>Table1[[#This Row],[total sulfur dioxide]]-Table1[[#This Row],[free sulfur dioxide]]</f>
        <v>5</v>
      </c>
      <c r="S1023" s="1" t="str">
        <f>IF(AND(Table1[[#This Row],[pH]]&gt;=3.2,Table1[[#This Row],[alcohol]]&gt;=10),"White wine","Red wine")</f>
        <v>White wine</v>
      </c>
    </row>
    <row r="1024" spans="1:19" x14ac:dyDescent="0.3">
      <c r="A1024" s="13">
        <v>1023</v>
      </c>
      <c r="B1024" s="1">
        <v>7</v>
      </c>
      <c r="C1024" s="1">
        <v>0.51</v>
      </c>
      <c r="D1024" s="1">
        <v>0.09</v>
      </c>
      <c r="E1024" s="1">
        <v>2.1</v>
      </c>
      <c r="F1024" s="1">
        <v>6.2E-2</v>
      </c>
      <c r="G1024" s="1">
        <v>4</v>
      </c>
      <c r="H1024" s="1">
        <v>9</v>
      </c>
      <c r="I1024" s="1">
        <v>0.99583999999999995</v>
      </c>
      <c r="J1024" s="1">
        <v>3.35</v>
      </c>
      <c r="K1024" s="1">
        <v>0.54</v>
      </c>
      <c r="L1024" s="1">
        <v>10.5</v>
      </c>
      <c r="M1024" s="2">
        <v>5</v>
      </c>
      <c r="N1024" s="2" t="str" cm="1">
        <f t="array" ref="N1024">_xlfn.IFS(Table1[[#This Row],[quality]]&lt;=4,"Low",Table1[[#This Row],[quality]]&lt;=6,"Medium",Table1[[#This Row],[quality]]&gt;=7,"High")</f>
        <v>Medium</v>
      </c>
      <c r="O1024" s="2" t="str">
        <f>IF(AND(Table1[[#This Row],[fixed acidity]]&gt;Sheet1!$C$4,Table1[[#This Row],[pH]]&lt;Sheet1!$K$4),"High","Normal")</f>
        <v>Normal</v>
      </c>
      <c r="P1024" s="1">
        <f>(Table1[[#This Row],[alcohol]]*2)+(Table1[[#This Row],[sulphates]]*1.5)-(Table1[[#This Row],[volatile acidity]]*2)</f>
        <v>20.79</v>
      </c>
      <c r="Q1024" s="1">
        <f>RANK(Table1[[#This Row],[Quality_score_index]],Table1[Quality_score_index],0)</f>
        <v>697</v>
      </c>
      <c r="R1024" s="1">
        <f>Table1[[#This Row],[total sulfur dioxide]]-Table1[[#This Row],[free sulfur dioxide]]</f>
        <v>5</v>
      </c>
      <c r="S1024" s="1" t="str">
        <f>IF(AND(Table1[[#This Row],[pH]]&gt;=3.2,Table1[[#This Row],[alcohol]]&gt;=10),"White wine","Red wine")</f>
        <v>White wine</v>
      </c>
    </row>
    <row r="1025" spans="1:19" x14ac:dyDescent="0.3">
      <c r="A1025" s="13">
        <v>1024</v>
      </c>
      <c r="B1025" s="1">
        <v>8.1999999999999993</v>
      </c>
      <c r="C1025" s="1">
        <v>0.32</v>
      </c>
      <c r="D1025" s="1">
        <v>0.42</v>
      </c>
      <c r="E1025" s="1">
        <v>2.2999999999999998</v>
      </c>
      <c r="F1025" s="1">
        <v>9.8000000000000004E-2</v>
      </c>
      <c r="G1025" s="1">
        <v>3</v>
      </c>
      <c r="H1025" s="1">
        <v>9</v>
      </c>
      <c r="I1025" s="1">
        <v>0.99505999999999994</v>
      </c>
      <c r="J1025" s="1">
        <v>3.27</v>
      </c>
      <c r="K1025" s="1">
        <v>0.55000000000000004</v>
      </c>
      <c r="L1025" s="1">
        <v>12.3</v>
      </c>
      <c r="M1025" s="2">
        <v>6</v>
      </c>
      <c r="N1025" s="2" t="str" cm="1">
        <f t="array" ref="N1025">_xlfn.IFS(Table1[[#This Row],[quality]]&lt;=4,"Low",Table1[[#This Row],[quality]]&lt;=6,"Medium",Table1[[#This Row],[quality]]&gt;=7,"High")</f>
        <v>Medium</v>
      </c>
      <c r="O1025" s="2" t="str">
        <f>IF(AND(Table1[[#This Row],[fixed acidity]]&gt;Sheet1!$C$4,Table1[[#This Row],[pH]]&lt;Sheet1!$K$4),"High","Normal")</f>
        <v>Normal</v>
      </c>
      <c r="P1025" s="1">
        <f>(Table1[[#This Row],[alcohol]]*2)+(Table1[[#This Row],[sulphates]]*1.5)-(Table1[[#This Row],[volatile acidity]]*2)</f>
        <v>24.785</v>
      </c>
      <c r="Q1025" s="1">
        <f>RANK(Table1[[#This Row],[Quality_score_index]],Table1[Quality_score_index],0)</f>
        <v>104</v>
      </c>
      <c r="R1025" s="1">
        <f>Table1[[#This Row],[total sulfur dioxide]]-Table1[[#This Row],[free sulfur dioxide]]</f>
        <v>6</v>
      </c>
      <c r="S1025" s="1" t="str">
        <f>IF(AND(Table1[[#This Row],[pH]]&gt;=3.2,Table1[[#This Row],[alcohol]]&gt;=10),"White wine","Red wine")</f>
        <v>White wine</v>
      </c>
    </row>
    <row r="1026" spans="1:19" x14ac:dyDescent="0.3">
      <c r="A1026" s="13">
        <v>1025</v>
      </c>
      <c r="B1026" s="1">
        <v>7.7</v>
      </c>
      <c r="C1026" s="1">
        <v>0.57999999999999996</v>
      </c>
      <c r="D1026" s="1">
        <v>0.01</v>
      </c>
      <c r="E1026" s="1">
        <v>1.8</v>
      </c>
      <c r="F1026" s="1">
        <v>8.7999999999999995E-2</v>
      </c>
      <c r="G1026" s="1">
        <v>12</v>
      </c>
      <c r="H1026" s="1">
        <v>18</v>
      </c>
      <c r="I1026" s="1">
        <v>0.99568000000000001</v>
      </c>
      <c r="J1026" s="1">
        <v>3.32</v>
      </c>
      <c r="K1026" s="1">
        <v>0.56000000000000005</v>
      </c>
      <c r="L1026" s="1">
        <v>10.5</v>
      </c>
      <c r="M1026" s="2">
        <v>7</v>
      </c>
      <c r="N1026" s="2" t="str" cm="1">
        <f t="array" ref="N1026">_xlfn.IFS(Table1[[#This Row],[quality]]&lt;=4,"Low",Table1[[#This Row],[quality]]&lt;=6,"Medium",Table1[[#This Row],[quality]]&gt;=7,"High")</f>
        <v>High</v>
      </c>
      <c r="O1026" s="2" t="str">
        <f>IF(AND(Table1[[#This Row],[fixed acidity]]&gt;Sheet1!$C$4,Table1[[#This Row],[pH]]&lt;Sheet1!$K$4),"High","Normal")</f>
        <v>Normal</v>
      </c>
      <c r="P1026" s="1">
        <f>(Table1[[#This Row],[alcohol]]*2)+(Table1[[#This Row],[sulphates]]*1.5)-(Table1[[#This Row],[volatile acidity]]*2)</f>
        <v>20.68</v>
      </c>
      <c r="Q1026" s="1">
        <f>RANK(Table1[[#This Row],[Quality_score_index]],Table1[Quality_score_index],0)</f>
        <v>728</v>
      </c>
      <c r="R1026" s="1">
        <f>Table1[[#This Row],[total sulfur dioxide]]-Table1[[#This Row],[free sulfur dioxide]]</f>
        <v>6</v>
      </c>
      <c r="S1026" s="1" t="str">
        <f>IF(AND(Table1[[#This Row],[pH]]&gt;=3.2,Table1[[#This Row],[alcohol]]&gt;=10),"White wine","Red wine")</f>
        <v>White wine</v>
      </c>
    </row>
    <row r="1027" spans="1:19" x14ac:dyDescent="0.3">
      <c r="A1027" s="13">
        <v>1026</v>
      </c>
      <c r="B1027" s="1">
        <v>8.6</v>
      </c>
      <c r="C1027" s="1">
        <v>0.83</v>
      </c>
      <c r="D1027" s="1">
        <v>0</v>
      </c>
      <c r="E1027" s="1">
        <v>2.8</v>
      </c>
      <c r="F1027" s="1">
        <v>9.5000000000000001E-2</v>
      </c>
      <c r="G1027" s="1">
        <v>17</v>
      </c>
      <c r="H1027" s="1">
        <v>43</v>
      </c>
      <c r="I1027" s="1">
        <v>0.99822</v>
      </c>
      <c r="J1027" s="1">
        <v>3.33</v>
      </c>
      <c r="K1027" s="1">
        <v>0.6</v>
      </c>
      <c r="L1027" s="1">
        <v>10.4</v>
      </c>
      <c r="M1027" s="2">
        <v>6</v>
      </c>
      <c r="N1027" s="2" t="str" cm="1">
        <f t="array" ref="N1027">_xlfn.IFS(Table1[[#This Row],[quality]]&lt;=4,"Low",Table1[[#This Row],[quality]]&lt;=6,"Medium",Table1[[#This Row],[quality]]&gt;=7,"High")</f>
        <v>Medium</v>
      </c>
      <c r="O1027" s="2" t="str">
        <f>IF(AND(Table1[[#This Row],[fixed acidity]]&gt;Sheet1!$C$4,Table1[[#This Row],[pH]]&lt;Sheet1!$K$4),"High","Normal")</f>
        <v>Normal</v>
      </c>
      <c r="P1027" s="1">
        <f>(Table1[[#This Row],[alcohol]]*2)+(Table1[[#This Row],[sulphates]]*1.5)-(Table1[[#This Row],[volatile acidity]]*2)</f>
        <v>20.04</v>
      </c>
      <c r="Q1027" s="1">
        <f>RANK(Table1[[#This Row],[Quality_score_index]],Table1[Quality_score_index],0)</f>
        <v>850</v>
      </c>
      <c r="R1027" s="1">
        <f>Table1[[#This Row],[total sulfur dioxide]]-Table1[[#This Row],[free sulfur dioxide]]</f>
        <v>26</v>
      </c>
      <c r="S1027" s="1" t="str">
        <f>IF(AND(Table1[[#This Row],[pH]]&gt;=3.2,Table1[[#This Row],[alcohol]]&gt;=10),"White wine","Red wine")</f>
        <v>White wine</v>
      </c>
    </row>
    <row r="1028" spans="1:19" x14ac:dyDescent="0.3">
      <c r="A1028" s="13">
        <v>1027</v>
      </c>
      <c r="B1028" s="1">
        <v>7.9</v>
      </c>
      <c r="C1028" s="1">
        <v>0.31</v>
      </c>
      <c r="D1028" s="1">
        <v>0.32</v>
      </c>
      <c r="E1028" s="1">
        <v>1.9</v>
      </c>
      <c r="F1028" s="1">
        <v>6.6000000000000003E-2</v>
      </c>
      <c r="G1028" s="1">
        <v>14</v>
      </c>
      <c r="H1028" s="1">
        <v>36</v>
      </c>
      <c r="I1028" s="1">
        <v>0.99363999999999997</v>
      </c>
      <c r="J1028" s="1">
        <v>3.41</v>
      </c>
      <c r="K1028" s="1">
        <v>0.56000000000000005</v>
      </c>
      <c r="L1028" s="1">
        <v>12.6</v>
      </c>
      <c r="M1028" s="2">
        <v>6</v>
      </c>
      <c r="N1028" s="2" t="str" cm="1">
        <f t="array" ref="N1028">_xlfn.IFS(Table1[[#This Row],[quality]]&lt;=4,"Low",Table1[[#This Row],[quality]]&lt;=6,"Medium",Table1[[#This Row],[quality]]&gt;=7,"High")</f>
        <v>Medium</v>
      </c>
      <c r="O1028" s="2" t="str">
        <f>IF(AND(Table1[[#This Row],[fixed acidity]]&gt;Sheet1!$C$4,Table1[[#This Row],[pH]]&lt;Sheet1!$K$4),"High","Normal")</f>
        <v>Normal</v>
      </c>
      <c r="P1028" s="1">
        <f>(Table1[[#This Row],[alcohol]]*2)+(Table1[[#This Row],[sulphates]]*1.5)-(Table1[[#This Row],[volatile acidity]]*2)</f>
        <v>25.419999999999998</v>
      </c>
      <c r="Q1028" s="1">
        <f>RANK(Table1[[#This Row],[Quality_score_index]],Table1[Quality_score_index],0)</f>
        <v>62</v>
      </c>
      <c r="R1028" s="1">
        <f>Table1[[#This Row],[total sulfur dioxide]]-Table1[[#This Row],[free sulfur dioxide]]</f>
        <v>22</v>
      </c>
      <c r="S1028" s="1" t="str">
        <f>IF(AND(Table1[[#This Row],[pH]]&gt;=3.2,Table1[[#This Row],[alcohol]]&gt;=10),"White wine","Red wine")</f>
        <v>White wine</v>
      </c>
    </row>
    <row r="1029" spans="1:19" x14ac:dyDescent="0.3">
      <c r="A1029" s="13">
        <v>1028</v>
      </c>
      <c r="B1029" s="1">
        <v>6.4</v>
      </c>
      <c r="C1029" s="1">
        <v>0.79500000000000004</v>
      </c>
      <c r="D1029" s="1">
        <v>0</v>
      </c>
      <c r="E1029" s="1">
        <v>2.2000000000000002</v>
      </c>
      <c r="F1029" s="1">
        <v>6.5000000000000002E-2</v>
      </c>
      <c r="G1029" s="1">
        <v>28</v>
      </c>
      <c r="H1029" s="1">
        <v>52</v>
      </c>
      <c r="I1029" s="1">
        <v>0.99378</v>
      </c>
      <c r="J1029" s="1">
        <v>3.49</v>
      </c>
      <c r="K1029" s="1">
        <v>0.52</v>
      </c>
      <c r="L1029" s="1">
        <v>11.6</v>
      </c>
      <c r="M1029" s="2">
        <v>5</v>
      </c>
      <c r="N1029" s="2" t="str" cm="1">
        <f t="array" ref="N1029">_xlfn.IFS(Table1[[#This Row],[quality]]&lt;=4,"Low",Table1[[#This Row],[quality]]&lt;=6,"Medium",Table1[[#This Row],[quality]]&gt;=7,"High")</f>
        <v>Medium</v>
      </c>
      <c r="O1029" s="2" t="str">
        <f>IF(AND(Table1[[#This Row],[fixed acidity]]&gt;Sheet1!$C$4,Table1[[#This Row],[pH]]&lt;Sheet1!$K$4),"High","Normal")</f>
        <v>Normal</v>
      </c>
      <c r="P1029" s="1">
        <f>(Table1[[#This Row],[alcohol]]*2)+(Table1[[#This Row],[sulphates]]*1.5)-(Table1[[#This Row],[volatile acidity]]*2)</f>
        <v>22.39</v>
      </c>
      <c r="Q1029" s="1">
        <f>RANK(Table1[[#This Row],[Quality_score_index]],Table1[Quality_score_index],0)</f>
        <v>393</v>
      </c>
      <c r="R1029" s="1">
        <f>Table1[[#This Row],[total sulfur dioxide]]-Table1[[#This Row],[free sulfur dioxide]]</f>
        <v>24</v>
      </c>
      <c r="S1029" s="1" t="str">
        <f>IF(AND(Table1[[#This Row],[pH]]&gt;=3.2,Table1[[#This Row],[alcohol]]&gt;=10),"White wine","Red wine")</f>
        <v>White wine</v>
      </c>
    </row>
    <row r="1030" spans="1:19" x14ac:dyDescent="0.3">
      <c r="A1030" s="13">
        <v>1029</v>
      </c>
      <c r="B1030" s="1">
        <v>7.2</v>
      </c>
      <c r="C1030" s="1">
        <v>0.34</v>
      </c>
      <c r="D1030" s="1">
        <v>0.21</v>
      </c>
      <c r="E1030" s="1">
        <v>2.5</v>
      </c>
      <c r="F1030" s="1">
        <v>7.4999999999999997E-2</v>
      </c>
      <c r="G1030" s="1">
        <v>41</v>
      </c>
      <c r="H1030" s="1">
        <v>68</v>
      </c>
      <c r="I1030" s="1">
        <v>0.99585999999999997</v>
      </c>
      <c r="J1030" s="1">
        <v>3.37</v>
      </c>
      <c r="K1030" s="1">
        <v>0.54</v>
      </c>
      <c r="L1030" s="1">
        <v>10.1</v>
      </c>
      <c r="M1030" s="2">
        <v>6</v>
      </c>
      <c r="N1030" s="2" t="str" cm="1">
        <f t="array" ref="N1030">_xlfn.IFS(Table1[[#This Row],[quality]]&lt;=4,"Low",Table1[[#This Row],[quality]]&lt;=6,"Medium",Table1[[#This Row],[quality]]&gt;=7,"High")</f>
        <v>Medium</v>
      </c>
      <c r="O1030" s="2" t="str">
        <f>IF(AND(Table1[[#This Row],[fixed acidity]]&gt;Sheet1!$C$4,Table1[[#This Row],[pH]]&lt;Sheet1!$K$4),"High","Normal")</f>
        <v>Normal</v>
      </c>
      <c r="P1030" s="1">
        <f>(Table1[[#This Row],[alcohol]]*2)+(Table1[[#This Row],[sulphates]]*1.5)-(Table1[[#This Row],[volatile acidity]]*2)</f>
        <v>20.329999999999998</v>
      </c>
      <c r="Q1030" s="1">
        <f>RANK(Table1[[#This Row],[Quality_score_index]],Table1[Quality_score_index],0)</f>
        <v>786</v>
      </c>
      <c r="R1030" s="1">
        <f>Table1[[#This Row],[total sulfur dioxide]]-Table1[[#This Row],[free sulfur dioxide]]</f>
        <v>27</v>
      </c>
      <c r="S1030" s="1" t="str">
        <f>IF(AND(Table1[[#This Row],[pH]]&gt;=3.2,Table1[[#This Row],[alcohol]]&gt;=10),"White wine","Red wine")</f>
        <v>White wine</v>
      </c>
    </row>
    <row r="1031" spans="1:19" x14ac:dyDescent="0.3">
      <c r="A1031" s="13">
        <v>1030</v>
      </c>
      <c r="B1031" s="1">
        <v>7.7</v>
      </c>
      <c r="C1031" s="1">
        <v>0.57999999999999996</v>
      </c>
      <c r="D1031" s="1">
        <v>0.01</v>
      </c>
      <c r="E1031" s="1">
        <v>1.8</v>
      </c>
      <c r="F1031" s="1">
        <v>8.7999999999999995E-2</v>
      </c>
      <c r="G1031" s="1">
        <v>12</v>
      </c>
      <c r="H1031" s="1">
        <v>18</v>
      </c>
      <c r="I1031" s="1">
        <v>0.99568000000000001</v>
      </c>
      <c r="J1031" s="1">
        <v>3.32</v>
      </c>
      <c r="K1031" s="1">
        <v>0.56000000000000005</v>
      </c>
      <c r="L1031" s="1">
        <v>10.5</v>
      </c>
      <c r="M1031" s="2">
        <v>7</v>
      </c>
      <c r="N1031" s="2" t="str" cm="1">
        <f t="array" ref="N1031">_xlfn.IFS(Table1[[#This Row],[quality]]&lt;=4,"Low",Table1[[#This Row],[quality]]&lt;=6,"Medium",Table1[[#This Row],[quality]]&gt;=7,"High")</f>
        <v>High</v>
      </c>
      <c r="O1031" s="2" t="str">
        <f>IF(AND(Table1[[#This Row],[fixed acidity]]&gt;Sheet1!$C$4,Table1[[#This Row],[pH]]&lt;Sheet1!$K$4),"High","Normal")</f>
        <v>Normal</v>
      </c>
      <c r="P1031" s="1">
        <f>(Table1[[#This Row],[alcohol]]*2)+(Table1[[#This Row],[sulphates]]*1.5)-(Table1[[#This Row],[volatile acidity]]*2)</f>
        <v>20.68</v>
      </c>
      <c r="Q1031" s="1">
        <f>RANK(Table1[[#This Row],[Quality_score_index]],Table1[Quality_score_index],0)</f>
        <v>728</v>
      </c>
      <c r="R1031" s="1">
        <f>Table1[[#This Row],[total sulfur dioxide]]-Table1[[#This Row],[free sulfur dioxide]]</f>
        <v>6</v>
      </c>
      <c r="S1031" s="1" t="str">
        <f>IF(AND(Table1[[#This Row],[pH]]&gt;=3.2,Table1[[#This Row],[alcohol]]&gt;=10),"White wine","Red wine")</f>
        <v>White wine</v>
      </c>
    </row>
    <row r="1032" spans="1:19" x14ac:dyDescent="0.3">
      <c r="A1032" s="13">
        <v>1031</v>
      </c>
      <c r="B1032" s="1">
        <v>7.1</v>
      </c>
      <c r="C1032" s="1">
        <v>0.59</v>
      </c>
      <c r="D1032" s="1">
        <v>0</v>
      </c>
      <c r="E1032" s="1">
        <v>2.1</v>
      </c>
      <c r="F1032" s="1">
        <v>9.0999999999999998E-2</v>
      </c>
      <c r="G1032" s="1">
        <v>9</v>
      </c>
      <c r="H1032" s="1">
        <v>14</v>
      </c>
      <c r="I1032" s="1">
        <v>0.99487999999999999</v>
      </c>
      <c r="J1032" s="1">
        <v>3.42</v>
      </c>
      <c r="K1032" s="1">
        <v>0.55000000000000004</v>
      </c>
      <c r="L1032" s="1">
        <v>11.5</v>
      </c>
      <c r="M1032" s="2">
        <v>7</v>
      </c>
      <c r="N1032" s="2" t="str" cm="1">
        <f t="array" ref="N1032">_xlfn.IFS(Table1[[#This Row],[quality]]&lt;=4,"Low",Table1[[#This Row],[quality]]&lt;=6,"Medium",Table1[[#This Row],[quality]]&gt;=7,"High")</f>
        <v>High</v>
      </c>
      <c r="O1032" s="2" t="str">
        <f>IF(AND(Table1[[#This Row],[fixed acidity]]&gt;Sheet1!$C$4,Table1[[#This Row],[pH]]&lt;Sheet1!$K$4),"High","Normal")</f>
        <v>Normal</v>
      </c>
      <c r="P1032" s="1">
        <f>(Table1[[#This Row],[alcohol]]*2)+(Table1[[#This Row],[sulphates]]*1.5)-(Table1[[#This Row],[volatile acidity]]*2)</f>
        <v>22.645</v>
      </c>
      <c r="Q1032" s="1">
        <f>RANK(Table1[[#This Row],[Quality_score_index]],Table1[Quality_score_index],0)</f>
        <v>338</v>
      </c>
      <c r="R1032" s="1">
        <f>Table1[[#This Row],[total sulfur dioxide]]-Table1[[#This Row],[free sulfur dioxide]]</f>
        <v>5</v>
      </c>
      <c r="S1032" s="1" t="str">
        <f>IF(AND(Table1[[#This Row],[pH]]&gt;=3.2,Table1[[#This Row],[alcohol]]&gt;=10),"White wine","Red wine")</f>
        <v>White wine</v>
      </c>
    </row>
    <row r="1033" spans="1:19" x14ac:dyDescent="0.3">
      <c r="A1033" s="13">
        <v>1032</v>
      </c>
      <c r="B1033" s="1">
        <v>7.3</v>
      </c>
      <c r="C1033" s="1">
        <v>0.55000000000000004</v>
      </c>
      <c r="D1033" s="1">
        <v>0.01</v>
      </c>
      <c r="E1033" s="1">
        <v>1.8</v>
      </c>
      <c r="F1033" s="1">
        <v>9.2999999999999999E-2</v>
      </c>
      <c r="G1033" s="1">
        <v>9</v>
      </c>
      <c r="H1033" s="1">
        <v>15</v>
      </c>
      <c r="I1033" s="1">
        <v>0.99514000000000002</v>
      </c>
      <c r="J1033" s="1">
        <v>3.35</v>
      </c>
      <c r="K1033" s="1">
        <v>0.57999999999999996</v>
      </c>
      <c r="L1033" s="1">
        <v>11</v>
      </c>
      <c r="M1033" s="2">
        <v>7</v>
      </c>
      <c r="N1033" s="2" t="str" cm="1">
        <f t="array" ref="N1033">_xlfn.IFS(Table1[[#This Row],[quality]]&lt;=4,"Low",Table1[[#This Row],[quality]]&lt;=6,"Medium",Table1[[#This Row],[quality]]&gt;=7,"High")</f>
        <v>High</v>
      </c>
      <c r="O1033" s="2" t="str">
        <f>IF(AND(Table1[[#This Row],[fixed acidity]]&gt;Sheet1!$C$4,Table1[[#This Row],[pH]]&lt;Sheet1!$K$4),"High","Normal")</f>
        <v>Normal</v>
      </c>
      <c r="P1033" s="1">
        <f>(Table1[[#This Row],[alcohol]]*2)+(Table1[[#This Row],[sulphates]]*1.5)-(Table1[[#This Row],[volatile acidity]]*2)</f>
        <v>21.77</v>
      </c>
      <c r="Q1033" s="1">
        <f>RANK(Table1[[#This Row],[Quality_score_index]],Table1[Quality_score_index],0)</f>
        <v>488</v>
      </c>
      <c r="R1033" s="1">
        <f>Table1[[#This Row],[total sulfur dioxide]]-Table1[[#This Row],[free sulfur dioxide]]</f>
        <v>6</v>
      </c>
      <c r="S1033" s="1" t="str">
        <f>IF(AND(Table1[[#This Row],[pH]]&gt;=3.2,Table1[[#This Row],[alcohol]]&gt;=10),"White wine","Red wine")</f>
        <v>White wine</v>
      </c>
    </row>
    <row r="1034" spans="1:19" x14ac:dyDescent="0.3">
      <c r="A1034" s="13">
        <v>1033</v>
      </c>
      <c r="B1034" s="1">
        <v>8.1</v>
      </c>
      <c r="C1034" s="1">
        <v>0.82</v>
      </c>
      <c r="D1034" s="1">
        <v>0</v>
      </c>
      <c r="E1034" s="1">
        <v>4.0999999999999996</v>
      </c>
      <c r="F1034" s="1">
        <v>9.5000000000000001E-2</v>
      </c>
      <c r="G1034" s="1">
        <v>5</v>
      </c>
      <c r="H1034" s="1">
        <v>14</v>
      </c>
      <c r="I1034" s="1">
        <v>0.99853999999999998</v>
      </c>
      <c r="J1034" s="1">
        <v>3.36</v>
      </c>
      <c r="K1034" s="1">
        <v>0.53</v>
      </c>
      <c r="L1034" s="1">
        <v>9.6</v>
      </c>
      <c r="M1034" s="2">
        <v>5</v>
      </c>
      <c r="N1034" s="2" t="str" cm="1">
        <f t="array" ref="N1034">_xlfn.IFS(Table1[[#This Row],[quality]]&lt;=4,"Low",Table1[[#This Row],[quality]]&lt;=6,"Medium",Table1[[#This Row],[quality]]&gt;=7,"High")</f>
        <v>Medium</v>
      </c>
      <c r="O1034" s="2" t="str">
        <f>IF(AND(Table1[[#This Row],[fixed acidity]]&gt;Sheet1!$C$4,Table1[[#This Row],[pH]]&lt;Sheet1!$K$4),"High","Normal")</f>
        <v>Normal</v>
      </c>
      <c r="P1034" s="1">
        <f>(Table1[[#This Row],[alcohol]]*2)+(Table1[[#This Row],[sulphates]]*1.5)-(Table1[[#This Row],[volatile acidity]]*2)</f>
        <v>18.355</v>
      </c>
      <c r="Q1034" s="1">
        <f>RANK(Table1[[#This Row],[Quality_score_index]],Table1[Quality_score_index],0)</f>
        <v>1432</v>
      </c>
      <c r="R1034" s="1">
        <f>Table1[[#This Row],[total sulfur dioxide]]-Table1[[#This Row],[free sulfur dioxide]]</f>
        <v>9</v>
      </c>
      <c r="S1034" s="1" t="str">
        <f>IF(AND(Table1[[#This Row],[pH]]&gt;=3.2,Table1[[#This Row],[alcohol]]&gt;=10),"White wine","Red wine")</f>
        <v>Red wine</v>
      </c>
    </row>
    <row r="1035" spans="1:19" x14ac:dyDescent="0.3">
      <c r="A1035" s="13">
        <v>1034</v>
      </c>
      <c r="B1035" s="1">
        <v>7.5</v>
      </c>
      <c r="C1035" s="1">
        <v>0.56999999999999995</v>
      </c>
      <c r="D1035" s="1">
        <v>0.08</v>
      </c>
      <c r="E1035" s="1">
        <v>2.6</v>
      </c>
      <c r="F1035" s="1">
        <v>8.8999999999999996E-2</v>
      </c>
      <c r="G1035" s="1">
        <v>14</v>
      </c>
      <c r="H1035" s="1">
        <v>27</v>
      </c>
      <c r="I1035" s="1">
        <v>0.99592000000000003</v>
      </c>
      <c r="J1035" s="1">
        <v>3.3</v>
      </c>
      <c r="K1035" s="1">
        <v>0.59</v>
      </c>
      <c r="L1035" s="1">
        <v>10.4</v>
      </c>
      <c r="M1035" s="2">
        <v>6</v>
      </c>
      <c r="N1035" s="2" t="str" cm="1">
        <f t="array" ref="N1035">_xlfn.IFS(Table1[[#This Row],[quality]]&lt;=4,"Low",Table1[[#This Row],[quality]]&lt;=6,"Medium",Table1[[#This Row],[quality]]&gt;=7,"High")</f>
        <v>Medium</v>
      </c>
      <c r="O1035" s="2" t="str">
        <f>IF(AND(Table1[[#This Row],[fixed acidity]]&gt;Sheet1!$C$4,Table1[[#This Row],[pH]]&lt;Sheet1!$K$4),"High","Normal")</f>
        <v>Normal</v>
      </c>
      <c r="P1035" s="1">
        <f>(Table1[[#This Row],[alcohol]]*2)+(Table1[[#This Row],[sulphates]]*1.5)-(Table1[[#This Row],[volatile acidity]]*2)</f>
        <v>20.545000000000002</v>
      </c>
      <c r="Q1035" s="1">
        <f>RANK(Table1[[#This Row],[Quality_score_index]],Table1[Quality_score_index],0)</f>
        <v>746</v>
      </c>
      <c r="R1035" s="1">
        <f>Table1[[#This Row],[total sulfur dioxide]]-Table1[[#This Row],[free sulfur dioxide]]</f>
        <v>13</v>
      </c>
      <c r="S1035" s="1" t="str">
        <f>IF(AND(Table1[[#This Row],[pH]]&gt;=3.2,Table1[[#This Row],[alcohol]]&gt;=10),"White wine","Red wine")</f>
        <v>White wine</v>
      </c>
    </row>
    <row r="1036" spans="1:19" x14ac:dyDescent="0.3">
      <c r="A1036" s="13">
        <v>1035</v>
      </c>
      <c r="B1036" s="1">
        <v>8.9</v>
      </c>
      <c r="C1036" s="1">
        <v>0.745</v>
      </c>
      <c r="D1036" s="1">
        <v>0.18</v>
      </c>
      <c r="E1036" s="1">
        <v>2.5</v>
      </c>
      <c r="F1036" s="1">
        <v>7.6999999999999999E-2</v>
      </c>
      <c r="G1036" s="1">
        <v>15</v>
      </c>
      <c r="H1036" s="1">
        <v>48</v>
      </c>
      <c r="I1036" s="1">
        <v>0.99739</v>
      </c>
      <c r="J1036" s="1">
        <v>3.2</v>
      </c>
      <c r="K1036" s="1">
        <v>0.47</v>
      </c>
      <c r="L1036" s="1">
        <v>9.6999999999999993</v>
      </c>
      <c r="M1036" s="2">
        <v>6</v>
      </c>
      <c r="N1036" s="2" t="str" cm="1">
        <f t="array" ref="N1036">_xlfn.IFS(Table1[[#This Row],[quality]]&lt;=4,"Low",Table1[[#This Row],[quality]]&lt;=6,"Medium",Table1[[#This Row],[quality]]&gt;=7,"High")</f>
        <v>Medium</v>
      </c>
      <c r="O1036" s="2" t="str">
        <f>IF(AND(Table1[[#This Row],[fixed acidity]]&gt;Sheet1!$C$4,Table1[[#This Row],[pH]]&lt;Sheet1!$K$4),"High","Normal")</f>
        <v>High</v>
      </c>
      <c r="P1036" s="1">
        <f>(Table1[[#This Row],[alcohol]]*2)+(Table1[[#This Row],[sulphates]]*1.5)-(Table1[[#This Row],[volatile acidity]]*2)</f>
        <v>18.614999999999998</v>
      </c>
      <c r="Q1036" s="1">
        <f>RANK(Table1[[#This Row],[Quality_score_index]],Table1[Quality_score_index],0)</f>
        <v>1338</v>
      </c>
      <c r="R1036" s="1">
        <f>Table1[[#This Row],[total sulfur dioxide]]-Table1[[#This Row],[free sulfur dioxide]]</f>
        <v>33</v>
      </c>
      <c r="S1036" s="1" t="str">
        <f>IF(AND(Table1[[#This Row],[pH]]&gt;=3.2,Table1[[#This Row],[alcohol]]&gt;=10),"White wine","Red wine")</f>
        <v>Red wine</v>
      </c>
    </row>
    <row r="1037" spans="1:19" x14ac:dyDescent="0.3">
      <c r="A1037" s="13">
        <v>1036</v>
      </c>
      <c r="B1037" s="1">
        <v>10.1</v>
      </c>
      <c r="C1037" s="1">
        <v>0.37</v>
      </c>
      <c r="D1037" s="1">
        <v>0.34</v>
      </c>
      <c r="E1037" s="1">
        <v>2.4</v>
      </c>
      <c r="F1037" s="1">
        <v>8.5000000000000006E-2</v>
      </c>
      <c r="G1037" s="1">
        <v>5</v>
      </c>
      <c r="H1037" s="1">
        <v>17</v>
      </c>
      <c r="I1037" s="1">
        <v>0.99682999999999999</v>
      </c>
      <c r="J1037" s="1">
        <v>3.17</v>
      </c>
      <c r="K1037" s="1">
        <v>0.65</v>
      </c>
      <c r="L1037" s="1">
        <v>10.6</v>
      </c>
      <c r="M1037" s="2">
        <v>7</v>
      </c>
      <c r="N1037" s="2" t="str" cm="1">
        <f t="array" ref="N1037">_xlfn.IFS(Table1[[#This Row],[quality]]&lt;=4,"Low",Table1[[#This Row],[quality]]&lt;=6,"Medium",Table1[[#This Row],[quality]]&gt;=7,"High")</f>
        <v>High</v>
      </c>
      <c r="O1037" s="2" t="str">
        <f>IF(AND(Table1[[#This Row],[fixed acidity]]&gt;Sheet1!$C$4,Table1[[#This Row],[pH]]&lt;Sheet1!$K$4),"High","Normal")</f>
        <v>High</v>
      </c>
      <c r="P1037" s="1">
        <f>(Table1[[#This Row],[alcohol]]*2)+(Table1[[#This Row],[sulphates]]*1.5)-(Table1[[#This Row],[volatile acidity]]*2)</f>
        <v>21.435000000000002</v>
      </c>
      <c r="Q1037" s="1">
        <f>RANK(Table1[[#This Row],[Quality_score_index]],Table1[Quality_score_index],0)</f>
        <v>552</v>
      </c>
      <c r="R1037" s="1">
        <f>Table1[[#This Row],[total sulfur dioxide]]-Table1[[#This Row],[free sulfur dioxide]]</f>
        <v>12</v>
      </c>
      <c r="S1037" s="1" t="str">
        <f>IF(AND(Table1[[#This Row],[pH]]&gt;=3.2,Table1[[#This Row],[alcohol]]&gt;=10),"White wine","Red wine")</f>
        <v>Red wine</v>
      </c>
    </row>
    <row r="1038" spans="1:19" x14ac:dyDescent="0.3">
      <c r="A1038" s="13">
        <v>1037</v>
      </c>
      <c r="B1038" s="1">
        <v>7.6</v>
      </c>
      <c r="C1038" s="1">
        <v>0.31</v>
      </c>
      <c r="D1038" s="1">
        <v>0.34</v>
      </c>
      <c r="E1038" s="1">
        <v>2.5</v>
      </c>
      <c r="F1038" s="1">
        <v>8.2000000000000003E-2</v>
      </c>
      <c r="G1038" s="1">
        <v>26</v>
      </c>
      <c r="H1038" s="1">
        <v>35</v>
      </c>
      <c r="I1038" s="1">
        <v>0.99356</v>
      </c>
      <c r="J1038" s="1">
        <v>3.22</v>
      </c>
      <c r="K1038" s="1">
        <v>0.59</v>
      </c>
      <c r="L1038" s="1">
        <v>12.5</v>
      </c>
      <c r="M1038" s="2">
        <v>7</v>
      </c>
      <c r="N1038" s="2" t="str" cm="1">
        <f t="array" ref="N1038">_xlfn.IFS(Table1[[#This Row],[quality]]&lt;=4,"Low",Table1[[#This Row],[quality]]&lt;=6,"Medium",Table1[[#This Row],[quality]]&gt;=7,"High")</f>
        <v>High</v>
      </c>
      <c r="O1038" s="2" t="str">
        <f>IF(AND(Table1[[#This Row],[fixed acidity]]&gt;Sheet1!$C$4,Table1[[#This Row],[pH]]&lt;Sheet1!$K$4),"High","Normal")</f>
        <v>Normal</v>
      </c>
      <c r="P1038" s="1">
        <f>(Table1[[#This Row],[alcohol]]*2)+(Table1[[#This Row],[sulphates]]*1.5)-(Table1[[#This Row],[volatile acidity]]*2)</f>
        <v>25.265000000000001</v>
      </c>
      <c r="Q1038" s="1">
        <f>RANK(Table1[[#This Row],[Quality_score_index]],Table1[Quality_score_index],0)</f>
        <v>74</v>
      </c>
      <c r="R1038" s="1">
        <f>Table1[[#This Row],[total sulfur dioxide]]-Table1[[#This Row],[free sulfur dioxide]]</f>
        <v>9</v>
      </c>
      <c r="S1038" s="1" t="str">
        <f>IF(AND(Table1[[#This Row],[pH]]&gt;=3.2,Table1[[#This Row],[alcohol]]&gt;=10),"White wine","Red wine")</f>
        <v>White wine</v>
      </c>
    </row>
    <row r="1039" spans="1:19" x14ac:dyDescent="0.3">
      <c r="A1039" s="13">
        <v>1038</v>
      </c>
      <c r="B1039" s="1">
        <v>7.3</v>
      </c>
      <c r="C1039" s="1">
        <v>0.91</v>
      </c>
      <c r="D1039" s="1">
        <v>0.1</v>
      </c>
      <c r="E1039" s="1">
        <v>1.8</v>
      </c>
      <c r="F1039" s="1">
        <v>7.3999999999999996E-2</v>
      </c>
      <c r="G1039" s="1">
        <v>20</v>
      </c>
      <c r="H1039" s="1">
        <v>56</v>
      </c>
      <c r="I1039" s="1">
        <v>0.99672000000000005</v>
      </c>
      <c r="J1039" s="1">
        <v>3.35</v>
      </c>
      <c r="K1039" s="1">
        <v>0.56000000000000005</v>
      </c>
      <c r="L1039" s="1">
        <v>9.1999999999999993</v>
      </c>
      <c r="M1039" s="2">
        <v>5</v>
      </c>
      <c r="N1039" s="2" t="str" cm="1">
        <f t="array" ref="N1039">_xlfn.IFS(Table1[[#This Row],[quality]]&lt;=4,"Low",Table1[[#This Row],[quality]]&lt;=6,"Medium",Table1[[#This Row],[quality]]&gt;=7,"High")</f>
        <v>Medium</v>
      </c>
      <c r="O1039" s="2" t="str">
        <f>IF(AND(Table1[[#This Row],[fixed acidity]]&gt;Sheet1!$C$4,Table1[[#This Row],[pH]]&lt;Sheet1!$K$4),"High","Normal")</f>
        <v>Normal</v>
      </c>
      <c r="P1039" s="1">
        <f>(Table1[[#This Row],[alcohol]]*2)+(Table1[[#This Row],[sulphates]]*1.5)-(Table1[[#This Row],[volatile acidity]]*2)</f>
        <v>17.419999999999998</v>
      </c>
      <c r="Q1039" s="1">
        <f>RANK(Table1[[#This Row],[Quality_score_index]],Table1[Quality_score_index],0)</f>
        <v>1588</v>
      </c>
      <c r="R1039" s="1">
        <f>Table1[[#This Row],[total sulfur dioxide]]-Table1[[#This Row],[free sulfur dioxide]]</f>
        <v>36</v>
      </c>
      <c r="S1039" s="1" t="str">
        <f>IF(AND(Table1[[#This Row],[pH]]&gt;=3.2,Table1[[#This Row],[alcohol]]&gt;=10),"White wine","Red wine")</f>
        <v>Red wine</v>
      </c>
    </row>
    <row r="1040" spans="1:19" x14ac:dyDescent="0.3">
      <c r="A1040" s="13">
        <v>1039</v>
      </c>
      <c r="B1040" s="1">
        <v>8.6999999999999993</v>
      </c>
      <c r="C1040" s="1">
        <v>0.41</v>
      </c>
      <c r="D1040" s="1">
        <v>0.41</v>
      </c>
      <c r="E1040" s="1">
        <v>6.2</v>
      </c>
      <c r="F1040" s="1">
        <v>7.8E-2</v>
      </c>
      <c r="G1040" s="1">
        <v>25</v>
      </c>
      <c r="H1040" s="1">
        <v>42</v>
      </c>
      <c r="I1040" s="1">
        <v>0.99529999999999996</v>
      </c>
      <c r="J1040" s="1">
        <v>3.24</v>
      </c>
      <c r="K1040" s="1">
        <v>0.77</v>
      </c>
      <c r="L1040" s="1">
        <v>12.6</v>
      </c>
      <c r="M1040" s="2">
        <v>7</v>
      </c>
      <c r="N1040" s="2" t="str" cm="1">
        <f t="array" ref="N1040">_xlfn.IFS(Table1[[#This Row],[quality]]&lt;=4,"Low",Table1[[#This Row],[quality]]&lt;=6,"Medium",Table1[[#This Row],[quality]]&gt;=7,"High")</f>
        <v>High</v>
      </c>
      <c r="O1040" s="2" t="str">
        <f>IF(AND(Table1[[#This Row],[fixed acidity]]&gt;Sheet1!$C$4,Table1[[#This Row],[pH]]&lt;Sheet1!$K$4),"High","Normal")</f>
        <v>High</v>
      </c>
      <c r="P1040" s="1">
        <f>(Table1[[#This Row],[alcohol]]*2)+(Table1[[#This Row],[sulphates]]*1.5)-(Table1[[#This Row],[volatile acidity]]*2)</f>
        <v>25.535</v>
      </c>
      <c r="Q1040" s="1">
        <f>RANK(Table1[[#This Row],[Quality_score_index]],Table1[Quality_score_index],0)</f>
        <v>50</v>
      </c>
      <c r="R1040" s="1">
        <f>Table1[[#This Row],[total sulfur dioxide]]-Table1[[#This Row],[free sulfur dioxide]]</f>
        <v>17</v>
      </c>
      <c r="S1040" s="1" t="str">
        <f>IF(AND(Table1[[#This Row],[pH]]&gt;=3.2,Table1[[#This Row],[alcohol]]&gt;=10),"White wine","Red wine")</f>
        <v>White wine</v>
      </c>
    </row>
    <row r="1041" spans="1:19" x14ac:dyDescent="0.3">
      <c r="A1041" s="13">
        <v>1040</v>
      </c>
      <c r="B1041" s="1">
        <v>8.9</v>
      </c>
      <c r="C1041" s="1">
        <v>0.5</v>
      </c>
      <c r="D1041" s="1">
        <v>0.21</v>
      </c>
      <c r="E1041" s="1">
        <v>2.2000000000000002</v>
      </c>
      <c r="F1041" s="1">
        <v>8.7999999999999995E-2</v>
      </c>
      <c r="G1041" s="1">
        <v>21</v>
      </c>
      <c r="H1041" s="1">
        <v>39</v>
      </c>
      <c r="I1041" s="1">
        <v>0.99692000000000003</v>
      </c>
      <c r="J1041" s="1">
        <v>3.33</v>
      </c>
      <c r="K1041" s="1">
        <v>0.83</v>
      </c>
      <c r="L1041" s="1">
        <v>11.1</v>
      </c>
      <c r="M1041" s="2">
        <v>6</v>
      </c>
      <c r="N1041" s="2" t="str" cm="1">
        <f t="array" ref="N1041">_xlfn.IFS(Table1[[#This Row],[quality]]&lt;=4,"Low",Table1[[#This Row],[quality]]&lt;=6,"Medium",Table1[[#This Row],[quality]]&gt;=7,"High")</f>
        <v>Medium</v>
      </c>
      <c r="O1041" s="2" t="str">
        <f>IF(AND(Table1[[#This Row],[fixed acidity]]&gt;Sheet1!$C$4,Table1[[#This Row],[pH]]&lt;Sheet1!$K$4),"High","Normal")</f>
        <v>Normal</v>
      </c>
      <c r="P1041" s="1">
        <f>(Table1[[#This Row],[alcohol]]*2)+(Table1[[#This Row],[sulphates]]*1.5)-(Table1[[#This Row],[volatile acidity]]*2)</f>
        <v>22.445</v>
      </c>
      <c r="Q1041" s="1">
        <f>RANK(Table1[[#This Row],[Quality_score_index]],Table1[Quality_score_index],0)</f>
        <v>381</v>
      </c>
      <c r="R1041" s="1">
        <f>Table1[[#This Row],[total sulfur dioxide]]-Table1[[#This Row],[free sulfur dioxide]]</f>
        <v>18</v>
      </c>
      <c r="S1041" s="1" t="str">
        <f>IF(AND(Table1[[#This Row],[pH]]&gt;=3.2,Table1[[#This Row],[alcohol]]&gt;=10),"White wine","Red wine")</f>
        <v>White wine</v>
      </c>
    </row>
    <row r="1042" spans="1:19" x14ac:dyDescent="0.3">
      <c r="A1042" s="13">
        <v>1041</v>
      </c>
      <c r="B1042" s="1">
        <v>7.4</v>
      </c>
      <c r="C1042" s="1">
        <v>0.96499999999999997</v>
      </c>
      <c r="D1042" s="1">
        <v>0</v>
      </c>
      <c r="E1042" s="1">
        <v>2.2000000000000002</v>
      </c>
      <c r="F1042" s="1">
        <v>8.7999999999999995E-2</v>
      </c>
      <c r="G1042" s="1">
        <v>16</v>
      </c>
      <c r="H1042" s="1">
        <v>32</v>
      </c>
      <c r="I1042" s="1">
        <v>0.99756</v>
      </c>
      <c r="J1042" s="1">
        <v>3.58</v>
      </c>
      <c r="K1042" s="1">
        <v>0.67</v>
      </c>
      <c r="L1042" s="1">
        <v>10.199999999999999</v>
      </c>
      <c r="M1042" s="2">
        <v>5</v>
      </c>
      <c r="N1042" s="2" t="str" cm="1">
        <f t="array" ref="N1042">_xlfn.IFS(Table1[[#This Row],[quality]]&lt;=4,"Low",Table1[[#This Row],[quality]]&lt;=6,"Medium",Table1[[#This Row],[quality]]&gt;=7,"High")</f>
        <v>Medium</v>
      </c>
      <c r="O1042" s="2" t="str">
        <f>IF(AND(Table1[[#This Row],[fixed acidity]]&gt;Sheet1!$C$4,Table1[[#This Row],[pH]]&lt;Sheet1!$K$4),"High","Normal")</f>
        <v>Normal</v>
      </c>
      <c r="P1042" s="1">
        <f>(Table1[[#This Row],[alcohol]]*2)+(Table1[[#This Row],[sulphates]]*1.5)-(Table1[[#This Row],[volatile acidity]]*2)</f>
        <v>19.474999999999998</v>
      </c>
      <c r="Q1042" s="1">
        <f>RANK(Table1[[#This Row],[Quality_score_index]],Table1[Quality_score_index],0)</f>
        <v>987</v>
      </c>
      <c r="R1042" s="1">
        <f>Table1[[#This Row],[total sulfur dioxide]]-Table1[[#This Row],[free sulfur dioxide]]</f>
        <v>16</v>
      </c>
      <c r="S1042" s="1" t="str">
        <f>IF(AND(Table1[[#This Row],[pH]]&gt;=3.2,Table1[[#This Row],[alcohol]]&gt;=10),"White wine","Red wine")</f>
        <v>White wine</v>
      </c>
    </row>
    <row r="1043" spans="1:19" x14ac:dyDescent="0.3">
      <c r="A1043" s="13">
        <v>1042</v>
      </c>
      <c r="B1043" s="1">
        <v>6.9</v>
      </c>
      <c r="C1043" s="1">
        <v>0.49</v>
      </c>
      <c r="D1043" s="1">
        <v>0.19</v>
      </c>
      <c r="E1043" s="1">
        <v>1.7</v>
      </c>
      <c r="F1043" s="1">
        <v>7.9000000000000001E-2</v>
      </c>
      <c r="G1043" s="1">
        <v>13</v>
      </c>
      <c r="H1043" s="1">
        <v>26</v>
      </c>
      <c r="I1043" s="1">
        <v>0.99546999999999997</v>
      </c>
      <c r="J1043" s="1">
        <v>3.38</v>
      </c>
      <c r="K1043" s="1">
        <v>0.64</v>
      </c>
      <c r="L1043" s="1">
        <v>9.8000000000000007</v>
      </c>
      <c r="M1043" s="2">
        <v>6</v>
      </c>
      <c r="N1043" s="2" t="str" cm="1">
        <f t="array" ref="N1043">_xlfn.IFS(Table1[[#This Row],[quality]]&lt;=4,"Low",Table1[[#This Row],[quality]]&lt;=6,"Medium",Table1[[#This Row],[quality]]&gt;=7,"High")</f>
        <v>Medium</v>
      </c>
      <c r="O1043" s="2" t="str">
        <f>IF(AND(Table1[[#This Row],[fixed acidity]]&gt;Sheet1!$C$4,Table1[[#This Row],[pH]]&lt;Sheet1!$K$4),"High","Normal")</f>
        <v>Normal</v>
      </c>
      <c r="P1043" s="1">
        <f>(Table1[[#This Row],[alcohol]]*2)+(Table1[[#This Row],[sulphates]]*1.5)-(Table1[[#This Row],[volatile acidity]]*2)</f>
        <v>19.580000000000002</v>
      </c>
      <c r="Q1043" s="1">
        <f>RANK(Table1[[#This Row],[Quality_score_index]],Table1[Quality_score_index],0)</f>
        <v>954</v>
      </c>
      <c r="R1043" s="1">
        <f>Table1[[#This Row],[total sulfur dioxide]]-Table1[[#This Row],[free sulfur dioxide]]</f>
        <v>13</v>
      </c>
      <c r="S1043" s="1" t="str">
        <f>IF(AND(Table1[[#This Row],[pH]]&gt;=3.2,Table1[[#This Row],[alcohol]]&gt;=10),"White wine","Red wine")</f>
        <v>Red wine</v>
      </c>
    </row>
    <row r="1044" spans="1:19" x14ac:dyDescent="0.3">
      <c r="A1044" s="13">
        <v>1043</v>
      </c>
      <c r="B1044" s="1">
        <v>8.9</v>
      </c>
      <c r="C1044" s="1">
        <v>0.5</v>
      </c>
      <c r="D1044" s="1">
        <v>0.21</v>
      </c>
      <c r="E1044" s="1">
        <v>2.2000000000000002</v>
      </c>
      <c r="F1044" s="1">
        <v>8.7999999999999995E-2</v>
      </c>
      <c r="G1044" s="1">
        <v>21</v>
      </c>
      <c r="H1044" s="1">
        <v>39</v>
      </c>
      <c r="I1044" s="1">
        <v>0.99692000000000003</v>
      </c>
      <c r="J1044" s="1">
        <v>3.33</v>
      </c>
      <c r="K1044" s="1">
        <v>0.83</v>
      </c>
      <c r="L1044" s="1">
        <v>11.1</v>
      </c>
      <c r="M1044" s="2">
        <v>6</v>
      </c>
      <c r="N1044" s="2" t="str" cm="1">
        <f t="array" ref="N1044">_xlfn.IFS(Table1[[#This Row],[quality]]&lt;=4,"Low",Table1[[#This Row],[quality]]&lt;=6,"Medium",Table1[[#This Row],[quality]]&gt;=7,"High")</f>
        <v>Medium</v>
      </c>
      <c r="O1044" s="2" t="str">
        <f>IF(AND(Table1[[#This Row],[fixed acidity]]&gt;Sheet1!$C$4,Table1[[#This Row],[pH]]&lt;Sheet1!$K$4),"High","Normal")</f>
        <v>Normal</v>
      </c>
      <c r="P1044" s="1">
        <f>(Table1[[#This Row],[alcohol]]*2)+(Table1[[#This Row],[sulphates]]*1.5)-(Table1[[#This Row],[volatile acidity]]*2)</f>
        <v>22.445</v>
      </c>
      <c r="Q1044" s="1">
        <f>RANK(Table1[[#This Row],[Quality_score_index]],Table1[Quality_score_index],0)</f>
        <v>381</v>
      </c>
      <c r="R1044" s="1">
        <f>Table1[[#This Row],[total sulfur dioxide]]-Table1[[#This Row],[free sulfur dioxide]]</f>
        <v>18</v>
      </c>
      <c r="S1044" s="1" t="str">
        <f>IF(AND(Table1[[#This Row],[pH]]&gt;=3.2,Table1[[#This Row],[alcohol]]&gt;=10),"White wine","Red wine")</f>
        <v>White wine</v>
      </c>
    </row>
    <row r="1045" spans="1:19" x14ac:dyDescent="0.3">
      <c r="A1045" s="13">
        <v>1044</v>
      </c>
      <c r="B1045" s="1">
        <v>9.5</v>
      </c>
      <c r="C1045" s="1">
        <v>0.39</v>
      </c>
      <c r="D1045" s="1">
        <v>0.41</v>
      </c>
      <c r="E1045" s="1">
        <v>8.9</v>
      </c>
      <c r="F1045" s="1">
        <v>6.9000000000000006E-2</v>
      </c>
      <c r="G1045" s="1">
        <v>18</v>
      </c>
      <c r="H1045" s="1">
        <v>39</v>
      </c>
      <c r="I1045" s="1">
        <v>0.99858999999999998</v>
      </c>
      <c r="J1045" s="1">
        <v>3.29</v>
      </c>
      <c r="K1045" s="1">
        <v>0.81</v>
      </c>
      <c r="L1045" s="1">
        <v>10.9</v>
      </c>
      <c r="M1045" s="2">
        <v>7</v>
      </c>
      <c r="N1045" s="2" t="str" cm="1">
        <f t="array" ref="N1045">_xlfn.IFS(Table1[[#This Row],[quality]]&lt;=4,"Low",Table1[[#This Row],[quality]]&lt;=6,"Medium",Table1[[#This Row],[quality]]&gt;=7,"High")</f>
        <v>High</v>
      </c>
      <c r="O1045" s="2" t="str">
        <f>IF(AND(Table1[[#This Row],[fixed acidity]]&gt;Sheet1!$C$4,Table1[[#This Row],[pH]]&lt;Sheet1!$K$4),"High","Normal")</f>
        <v>High</v>
      </c>
      <c r="P1045" s="1">
        <f>(Table1[[#This Row],[alcohol]]*2)+(Table1[[#This Row],[sulphates]]*1.5)-(Table1[[#This Row],[volatile acidity]]*2)</f>
        <v>22.234999999999999</v>
      </c>
      <c r="Q1045" s="1">
        <f>RANK(Table1[[#This Row],[Quality_score_index]],Table1[Quality_score_index],0)</f>
        <v>416</v>
      </c>
      <c r="R1045" s="1">
        <f>Table1[[#This Row],[total sulfur dioxide]]-Table1[[#This Row],[free sulfur dioxide]]</f>
        <v>21</v>
      </c>
      <c r="S1045" s="1" t="str">
        <f>IF(AND(Table1[[#This Row],[pH]]&gt;=3.2,Table1[[#This Row],[alcohol]]&gt;=10),"White wine","Red wine")</f>
        <v>White wine</v>
      </c>
    </row>
    <row r="1046" spans="1:19" x14ac:dyDescent="0.3">
      <c r="A1046" s="13">
        <v>1045</v>
      </c>
      <c r="B1046" s="1">
        <v>6.4</v>
      </c>
      <c r="C1046" s="1">
        <v>0.39</v>
      </c>
      <c r="D1046" s="1">
        <v>0.33</v>
      </c>
      <c r="E1046" s="1">
        <v>3.3</v>
      </c>
      <c r="F1046" s="1">
        <v>4.5999999999999999E-2</v>
      </c>
      <c r="G1046" s="1">
        <v>12</v>
      </c>
      <c r="H1046" s="1">
        <v>53</v>
      </c>
      <c r="I1046" s="1">
        <v>0.99294000000000004</v>
      </c>
      <c r="J1046" s="1">
        <v>3.36</v>
      </c>
      <c r="K1046" s="1">
        <v>0.62</v>
      </c>
      <c r="L1046" s="1">
        <v>12.2</v>
      </c>
      <c r="M1046" s="2">
        <v>6</v>
      </c>
      <c r="N1046" s="2" t="str" cm="1">
        <f t="array" ref="N1046">_xlfn.IFS(Table1[[#This Row],[quality]]&lt;=4,"Low",Table1[[#This Row],[quality]]&lt;=6,"Medium",Table1[[#This Row],[quality]]&gt;=7,"High")</f>
        <v>Medium</v>
      </c>
      <c r="O1046" s="2" t="str">
        <f>IF(AND(Table1[[#This Row],[fixed acidity]]&gt;Sheet1!$C$4,Table1[[#This Row],[pH]]&lt;Sheet1!$K$4),"High","Normal")</f>
        <v>Normal</v>
      </c>
      <c r="P1046" s="1">
        <f>(Table1[[#This Row],[alcohol]]*2)+(Table1[[#This Row],[sulphates]]*1.5)-(Table1[[#This Row],[volatile acidity]]*2)</f>
        <v>24.549999999999997</v>
      </c>
      <c r="Q1046" s="1">
        <f>RANK(Table1[[#This Row],[Quality_score_index]],Table1[Quality_score_index],0)</f>
        <v>125</v>
      </c>
      <c r="R1046" s="1">
        <f>Table1[[#This Row],[total sulfur dioxide]]-Table1[[#This Row],[free sulfur dioxide]]</f>
        <v>41</v>
      </c>
      <c r="S1046" s="1" t="str">
        <f>IF(AND(Table1[[#This Row],[pH]]&gt;=3.2,Table1[[#This Row],[alcohol]]&gt;=10),"White wine","Red wine")</f>
        <v>White wine</v>
      </c>
    </row>
    <row r="1047" spans="1:19" x14ac:dyDescent="0.3">
      <c r="A1047" s="13">
        <v>1046</v>
      </c>
      <c r="B1047" s="1">
        <v>6.9</v>
      </c>
      <c r="C1047" s="1">
        <v>0.44</v>
      </c>
      <c r="D1047" s="1">
        <v>0</v>
      </c>
      <c r="E1047" s="1">
        <v>1.4</v>
      </c>
      <c r="F1047" s="1">
        <v>7.0000000000000007E-2</v>
      </c>
      <c r="G1047" s="1">
        <v>32</v>
      </c>
      <c r="H1047" s="1">
        <v>38</v>
      </c>
      <c r="I1047" s="1">
        <v>0.99438000000000004</v>
      </c>
      <c r="J1047" s="1">
        <v>3.32</v>
      </c>
      <c r="K1047" s="1">
        <v>0.57999999999999996</v>
      </c>
      <c r="L1047" s="1">
        <v>11.4</v>
      </c>
      <c r="M1047" s="2">
        <v>6</v>
      </c>
      <c r="N1047" s="2" t="str" cm="1">
        <f t="array" ref="N1047">_xlfn.IFS(Table1[[#This Row],[quality]]&lt;=4,"Low",Table1[[#This Row],[quality]]&lt;=6,"Medium",Table1[[#This Row],[quality]]&gt;=7,"High")</f>
        <v>Medium</v>
      </c>
      <c r="O1047" s="2" t="str">
        <f>IF(AND(Table1[[#This Row],[fixed acidity]]&gt;Sheet1!$C$4,Table1[[#This Row],[pH]]&lt;Sheet1!$K$4),"High","Normal")</f>
        <v>Normal</v>
      </c>
      <c r="P1047" s="1">
        <f>(Table1[[#This Row],[alcohol]]*2)+(Table1[[#This Row],[sulphates]]*1.5)-(Table1[[#This Row],[volatile acidity]]*2)</f>
        <v>22.790000000000003</v>
      </c>
      <c r="Q1047" s="1">
        <f>RANK(Table1[[#This Row],[Quality_score_index]],Table1[Quality_score_index],0)</f>
        <v>314</v>
      </c>
      <c r="R1047" s="1">
        <f>Table1[[#This Row],[total sulfur dioxide]]-Table1[[#This Row],[free sulfur dioxide]]</f>
        <v>6</v>
      </c>
      <c r="S1047" s="1" t="str">
        <f>IF(AND(Table1[[#This Row],[pH]]&gt;=3.2,Table1[[#This Row],[alcohol]]&gt;=10),"White wine","Red wine")</f>
        <v>White wine</v>
      </c>
    </row>
    <row r="1048" spans="1:19" x14ac:dyDescent="0.3">
      <c r="A1048" s="13">
        <v>1047</v>
      </c>
      <c r="B1048" s="1">
        <v>7.6</v>
      </c>
      <c r="C1048" s="1">
        <v>0.78</v>
      </c>
      <c r="D1048" s="1">
        <v>0</v>
      </c>
      <c r="E1048" s="1">
        <v>1.7</v>
      </c>
      <c r="F1048" s="1">
        <v>7.5999999999999998E-2</v>
      </c>
      <c r="G1048" s="1">
        <v>33</v>
      </c>
      <c r="H1048" s="1">
        <v>45</v>
      </c>
      <c r="I1048" s="1">
        <v>0.99612000000000001</v>
      </c>
      <c r="J1048" s="1">
        <v>3.31</v>
      </c>
      <c r="K1048" s="1">
        <v>0.62</v>
      </c>
      <c r="L1048" s="1">
        <v>10.7</v>
      </c>
      <c r="M1048" s="2">
        <v>6</v>
      </c>
      <c r="N1048" s="2" t="str" cm="1">
        <f t="array" ref="N1048">_xlfn.IFS(Table1[[#This Row],[quality]]&lt;=4,"Low",Table1[[#This Row],[quality]]&lt;=6,"Medium",Table1[[#This Row],[quality]]&gt;=7,"High")</f>
        <v>Medium</v>
      </c>
      <c r="O1048" s="2" t="str">
        <f>IF(AND(Table1[[#This Row],[fixed acidity]]&gt;Sheet1!$C$4,Table1[[#This Row],[pH]]&lt;Sheet1!$K$4),"High","Normal")</f>
        <v>Normal</v>
      </c>
      <c r="P1048" s="1">
        <f>(Table1[[#This Row],[alcohol]]*2)+(Table1[[#This Row],[sulphates]]*1.5)-(Table1[[#This Row],[volatile acidity]]*2)</f>
        <v>20.77</v>
      </c>
      <c r="Q1048" s="1">
        <f>RANK(Table1[[#This Row],[Quality_score_index]],Table1[Quality_score_index],0)</f>
        <v>712</v>
      </c>
      <c r="R1048" s="1">
        <f>Table1[[#This Row],[total sulfur dioxide]]-Table1[[#This Row],[free sulfur dioxide]]</f>
        <v>12</v>
      </c>
      <c r="S1048" s="1" t="str">
        <f>IF(AND(Table1[[#This Row],[pH]]&gt;=3.2,Table1[[#This Row],[alcohol]]&gt;=10),"White wine","Red wine")</f>
        <v>White wine</v>
      </c>
    </row>
    <row r="1049" spans="1:19" x14ac:dyDescent="0.3">
      <c r="A1049" s="13">
        <v>1048</v>
      </c>
      <c r="B1049" s="1">
        <v>7.1</v>
      </c>
      <c r="C1049" s="1">
        <v>0.43</v>
      </c>
      <c r="D1049" s="1">
        <v>0.17</v>
      </c>
      <c r="E1049" s="1">
        <v>1.8</v>
      </c>
      <c r="F1049" s="1">
        <v>8.2000000000000003E-2</v>
      </c>
      <c r="G1049" s="1">
        <v>27</v>
      </c>
      <c r="H1049" s="1">
        <v>51</v>
      </c>
      <c r="I1049" s="1">
        <v>0.99634</v>
      </c>
      <c r="J1049" s="1">
        <v>3.49</v>
      </c>
      <c r="K1049" s="1">
        <v>0.64</v>
      </c>
      <c r="L1049" s="1">
        <v>10.4</v>
      </c>
      <c r="M1049" s="2">
        <v>5</v>
      </c>
      <c r="N1049" s="2" t="str" cm="1">
        <f t="array" ref="N1049">_xlfn.IFS(Table1[[#This Row],[quality]]&lt;=4,"Low",Table1[[#This Row],[quality]]&lt;=6,"Medium",Table1[[#This Row],[quality]]&gt;=7,"High")</f>
        <v>Medium</v>
      </c>
      <c r="O1049" s="2" t="str">
        <f>IF(AND(Table1[[#This Row],[fixed acidity]]&gt;Sheet1!$C$4,Table1[[#This Row],[pH]]&lt;Sheet1!$K$4),"High","Normal")</f>
        <v>Normal</v>
      </c>
      <c r="P1049" s="1">
        <f>(Table1[[#This Row],[alcohol]]*2)+(Table1[[#This Row],[sulphates]]*1.5)-(Table1[[#This Row],[volatile acidity]]*2)</f>
        <v>20.900000000000002</v>
      </c>
      <c r="Q1049" s="1">
        <f>RANK(Table1[[#This Row],[Quality_score_index]],Table1[Quality_score_index],0)</f>
        <v>673</v>
      </c>
      <c r="R1049" s="1">
        <f>Table1[[#This Row],[total sulfur dioxide]]-Table1[[#This Row],[free sulfur dioxide]]</f>
        <v>24</v>
      </c>
      <c r="S1049" s="1" t="str">
        <f>IF(AND(Table1[[#This Row],[pH]]&gt;=3.2,Table1[[#This Row],[alcohol]]&gt;=10),"White wine","Red wine")</f>
        <v>White wine</v>
      </c>
    </row>
    <row r="1050" spans="1:19" x14ac:dyDescent="0.3">
      <c r="A1050" s="13">
        <v>1049</v>
      </c>
      <c r="B1050" s="1">
        <v>9.3000000000000007</v>
      </c>
      <c r="C1050" s="1">
        <v>0.49</v>
      </c>
      <c r="D1050" s="1">
        <v>0.36</v>
      </c>
      <c r="E1050" s="1">
        <v>1.7</v>
      </c>
      <c r="F1050" s="1">
        <v>8.1000000000000003E-2</v>
      </c>
      <c r="G1050" s="1">
        <v>3</v>
      </c>
      <c r="H1050" s="1">
        <v>14</v>
      </c>
      <c r="I1050" s="1">
        <v>0.99702000000000002</v>
      </c>
      <c r="J1050" s="1">
        <v>3.27</v>
      </c>
      <c r="K1050" s="1">
        <v>0.78</v>
      </c>
      <c r="L1050" s="1">
        <v>10.9</v>
      </c>
      <c r="M1050" s="2">
        <v>6</v>
      </c>
      <c r="N1050" s="2" t="str" cm="1">
        <f t="array" ref="N1050">_xlfn.IFS(Table1[[#This Row],[quality]]&lt;=4,"Low",Table1[[#This Row],[quality]]&lt;=6,"Medium",Table1[[#This Row],[quality]]&gt;=7,"High")</f>
        <v>Medium</v>
      </c>
      <c r="O1050" s="2" t="str">
        <f>IF(AND(Table1[[#This Row],[fixed acidity]]&gt;Sheet1!$C$4,Table1[[#This Row],[pH]]&lt;Sheet1!$K$4),"High","Normal")</f>
        <v>High</v>
      </c>
      <c r="P1050" s="1">
        <f>(Table1[[#This Row],[alcohol]]*2)+(Table1[[#This Row],[sulphates]]*1.5)-(Table1[[#This Row],[volatile acidity]]*2)</f>
        <v>21.99</v>
      </c>
      <c r="Q1050" s="1">
        <f>RANK(Table1[[#This Row],[Quality_score_index]],Table1[Quality_score_index],0)</f>
        <v>457</v>
      </c>
      <c r="R1050" s="1">
        <f>Table1[[#This Row],[total sulfur dioxide]]-Table1[[#This Row],[free sulfur dioxide]]</f>
        <v>11</v>
      </c>
      <c r="S1050" s="1" t="str">
        <f>IF(AND(Table1[[#This Row],[pH]]&gt;=3.2,Table1[[#This Row],[alcohol]]&gt;=10),"White wine","Red wine")</f>
        <v>White wine</v>
      </c>
    </row>
    <row r="1051" spans="1:19" x14ac:dyDescent="0.3">
      <c r="A1051" s="13">
        <v>1050</v>
      </c>
      <c r="B1051" s="1">
        <v>9.3000000000000007</v>
      </c>
      <c r="C1051" s="1">
        <v>0.5</v>
      </c>
      <c r="D1051" s="1">
        <v>0.36</v>
      </c>
      <c r="E1051" s="1">
        <v>1.8</v>
      </c>
      <c r="F1051" s="1">
        <v>8.4000000000000005E-2</v>
      </c>
      <c r="G1051" s="1">
        <v>6</v>
      </c>
      <c r="H1051" s="1">
        <v>17</v>
      </c>
      <c r="I1051" s="1">
        <v>0.99704000000000004</v>
      </c>
      <c r="J1051" s="1">
        <v>3.27</v>
      </c>
      <c r="K1051" s="1">
        <v>0.77</v>
      </c>
      <c r="L1051" s="1">
        <v>10.8</v>
      </c>
      <c r="M1051" s="2">
        <v>6</v>
      </c>
      <c r="N1051" s="2" t="str" cm="1">
        <f t="array" ref="N1051">_xlfn.IFS(Table1[[#This Row],[quality]]&lt;=4,"Low",Table1[[#This Row],[quality]]&lt;=6,"Medium",Table1[[#This Row],[quality]]&gt;=7,"High")</f>
        <v>Medium</v>
      </c>
      <c r="O1051" s="2" t="str">
        <f>IF(AND(Table1[[#This Row],[fixed acidity]]&gt;Sheet1!$C$4,Table1[[#This Row],[pH]]&lt;Sheet1!$K$4),"High","Normal")</f>
        <v>High</v>
      </c>
      <c r="P1051" s="1">
        <f>(Table1[[#This Row],[alcohol]]*2)+(Table1[[#This Row],[sulphates]]*1.5)-(Table1[[#This Row],[volatile acidity]]*2)</f>
        <v>21.755000000000003</v>
      </c>
      <c r="Q1051" s="1">
        <f>RANK(Table1[[#This Row],[Quality_score_index]],Table1[Quality_score_index],0)</f>
        <v>494</v>
      </c>
      <c r="R1051" s="1">
        <f>Table1[[#This Row],[total sulfur dioxide]]-Table1[[#This Row],[free sulfur dioxide]]</f>
        <v>11</v>
      </c>
      <c r="S1051" s="1" t="str">
        <f>IF(AND(Table1[[#This Row],[pH]]&gt;=3.2,Table1[[#This Row],[alcohol]]&gt;=10),"White wine","Red wine")</f>
        <v>White wine</v>
      </c>
    </row>
    <row r="1052" spans="1:19" x14ac:dyDescent="0.3">
      <c r="A1052" s="13">
        <v>1051</v>
      </c>
      <c r="B1052" s="1">
        <v>7.1</v>
      </c>
      <c r="C1052" s="1">
        <v>0.43</v>
      </c>
      <c r="D1052" s="1">
        <v>0.17</v>
      </c>
      <c r="E1052" s="1">
        <v>1.8</v>
      </c>
      <c r="F1052" s="1">
        <v>8.2000000000000003E-2</v>
      </c>
      <c r="G1052" s="1">
        <v>27</v>
      </c>
      <c r="H1052" s="1">
        <v>51</v>
      </c>
      <c r="I1052" s="1">
        <v>0.99634</v>
      </c>
      <c r="J1052" s="1">
        <v>3.49</v>
      </c>
      <c r="K1052" s="1">
        <v>0.64</v>
      </c>
      <c r="L1052" s="1">
        <v>10.4</v>
      </c>
      <c r="M1052" s="2">
        <v>5</v>
      </c>
      <c r="N1052" s="2" t="str" cm="1">
        <f t="array" ref="N1052">_xlfn.IFS(Table1[[#This Row],[quality]]&lt;=4,"Low",Table1[[#This Row],[quality]]&lt;=6,"Medium",Table1[[#This Row],[quality]]&gt;=7,"High")</f>
        <v>Medium</v>
      </c>
      <c r="O1052" s="2" t="str">
        <f>IF(AND(Table1[[#This Row],[fixed acidity]]&gt;Sheet1!$C$4,Table1[[#This Row],[pH]]&lt;Sheet1!$K$4),"High","Normal")</f>
        <v>Normal</v>
      </c>
      <c r="P1052" s="1">
        <f>(Table1[[#This Row],[alcohol]]*2)+(Table1[[#This Row],[sulphates]]*1.5)-(Table1[[#This Row],[volatile acidity]]*2)</f>
        <v>20.900000000000002</v>
      </c>
      <c r="Q1052" s="1">
        <f>RANK(Table1[[#This Row],[Quality_score_index]],Table1[Quality_score_index],0)</f>
        <v>673</v>
      </c>
      <c r="R1052" s="1">
        <f>Table1[[#This Row],[total sulfur dioxide]]-Table1[[#This Row],[free sulfur dioxide]]</f>
        <v>24</v>
      </c>
      <c r="S1052" s="1" t="str">
        <f>IF(AND(Table1[[#This Row],[pH]]&gt;=3.2,Table1[[#This Row],[alcohol]]&gt;=10),"White wine","Red wine")</f>
        <v>White wine</v>
      </c>
    </row>
    <row r="1053" spans="1:19" x14ac:dyDescent="0.3">
      <c r="A1053" s="13">
        <v>1052</v>
      </c>
      <c r="B1053" s="1">
        <v>8.5</v>
      </c>
      <c r="C1053" s="1">
        <v>0.46</v>
      </c>
      <c r="D1053" s="1">
        <v>0.59</v>
      </c>
      <c r="E1053" s="1">
        <v>1.4</v>
      </c>
      <c r="F1053" s="1">
        <v>0.41399999999999998</v>
      </c>
      <c r="G1053" s="1">
        <v>16</v>
      </c>
      <c r="H1053" s="1">
        <v>45</v>
      </c>
      <c r="I1053" s="1">
        <v>0.99702000000000002</v>
      </c>
      <c r="J1053" s="1">
        <v>3.03</v>
      </c>
      <c r="K1053" s="1">
        <v>1.34</v>
      </c>
      <c r="L1053" s="1">
        <v>9.1999999999999993</v>
      </c>
      <c r="M1053" s="2">
        <v>5</v>
      </c>
      <c r="N1053" s="2" t="str" cm="1">
        <f t="array" ref="N1053">_xlfn.IFS(Table1[[#This Row],[quality]]&lt;=4,"Low",Table1[[#This Row],[quality]]&lt;=6,"Medium",Table1[[#This Row],[quality]]&gt;=7,"High")</f>
        <v>Medium</v>
      </c>
      <c r="O1053" s="2" t="str">
        <f>IF(AND(Table1[[#This Row],[fixed acidity]]&gt;Sheet1!$C$4,Table1[[#This Row],[pH]]&lt;Sheet1!$K$4),"High","Normal")</f>
        <v>High</v>
      </c>
      <c r="P1053" s="1">
        <f>(Table1[[#This Row],[alcohol]]*2)+(Table1[[#This Row],[sulphates]]*1.5)-(Table1[[#This Row],[volatile acidity]]*2)</f>
        <v>19.489999999999998</v>
      </c>
      <c r="Q1053" s="1">
        <f>RANK(Table1[[#This Row],[Quality_score_index]],Table1[Quality_score_index],0)</f>
        <v>974</v>
      </c>
      <c r="R1053" s="1">
        <f>Table1[[#This Row],[total sulfur dioxide]]-Table1[[#This Row],[free sulfur dioxide]]</f>
        <v>29</v>
      </c>
      <c r="S1053" s="1" t="str">
        <f>IF(AND(Table1[[#This Row],[pH]]&gt;=3.2,Table1[[#This Row],[alcohol]]&gt;=10),"White wine","Red wine")</f>
        <v>Red wine</v>
      </c>
    </row>
    <row r="1054" spans="1:19" x14ac:dyDescent="0.3">
      <c r="A1054" s="13">
        <v>1053</v>
      </c>
      <c r="B1054" s="1">
        <v>5.6</v>
      </c>
      <c r="C1054" s="1">
        <v>0.60499999999999998</v>
      </c>
      <c r="D1054" s="1">
        <v>0.05</v>
      </c>
      <c r="E1054" s="1">
        <v>2.4</v>
      </c>
      <c r="F1054" s="1">
        <v>7.2999999999999995E-2</v>
      </c>
      <c r="G1054" s="1">
        <v>19</v>
      </c>
      <c r="H1054" s="1">
        <v>25</v>
      </c>
      <c r="I1054" s="1">
        <v>0.99258000000000002</v>
      </c>
      <c r="J1054" s="1">
        <v>3.56</v>
      </c>
      <c r="K1054" s="1">
        <v>0.55000000000000004</v>
      </c>
      <c r="L1054" s="1">
        <v>12.9</v>
      </c>
      <c r="M1054" s="2">
        <v>5</v>
      </c>
      <c r="N1054" s="2" t="str" cm="1">
        <f t="array" ref="N1054">_xlfn.IFS(Table1[[#This Row],[quality]]&lt;=4,"Low",Table1[[#This Row],[quality]]&lt;=6,"Medium",Table1[[#This Row],[quality]]&gt;=7,"High")</f>
        <v>Medium</v>
      </c>
      <c r="O1054" s="2" t="str">
        <f>IF(AND(Table1[[#This Row],[fixed acidity]]&gt;Sheet1!$C$4,Table1[[#This Row],[pH]]&lt;Sheet1!$K$4),"High","Normal")</f>
        <v>Normal</v>
      </c>
      <c r="P1054" s="1">
        <f>(Table1[[#This Row],[alcohol]]*2)+(Table1[[#This Row],[sulphates]]*1.5)-(Table1[[#This Row],[volatile acidity]]*2)</f>
        <v>25.414999999999999</v>
      </c>
      <c r="Q1054" s="1">
        <f>RANK(Table1[[#This Row],[Quality_score_index]],Table1[Quality_score_index],0)</f>
        <v>63</v>
      </c>
      <c r="R1054" s="1">
        <f>Table1[[#This Row],[total sulfur dioxide]]-Table1[[#This Row],[free sulfur dioxide]]</f>
        <v>6</v>
      </c>
      <c r="S1054" s="1" t="str">
        <f>IF(AND(Table1[[#This Row],[pH]]&gt;=3.2,Table1[[#This Row],[alcohol]]&gt;=10),"White wine","Red wine")</f>
        <v>White wine</v>
      </c>
    </row>
    <row r="1055" spans="1:19" x14ac:dyDescent="0.3">
      <c r="A1055" s="13">
        <v>1054</v>
      </c>
      <c r="B1055" s="1">
        <v>8.3000000000000007</v>
      </c>
      <c r="C1055" s="1">
        <v>0.33</v>
      </c>
      <c r="D1055" s="1">
        <v>0.42</v>
      </c>
      <c r="E1055" s="1">
        <v>2.2999999999999998</v>
      </c>
      <c r="F1055" s="1">
        <v>7.0000000000000007E-2</v>
      </c>
      <c r="G1055" s="1">
        <v>9</v>
      </c>
      <c r="H1055" s="1">
        <v>20</v>
      </c>
      <c r="I1055" s="1">
        <v>0.99426000000000003</v>
      </c>
      <c r="J1055" s="1">
        <v>3.38</v>
      </c>
      <c r="K1055" s="1">
        <v>0.77</v>
      </c>
      <c r="L1055" s="1">
        <v>12.7</v>
      </c>
      <c r="M1055" s="2">
        <v>7</v>
      </c>
      <c r="N1055" s="2" t="str" cm="1">
        <f t="array" ref="N1055">_xlfn.IFS(Table1[[#This Row],[quality]]&lt;=4,"Low",Table1[[#This Row],[quality]]&lt;=6,"Medium",Table1[[#This Row],[quality]]&gt;=7,"High")</f>
        <v>High</v>
      </c>
      <c r="O1055" s="2" t="str">
        <f>IF(AND(Table1[[#This Row],[fixed acidity]]&gt;Sheet1!$C$4,Table1[[#This Row],[pH]]&lt;Sheet1!$K$4),"High","Normal")</f>
        <v>Normal</v>
      </c>
      <c r="P1055" s="1">
        <f>(Table1[[#This Row],[alcohol]]*2)+(Table1[[#This Row],[sulphates]]*1.5)-(Table1[[#This Row],[volatile acidity]]*2)</f>
        <v>25.895</v>
      </c>
      <c r="Q1055" s="1">
        <f>RANK(Table1[[#This Row],[Quality_score_index]],Table1[Quality_score_index],0)</f>
        <v>37</v>
      </c>
      <c r="R1055" s="1">
        <f>Table1[[#This Row],[total sulfur dioxide]]-Table1[[#This Row],[free sulfur dioxide]]</f>
        <v>11</v>
      </c>
      <c r="S1055" s="1" t="str">
        <f>IF(AND(Table1[[#This Row],[pH]]&gt;=3.2,Table1[[#This Row],[alcohol]]&gt;=10),"White wine","Red wine")</f>
        <v>White wine</v>
      </c>
    </row>
    <row r="1056" spans="1:19" x14ac:dyDescent="0.3">
      <c r="A1056" s="13">
        <v>1055</v>
      </c>
      <c r="B1056" s="1">
        <v>8.1999999999999993</v>
      </c>
      <c r="C1056" s="1">
        <v>0.64</v>
      </c>
      <c r="D1056" s="1">
        <v>0.27</v>
      </c>
      <c r="E1056" s="1">
        <v>2</v>
      </c>
      <c r="F1056" s="1">
        <v>9.5000000000000001E-2</v>
      </c>
      <c r="G1056" s="1">
        <v>5</v>
      </c>
      <c r="H1056" s="1">
        <v>77</v>
      </c>
      <c r="I1056" s="1">
        <v>0.99746999999999997</v>
      </c>
      <c r="J1056" s="1">
        <v>3.13</v>
      </c>
      <c r="K1056" s="1">
        <v>0.62</v>
      </c>
      <c r="L1056" s="1">
        <v>9.1</v>
      </c>
      <c r="M1056" s="2">
        <v>6</v>
      </c>
      <c r="N1056" s="2" t="str" cm="1">
        <f t="array" ref="N1056">_xlfn.IFS(Table1[[#This Row],[quality]]&lt;=4,"Low",Table1[[#This Row],[quality]]&lt;=6,"Medium",Table1[[#This Row],[quality]]&gt;=7,"High")</f>
        <v>Medium</v>
      </c>
      <c r="O1056" s="2" t="str">
        <f>IF(AND(Table1[[#This Row],[fixed acidity]]&gt;Sheet1!$C$4,Table1[[#This Row],[pH]]&lt;Sheet1!$K$4),"High","Normal")</f>
        <v>Normal</v>
      </c>
      <c r="P1056" s="1">
        <f>(Table1[[#This Row],[alcohol]]*2)+(Table1[[#This Row],[sulphates]]*1.5)-(Table1[[#This Row],[volatile acidity]]*2)</f>
        <v>17.849999999999998</v>
      </c>
      <c r="Q1056" s="1">
        <f>RANK(Table1[[#This Row],[Quality_score_index]],Table1[Quality_score_index],0)</f>
        <v>1544</v>
      </c>
      <c r="R1056" s="1">
        <f>Table1[[#This Row],[total sulfur dioxide]]-Table1[[#This Row],[free sulfur dioxide]]</f>
        <v>72</v>
      </c>
      <c r="S1056" s="1" t="str">
        <f>IF(AND(Table1[[#This Row],[pH]]&gt;=3.2,Table1[[#This Row],[alcohol]]&gt;=10),"White wine","Red wine")</f>
        <v>Red wine</v>
      </c>
    </row>
    <row r="1057" spans="1:19" x14ac:dyDescent="0.3">
      <c r="A1057" s="13">
        <v>1056</v>
      </c>
      <c r="B1057" s="1">
        <v>8.1999999999999993</v>
      </c>
      <c r="C1057" s="1">
        <v>0.64</v>
      </c>
      <c r="D1057" s="1">
        <v>0.27</v>
      </c>
      <c r="E1057" s="1">
        <v>2</v>
      </c>
      <c r="F1057" s="1">
        <v>9.5000000000000001E-2</v>
      </c>
      <c r="G1057" s="1">
        <v>5</v>
      </c>
      <c r="H1057" s="1">
        <v>77</v>
      </c>
      <c r="I1057" s="1">
        <v>0.99746999999999997</v>
      </c>
      <c r="J1057" s="1">
        <v>3.13</v>
      </c>
      <c r="K1057" s="1">
        <v>0.62</v>
      </c>
      <c r="L1057" s="1">
        <v>9.1</v>
      </c>
      <c r="M1057" s="2">
        <v>6</v>
      </c>
      <c r="N1057" s="2" t="str" cm="1">
        <f t="array" ref="N1057">_xlfn.IFS(Table1[[#This Row],[quality]]&lt;=4,"Low",Table1[[#This Row],[quality]]&lt;=6,"Medium",Table1[[#This Row],[quality]]&gt;=7,"High")</f>
        <v>Medium</v>
      </c>
      <c r="O1057" s="2" t="str">
        <f>IF(AND(Table1[[#This Row],[fixed acidity]]&gt;Sheet1!$C$4,Table1[[#This Row],[pH]]&lt;Sheet1!$K$4),"High","Normal")</f>
        <v>Normal</v>
      </c>
      <c r="P1057" s="1">
        <f>(Table1[[#This Row],[alcohol]]*2)+(Table1[[#This Row],[sulphates]]*1.5)-(Table1[[#This Row],[volatile acidity]]*2)</f>
        <v>17.849999999999998</v>
      </c>
      <c r="Q1057" s="1">
        <f>RANK(Table1[[#This Row],[Quality_score_index]],Table1[Quality_score_index],0)</f>
        <v>1544</v>
      </c>
      <c r="R1057" s="1">
        <f>Table1[[#This Row],[total sulfur dioxide]]-Table1[[#This Row],[free sulfur dioxide]]</f>
        <v>72</v>
      </c>
      <c r="S1057" s="1" t="str">
        <f>IF(AND(Table1[[#This Row],[pH]]&gt;=3.2,Table1[[#This Row],[alcohol]]&gt;=10),"White wine","Red wine")</f>
        <v>Red wine</v>
      </c>
    </row>
    <row r="1058" spans="1:19" x14ac:dyDescent="0.3">
      <c r="A1058" s="13">
        <v>1057</v>
      </c>
      <c r="B1058" s="1">
        <v>8.9</v>
      </c>
      <c r="C1058" s="1">
        <v>0.48</v>
      </c>
      <c r="D1058" s="1">
        <v>0.53</v>
      </c>
      <c r="E1058" s="1">
        <v>4</v>
      </c>
      <c r="F1058" s="1">
        <v>0.10100000000000001</v>
      </c>
      <c r="G1058" s="1">
        <v>3</v>
      </c>
      <c r="H1058" s="1">
        <v>10</v>
      </c>
      <c r="I1058" s="1">
        <v>0.99585999999999997</v>
      </c>
      <c r="J1058" s="1">
        <v>3.21</v>
      </c>
      <c r="K1058" s="1">
        <v>0.59</v>
      </c>
      <c r="L1058" s="1">
        <v>12.1</v>
      </c>
      <c r="M1058" s="2">
        <v>7</v>
      </c>
      <c r="N1058" s="2" t="str" cm="1">
        <f t="array" ref="N1058">_xlfn.IFS(Table1[[#This Row],[quality]]&lt;=4,"Low",Table1[[#This Row],[quality]]&lt;=6,"Medium",Table1[[#This Row],[quality]]&gt;=7,"High")</f>
        <v>High</v>
      </c>
      <c r="O1058" s="2" t="str">
        <f>IF(AND(Table1[[#This Row],[fixed acidity]]&gt;Sheet1!$C$4,Table1[[#This Row],[pH]]&lt;Sheet1!$K$4),"High","Normal")</f>
        <v>High</v>
      </c>
      <c r="P1058" s="1">
        <f>(Table1[[#This Row],[alcohol]]*2)+(Table1[[#This Row],[sulphates]]*1.5)-(Table1[[#This Row],[volatile acidity]]*2)</f>
        <v>24.125</v>
      </c>
      <c r="Q1058" s="1">
        <f>RANK(Table1[[#This Row],[Quality_score_index]],Table1[Quality_score_index],0)</f>
        <v>165</v>
      </c>
      <c r="R1058" s="1">
        <f>Table1[[#This Row],[total sulfur dioxide]]-Table1[[#This Row],[free sulfur dioxide]]</f>
        <v>7</v>
      </c>
      <c r="S1058" s="1" t="str">
        <f>IF(AND(Table1[[#This Row],[pH]]&gt;=3.2,Table1[[#This Row],[alcohol]]&gt;=10),"White wine","Red wine")</f>
        <v>White wine</v>
      </c>
    </row>
    <row r="1059" spans="1:19" x14ac:dyDescent="0.3">
      <c r="A1059" s="13">
        <v>1058</v>
      </c>
      <c r="B1059" s="1">
        <v>7.6</v>
      </c>
      <c r="C1059" s="1">
        <v>0.42</v>
      </c>
      <c r="D1059" s="1">
        <v>0.25</v>
      </c>
      <c r="E1059" s="1">
        <v>3.9</v>
      </c>
      <c r="F1059" s="1">
        <v>0.104</v>
      </c>
      <c r="G1059" s="1">
        <v>28</v>
      </c>
      <c r="H1059" s="1">
        <v>90</v>
      </c>
      <c r="I1059" s="1">
        <v>0.99783999999999995</v>
      </c>
      <c r="J1059" s="1">
        <v>3.15</v>
      </c>
      <c r="K1059" s="1">
        <v>0.56999999999999995</v>
      </c>
      <c r="L1059" s="1">
        <v>9.1</v>
      </c>
      <c r="M1059" s="2">
        <v>5</v>
      </c>
      <c r="N1059" s="2" t="str" cm="1">
        <f t="array" ref="N1059">_xlfn.IFS(Table1[[#This Row],[quality]]&lt;=4,"Low",Table1[[#This Row],[quality]]&lt;=6,"Medium",Table1[[#This Row],[quality]]&gt;=7,"High")</f>
        <v>Medium</v>
      </c>
      <c r="O1059" s="2" t="str">
        <f>IF(AND(Table1[[#This Row],[fixed acidity]]&gt;Sheet1!$C$4,Table1[[#This Row],[pH]]&lt;Sheet1!$K$4),"High","Normal")</f>
        <v>Normal</v>
      </c>
      <c r="P1059" s="1">
        <f>(Table1[[#This Row],[alcohol]]*2)+(Table1[[#This Row],[sulphates]]*1.5)-(Table1[[#This Row],[volatile acidity]]*2)</f>
        <v>18.215</v>
      </c>
      <c r="Q1059" s="1">
        <f>RANK(Table1[[#This Row],[Quality_score_index]],Table1[Quality_score_index],0)</f>
        <v>1479</v>
      </c>
      <c r="R1059" s="1">
        <f>Table1[[#This Row],[total sulfur dioxide]]-Table1[[#This Row],[free sulfur dioxide]]</f>
        <v>62</v>
      </c>
      <c r="S1059" s="1" t="str">
        <f>IF(AND(Table1[[#This Row],[pH]]&gt;=3.2,Table1[[#This Row],[alcohol]]&gt;=10),"White wine","Red wine")</f>
        <v>Red wine</v>
      </c>
    </row>
    <row r="1060" spans="1:19" x14ac:dyDescent="0.3">
      <c r="A1060" s="13">
        <v>1059</v>
      </c>
      <c r="B1060" s="1">
        <v>9.9</v>
      </c>
      <c r="C1060" s="1">
        <v>0.53</v>
      </c>
      <c r="D1060" s="1">
        <v>0.56999999999999995</v>
      </c>
      <c r="E1060" s="1">
        <v>2.4</v>
      </c>
      <c r="F1060" s="1">
        <v>9.2999999999999999E-2</v>
      </c>
      <c r="G1060" s="1">
        <v>30</v>
      </c>
      <c r="H1060" s="1">
        <v>52</v>
      </c>
      <c r="I1060" s="1">
        <v>0.99709999999999999</v>
      </c>
      <c r="J1060" s="1">
        <v>3.19</v>
      </c>
      <c r="K1060" s="1">
        <v>0.76</v>
      </c>
      <c r="L1060" s="1">
        <v>11.6</v>
      </c>
      <c r="M1060" s="2">
        <v>7</v>
      </c>
      <c r="N1060" s="2" t="str" cm="1">
        <f t="array" ref="N1060">_xlfn.IFS(Table1[[#This Row],[quality]]&lt;=4,"Low",Table1[[#This Row],[quality]]&lt;=6,"Medium",Table1[[#This Row],[quality]]&gt;=7,"High")</f>
        <v>High</v>
      </c>
      <c r="O1060" s="2" t="str">
        <f>IF(AND(Table1[[#This Row],[fixed acidity]]&gt;Sheet1!$C$4,Table1[[#This Row],[pH]]&lt;Sheet1!$K$4),"High","Normal")</f>
        <v>High</v>
      </c>
      <c r="P1060" s="1">
        <f>(Table1[[#This Row],[alcohol]]*2)+(Table1[[#This Row],[sulphates]]*1.5)-(Table1[[#This Row],[volatile acidity]]*2)</f>
        <v>23.28</v>
      </c>
      <c r="Q1060" s="1">
        <f>RANK(Table1[[#This Row],[Quality_score_index]],Table1[Quality_score_index],0)</f>
        <v>235</v>
      </c>
      <c r="R1060" s="1">
        <f>Table1[[#This Row],[total sulfur dioxide]]-Table1[[#This Row],[free sulfur dioxide]]</f>
        <v>22</v>
      </c>
      <c r="S1060" s="1" t="str">
        <f>IF(AND(Table1[[#This Row],[pH]]&gt;=3.2,Table1[[#This Row],[alcohol]]&gt;=10),"White wine","Red wine")</f>
        <v>Red wine</v>
      </c>
    </row>
    <row r="1061" spans="1:19" x14ac:dyDescent="0.3">
      <c r="A1061" s="13">
        <v>1060</v>
      </c>
      <c r="B1061" s="1">
        <v>8.9</v>
      </c>
      <c r="C1061" s="1">
        <v>0.48</v>
      </c>
      <c r="D1061" s="1">
        <v>0.53</v>
      </c>
      <c r="E1061" s="1">
        <v>4</v>
      </c>
      <c r="F1061" s="1">
        <v>0.10100000000000001</v>
      </c>
      <c r="G1061" s="1">
        <v>3</v>
      </c>
      <c r="H1061" s="1">
        <v>10</v>
      </c>
      <c r="I1061" s="1">
        <v>0.99585999999999997</v>
      </c>
      <c r="J1061" s="1">
        <v>3.21</v>
      </c>
      <c r="K1061" s="1">
        <v>0.59</v>
      </c>
      <c r="L1061" s="1">
        <v>12.1</v>
      </c>
      <c r="M1061" s="2">
        <v>7</v>
      </c>
      <c r="N1061" s="2" t="str" cm="1">
        <f t="array" ref="N1061">_xlfn.IFS(Table1[[#This Row],[quality]]&lt;=4,"Low",Table1[[#This Row],[quality]]&lt;=6,"Medium",Table1[[#This Row],[quality]]&gt;=7,"High")</f>
        <v>High</v>
      </c>
      <c r="O1061" s="2" t="str">
        <f>IF(AND(Table1[[#This Row],[fixed acidity]]&gt;Sheet1!$C$4,Table1[[#This Row],[pH]]&lt;Sheet1!$K$4),"High","Normal")</f>
        <v>High</v>
      </c>
      <c r="P1061" s="1">
        <f>(Table1[[#This Row],[alcohol]]*2)+(Table1[[#This Row],[sulphates]]*1.5)-(Table1[[#This Row],[volatile acidity]]*2)</f>
        <v>24.125</v>
      </c>
      <c r="Q1061" s="1">
        <f>RANK(Table1[[#This Row],[Quality_score_index]],Table1[Quality_score_index],0)</f>
        <v>165</v>
      </c>
      <c r="R1061" s="1">
        <f>Table1[[#This Row],[total sulfur dioxide]]-Table1[[#This Row],[free sulfur dioxide]]</f>
        <v>7</v>
      </c>
      <c r="S1061" s="1" t="str">
        <f>IF(AND(Table1[[#This Row],[pH]]&gt;=3.2,Table1[[#This Row],[alcohol]]&gt;=10),"White wine","Red wine")</f>
        <v>White wine</v>
      </c>
    </row>
    <row r="1062" spans="1:19" x14ac:dyDescent="0.3">
      <c r="A1062" s="13">
        <v>1061</v>
      </c>
      <c r="B1062" s="1">
        <v>11.6</v>
      </c>
      <c r="C1062" s="1">
        <v>0.23</v>
      </c>
      <c r="D1062" s="1">
        <v>0.56999999999999995</v>
      </c>
      <c r="E1062" s="1">
        <v>1.8</v>
      </c>
      <c r="F1062" s="1">
        <v>7.3999999999999996E-2</v>
      </c>
      <c r="G1062" s="1">
        <v>3</v>
      </c>
      <c r="H1062" s="1">
        <v>8</v>
      </c>
      <c r="I1062" s="1">
        <v>0.99809999999999999</v>
      </c>
      <c r="J1062" s="1">
        <v>3.14</v>
      </c>
      <c r="K1062" s="1">
        <v>0.7</v>
      </c>
      <c r="L1062" s="1">
        <v>9.9</v>
      </c>
      <c r="M1062" s="2">
        <v>6</v>
      </c>
      <c r="N1062" s="2" t="str" cm="1">
        <f t="array" ref="N1062">_xlfn.IFS(Table1[[#This Row],[quality]]&lt;=4,"Low",Table1[[#This Row],[quality]]&lt;=6,"Medium",Table1[[#This Row],[quality]]&gt;=7,"High")</f>
        <v>Medium</v>
      </c>
      <c r="O1062" s="2" t="str">
        <f>IF(AND(Table1[[#This Row],[fixed acidity]]&gt;Sheet1!$C$4,Table1[[#This Row],[pH]]&lt;Sheet1!$K$4),"High","Normal")</f>
        <v>High</v>
      </c>
      <c r="P1062" s="1">
        <f>(Table1[[#This Row],[alcohol]]*2)+(Table1[[#This Row],[sulphates]]*1.5)-(Table1[[#This Row],[volatile acidity]]*2)</f>
        <v>20.39</v>
      </c>
      <c r="Q1062" s="1">
        <f>RANK(Table1[[#This Row],[Quality_score_index]],Table1[Quality_score_index],0)</f>
        <v>768</v>
      </c>
      <c r="R1062" s="1">
        <f>Table1[[#This Row],[total sulfur dioxide]]-Table1[[#This Row],[free sulfur dioxide]]</f>
        <v>5</v>
      </c>
      <c r="S1062" s="1" t="str">
        <f>IF(AND(Table1[[#This Row],[pH]]&gt;=3.2,Table1[[#This Row],[alcohol]]&gt;=10),"White wine","Red wine")</f>
        <v>Red wine</v>
      </c>
    </row>
    <row r="1063" spans="1:19" x14ac:dyDescent="0.3">
      <c r="A1063" s="13">
        <v>1062</v>
      </c>
      <c r="B1063" s="1">
        <v>9.1</v>
      </c>
      <c r="C1063" s="1">
        <v>0.4</v>
      </c>
      <c r="D1063" s="1">
        <v>0.5</v>
      </c>
      <c r="E1063" s="1">
        <v>1.8</v>
      </c>
      <c r="F1063" s="1">
        <v>7.0999999999999994E-2</v>
      </c>
      <c r="G1063" s="1">
        <v>7</v>
      </c>
      <c r="H1063" s="1">
        <v>16</v>
      </c>
      <c r="I1063" s="1">
        <v>0.99461999999999995</v>
      </c>
      <c r="J1063" s="1">
        <v>3.21</v>
      </c>
      <c r="K1063" s="1">
        <v>0.69</v>
      </c>
      <c r="L1063" s="1">
        <v>12.5</v>
      </c>
      <c r="M1063" s="2">
        <v>8</v>
      </c>
      <c r="N1063" s="2" t="str" cm="1">
        <f t="array" ref="N1063">_xlfn.IFS(Table1[[#This Row],[quality]]&lt;=4,"Low",Table1[[#This Row],[quality]]&lt;=6,"Medium",Table1[[#This Row],[quality]]&gt;=7,"High")</f>
        <v>High</v>
      </c>
      <c r="O1063" s="2" t="str">
        <f>IF(AND(Table1[[#This Row],[fixed acidity]]&gt;Sheet1!$C$4,Table1[[#This Row],[pH]]&lt;Sheet1!$K$4),"High","Normal")</f>
        <v>High</v>
      </c>
      <c r="P1063" s="1">
        <f>(Table1[[#This Row],[alcohol]]*2)+(Table1[[#This Row],[sulphates]]*1.5)-(Table1[[#This Row],[volatile acidity]]*2)</f>
        <v>25.234999999999999</v>
      </c>
      <c r="Q1063" s="1">
        <f>RANK(Table1[[#This Row],[Quality_score_index]],Table1[Quality_score_index],0)</f>
        <v>77</v>
      </c>
      <c r="R1063" s="1">
        <f>Table1[[#This Row],[total sulfur dioxide]]-Table1[[#This Row],[free sulfur dioxide]]</f>
        <v>9</v>
      </c>
      <c r="S1063" s="1" t="str">
        <f>IF(AND(Table1[[#This Row],[pH]]&gt;=3.2,Table1[[#This Row],[alcohol]]&gt;=10),"White wine","Red wine")</f>
        <v>White wine</v>
      </c>
    </row>
    <row r="1064" spans="1:19" x14ac:dyDescent="0.3">
      <c r="A1064" s="13">
        <v>1063</v>
      </c>
      <c r="B1064" s="1">
        <v>8</v>
      </c>
      <c r="C1064" s="1">
        <v>0.38</v>
      </c>
      <c r="D1064" s="1">
        <v>0.44</v>
      </c>
      <c r="E1064" s="1">
        <v>1.9</v>
      </c>
      <c r="F1064" s="1">
        <v>9.8000000000000004E-2</v>
      </c>
      <c r="G1064" s="1">
        <v>6</v>
      </c>
      <c r="H1064" s="1">
        <v>15</v>
      </c>
      <c r="I1064" s="1">
        <v>0.99560000000000004</v>
      </c>
      <c r="J1064" s="1">
        <v>3.3</v>
      </c>
      <c r="K1064" s="1">
        <v>0.64</v>
      </c>
      <c r="L1064" s="1">
        <v>11.4</v>
      </c>
      <c r="M1064" s="2">
        <v>6</v>
      </c>
      <c r="N1064" s="2" t="str" cm="1">
        <f t="array" ref="N1064">_xlfn.IFS(Table1[[#This Row],[quality]]&lt;=4,"Low",Table1[[#This Row],[quality]]&lt;=6,"Medium",Table1[[#This Row],[quality]]&gt;=7,"High")</f>
        <v>Medium</v>
      </c>
      <c r="O1064" s="2" t="str">
        <f>IF(AND(Table1[[#This Row],[fixed acidity]]&gt;Sheet1!$C$4,Table1[[#This Row],[pH]]&lt;Sheet1!$K$4),"High","Normal")</f>
        <v>Normal</v>
      </c>
      <c r="P1064" s="1">
        <f>(Table1[[#This Row],[alcohol]]*2)+(Table1[[#This Row],[sulphates]]*1.5)-(Table1[[#This Row],[volatile acidity]]*2)</f>
        <v>23</v>
      </c>
      <c r="Q1064" s="1">
        <f>RANK(Table1[[#This Row],[Quality_score_index]],Table1[Quality_score_index],0)</f>
        <v>271</v>
      </c>
      <c r="R1064" s="1">
        <f>Table1[[#This Row],[total sulfur dioxide]]-Table1[[#This Row],[free sulfur dioxide]]</f>
        <v>9</v>
      </c>
      <c r="S1064" s="1" t="str">
        <f>IF(AND(Table1[[#This Row],[pH]]&gt;=3.2,Table1[[#This Row],[alcohol]]&gt;=10),"White wine","Red wine")</f>
        <v>White wine</v>
      </c>
    </row>
    <row r="1065" spans="1:19" x14ac:dyDescent="0.3">
      <c r="A1065" s="13">
        <v>1064</v>
      </c>
      <c r="B1065" s="1">
        <v>10.199999999999999</v>
      </c>
      <c r="C1065" s="1">
        <v>0.28999999999999998</v>
      </c>
      <c r="D1065" s="1">
        <v>0.65</v>
      </c>
      <c r="E1065" s="1">
        <v>2.4</v>
      </c>
      <c r="F1065" s="1">
        <v>7.4999999999999997E-2</v>
      </c>
      <c r="G1065" s="1">
        <v>6</v>
      </c>
      <c r="H1065" s="1">
        <v>17</v>
      </c>
      <c r="I1065" s="1">
        <v>0.99565000000000003</v>
      </c>
      <c r="J1065" s="1">
        <v>3.22</v>
      </c>
      <c r="K1065" s="1">
        <v>0.63</v>
      </c>
      <c r="L1065" s="1">
        <v>11.8</v>
      </c>
      <c r="M1065" s="2">
        <v>6</v>
      </c>
      <c r="N1065" s="2" t="str" cm="1">
        <f t="array" ref="N1065">_xlfn.IFS(Table1[[#This Row],[quality]]&lt;=4,"Low",Table1[[#This Row],[quality]]&lt;=6,"Medium",Table1[[#This Row],[quality]]&gt;=7,"High")</f>
        <v>Medium</v>
      </c>
      <c r="O1065" s="2" t="str">
        <f>IF(AND(Table1[[#This Row],[fixed acidity]]&gt;Sheet1!$C$4,Table1[[#This Row],[pH]]&lt;Sheet1!$K$4),"High","Normal")</f>
        <v>High</v>
      </c>
      <c r="P1065" s="1">
        <f>(Table1[[#This Row],[alcohol]]*2)+(Table1[[#This Row],[sulphates]]*1.5)-(Table1[[#This Row],[volatile acidity]]*2)</f>
        <v>23.965000000000003</v>
      </c>
      <c r="Q1065" s="1">
        <f>RANK(Table1[[#This Row],[Quality_score_index]],Table1[Quality_score_index],0)</f>
        <v>183</v>
      </c>
      <c r="R1065" s="1">
        <f>Table1[[#This Row],[total sulfur dioxide]]-Table1[[#This Row],[free sulfur dioxide]]</f>
        <v>11</v>
      </c>
      <c r="S1065" s="1" t="str">
        <f>IF(AND(Table1[[#This Row],[pH]]&gt;=3.2,Table1[[#This Row],[alcohol]]&gt;=10),"White wine","Red wine")</f>
        <v>White wine</v>
      </c>
    </row>
    <row r="1066" spans="1:19" x14ac:dyDescent="0.3">
      <c r="A1066" s="13">
        <v>1065</v>
      </c>
      <c r="B1066" s="1">
        <v>8.1999999999999993</v>
      </c>
      <c r="C1066" s="1">
        <v>0.74</v>
      </c>
      <c r="D1066" s="1">
        <v>0.09</v>
      </c>
      <c r="E1066" s="1">
        <v>2</v>
      </c>
      <c r="F1066" s="1">
        <v>6.7000000000000004E-2</v>
      </c>
      <c r="G1066" s="1">
        <v>5</v>
      </c>
      <c r="H1066" s="1">
        <v>10</v>
      </c>
      <c r="I1066" s="1">
        <v>0.99417999999999995</v>
      </c>
      <c r="J1066" s="1">
        <v>3.28</v>
      </c>
      <c r="K1066" s="1">
        <v>0.56999999999999995</v>
      </c>
      <c r="L1066" s="1">
        <v>11.8</v>
      </c>
      <c r="M1066" s="2">
        <v>6</v>
      </c>
      <c r="N1066" s="2" t="str" cm="1">
        <f t="array" ref="N1066">_xlfn.IFS(Table1[[#This Row],[quality]]&lt;=4,"Low",Table1[[#This Row],[quality]]&lt;=6,"Medium",Table1[[#This Row],[quality]]&gt;=7,"High")</f>
        <v>Medium</v>
      </c>
      <c r="O1066" s="2" t="str">
        <f>IF(AND(Table1[[#This Row],[fixed acidity]]&gt;Sheet1!$C$4,Table1[[#This Row],[pH]]&lt;Sheet1!$K$4),"High","Normal")</f>
        <v>Normal</v>
      </c>
      <c r="P1066" s="1">
        <f>(Table1[[#This Row],[alcohol]]*2)+(Table1[[#This Row],[sulphates]]*1.5)-(Table1[[#This Row],[volatile acidity]]*2)</f>
        <v>22.975000000000001</v>
      </c>
      <c r="Q1066" s="1">
        <f>RANK(Table1[[#This Row],[Quality_score_index]],Table1[Quality_score_index],0)</f>
        <v>275</v>
      </c>
      <c r="R1066" s="1">
        <f>Table1[[#This Row],[total sulfur dioxide]]-Table1[[#This Row],[free sulfur dioxide]]</f>
        <v>5</v>
      </c>
      <c r="S1066" s="1" t="str">
        <f>IF(AND(Table1[[#This Row],[pH]]&gt;=3.2,Table1[[#This Row],[alcohol]]&gt;=10),"White wine","Red wine")</f>
        <v>White wine</v>
      </c>
    </row>
    <row r="1067" spans="1:19" x14ac:dyDescent="0.3">
      <c r="A1067" s="13">
        <v>1066</v>
      </c>
      <c r="B1067" s="1">
        <v>7.7</v>
      </c>
      <c r="C1067" s="1">
        <v>0.61</v>
      </c>
      <c r="D1067" s="1">
        <v>0.18</v>
      </c>
      <c r="E1067" s="1">
        <v>2.4</v>
      </c>
      <c r="F1067" s="1">
        <v>8.3000000000000004E-2</v>
      </c>
      <c r="G1067" s="1">
        <v>6</v>
      </c>
      <c r="H1067" s="1">
        <v>20</v>
      </c>
      <c r="I1067" s="1">
        <v>0.99629999999999996</v>
      </c>
      <c r="J1067" s="1">
        <v>3.29</v>
      </c>
      <c r="K1067" s="1">
        <v>0.6</v>
      </c>
      <c r="L1067" s="1">
        <v>10.199999999999999</v>
      </c>
      <c r="M1067" s="2">
        <v>6</v>
      </c>
      <c r="N1067" s="2" t="str" cm="1">
        <f t="array" ref="N1067">_xlfn.IFS(Table1[[#This Row],[quality]]&lt;=4,"Low",Table1[[#This Row],[quality]]&lt;=6,"Medium",Table1[[#This Row],[quality]]&gt;=7,"High")</f>
        <v>Medium</v>
      </c>
      <c r="O1067" s="2" t="str">
        <f>IF(AND(Table1[[#This Row],[fixed acidity]]&gt;Sheet1!$C$4,Table1[[#This Row],[pH]]&lt;Sheet1!$K$4),"High","Normal")</f>
        <v>Normal</v>
      </c>
      <c r="P1067" s="1">
        <f>(Table1[[#This Row],[alcohol]]*2)+(Table1[[#This Row],[sulphates]]*1.5)-(Table1[[#This Row],[volatile acidity]]*2)</f>
        <v>20.079999999999998</v>
      </c>
      <c r="Q1067" s="1">
        <f>RANK(Table1[[#This Row],[Quality_score_index]],Table1[Quality_score_index],0)</f>
        <v>844</v>
      </c>
      <c r="R1067" s="1">
        <f>Table1[[#This Row],[total sulfur dioxide]]-Table1[[#This Row],[free sulfur dioxide]]</f>
        <v>14</v>
      </c>
      <c r="S1067" s="1" t="str">
        <f>IF(AND(Table1[[#This Row],[pH]]&gt;=3.2,Table1[[#This Row],[alcohol]]&gt;=10),"White wine","Red wine")</f>
        <v>White wine</v>
      </c>
    </row>
    <row r="1068" spans="1:19" x14ac:dyDescent="0.3">
      <c r="A1068" s="13">
        <v>1067</v>
      </c>
      <c r="B1068" s="1">
        <v>6.6</v>
      </c>
      <c r="C1068" s="1">
        <v>0.52</v>
      </c>
      <c r="D1068" s="1">
        <v>0.08</v>
      </c>
      <c r="E1068" s="1">
        <v>2.4</v>
      </c>
      <c r="F1068" s="1">
        <v>7.0000000000000007E-2</v>
      </c>
      <c r="G1068" s="1">
        <v>13</v>
      </c>
      <c r="H1068" s="1">
        <v>26</v>
      </c>
      <c r="I1068" s="1">
        <v>0.99358000000000002</v>
      </c>
      <c r="J1068" s="1">
        <v>3.4</v>
      </c>
      <c r="K1068" s="1">
        <v>0.72</v>
      </c>
      <c r="L1068" s="1">
        <v>12.5</v>
      </c>
      <c r="M1068" s="2">
        <v>7</v>
      </c>
      <c r="N1068" s="2" t="str" cm="1">
        <f t="array" ref="N1068">_xlfn.IFS(Table1[[#This Row],[quality]]&lt;=4,"Low",Table1[[#This Row],[quality]]&lt;=6,"Medium",Table1[[#This Row],[quality]]&gt;=7,"High")</f>
        <v>High</v>
      </c>
      <c r="O1068" s="2" t="str">
        <f>IF(AND(Table1[[#This Row],[fixed acidity]]&gt;Sheet1!$C$4,Table1[[#This Row],[pH]]&lt;Sheet1!$K$4),"High","Normal")</f>
        <v>Normal</v>
      </c>
      <c r="P1068" s="1">
        <f>(Table1[[#This Row],[alcohol]]*2)+(Table1[[#This Row],[sulphates]]*1.5)-(Table1[[#This Row],[volatile acidity]]*2)</f>
        <v>25.04</v>
      </c>
      <c r="Q1068" s="1">
        <f>RANK(Table1[[#This Row],[Quality_score_index]],Table1[Quality_score_index],0)</f>
        <v>91</v>
      </c>
      <c r="R1068" s="1">
        <f>Table1[[#This Row],[total sulfur dioxide]]-Table1[[#This Row],[free sulfur dioxide]]</f>
        <v>13</v>
      </c>
      <c r="S1068" s="1" t="str">
        <f>IF(AND(Table1[[#This Row],[pH]]&gt;=3.2,Table1[[#This Row],[alcohol]]&gt;=10),"White wine","Red wine")</f>
        <v>White wine</v>
      </c>
    </row>
    <row r="1069" spans="1:19" x14ac:dyDescent="0.3">
      <c r="A1069" s="13">
        <v>1068</v>
      </c>
      <c r="B1069" s="1">
        <v>11.1</v>
      </c>
      <c r="C1069" s="1">
        <v>0.31</v>
      </c>
      <c r="D1069" s="1">
        <v>0.53</v>
      </c>
      <c r="E1069" s="1">
        <v>2.2000000000000002</v>
      </c>
      <c r="F1069" s="1">
        <v>0.06</v>
      </c>
      <c r="G1069" s="1">
        <v>3</v>
      </c>
      <c r="H1069" s="1">
        <v>10</v>
      </c>
      <c r="I1069" s="1">
        <v>0.99572000000000005</v>
      </c>
      <c r="J1069" s="1">
        <v>3.02</v>
      </c>
      <c r="K1069" s="1">
        <v>0.83</v>
      </c>
      <c r="L1069" s="1">
        <v>10.9</v>
      </c>
      <c r="M1069" s="2">
        <v>7</v>
      </c>
      <c r="N1069" s="2" t="str" cm="1">
        <f t="array" ref="N1069">_xlfn.IFS(Table1[[#This Row],[quality]]&lt;=4,"Low",Table1[[#This Row],[quality]]&lt;=6,"Medium",Table1[[#This Row],[quality]]&gt;=7,"High")</f>
        <v>High</v>
      </c>
      <c r="O1069" s="2" t="str">
        <f>IF(AND(Table1[[#This Row],[fixed acidity]]&gt;Sheet1!$C$4,Table1[[#This Row],[pH]]&lt;Sheet1!$K$4),"High","Normal")</f>
        <v>High</v>
      </c>
      <c r="P1069" s="1">
        <f>(Table1[[#This Row],[alcohol]]*2)+(Table1[[#This Row],[sulphates]]*1.5)-(Table1[[#This Row],[volatile acidity]]*2)</f>
        <v>22.425000000000001</v>
      </c>
      <c r="Q1069" s="1">
        <f>RANK(Table1[[#This Row],[Quality_score_index]],Table1[Quality_score_index],0)</f>
        <v>388</v>
      </c>
      <c r="R1069" s="1">
        <f>Table1[[#This Row],[total sulfur dioxide]]-Table1[[#This Row],[free sulfur dioxide]]</f>
        <v>7</v>
      </c>
      <c r="S1069" s="1" t="str">
        <f>IF(AND(Table1[[#This Row],[pH]]&gt;=3.2,Table1[[#This Row],[alcohol]]&gt;=10),"White wine","Red wine")</f>
        <v>Red wine</v>
      </c>
    </row>
    <row r="1070" spans="1:19" x14ac:dyDescent="0.3">
      <c r="A1070" s="13">
        <v>1069</v>
      </c>
      <c r="B1070" s="1">
        <v>11.1</v>
      </c>
      <c r="C1070" s="1">
        <v>0.31</v>
      </c>
      <c r="D1070" s="1">
        <v>0.53</v>
      </c>
      <c r="E1070" s="1">
        <v>2.2000000000000002</v>
      </c>
      <c r="F1070" s="1">
        <v>0.06</v>
      </c>
      <c r="G1070" s="1">
        <v>3</v>
      </c>
      <c r="H1070" s="1">
        <v>10</v>
      </c>
      <c r="I1070" s="1">
        <v>0.99572000000000005</v>
      </c>
      <c r="J1070" s="1">
        <v>3.02</v>
      </c>
      <c r="K1070" s="1">
        <v>0.83</v>
      </c>
      <c r="L1070" s="1">
        <v>10.9</v>
      </c>
      <c r="M1070" s="2">
        <v>7</v>
      </c>
      <c r="N1070" s="2" t="str" cm="1">
        <f t="array" ref="N1070">_xlfn.IFS(Table1[[#This Row],[quality]]&lt;=4,"Low",Table1[[#This Row],[quality]]&lt;=6,"Medium",Table1[[#This Row],[quality]]&gt;=7,"High")</f>
        <v>High</v>
      </c>
      <c r="O1070" s="2" t="str">
        <f>IF(AND(Table1[[#This Row],[fixed acidity]]&gt;Sheet1!$C$4,Table1[[#This Row],[pH]]&lt;Sheet1!$K$4),"High","Normal")</f>
        <v>High</v>
      </c>
      <c r="P1070" s="1">
        <f>(Table1[[#This Row],[alcohol]]*2)+(Table1[[#This Row],[sulphates]]*1.5)-(Table1[[#This Row],[volatile acidity]]*2)</f>
        <v>22.425000000000001</v>
      </c>
      <c r="Q1070" s="1">
        <f>RANK(Table1[[#This Row],[Quality_score_index]],Table1[Quality_score_index],0)</f>
        <v>388</v>
      </c>
      <c r="R1070" s="1">
        <f>Table1[[#This Row],[total sulfur dioxide]]-Table1[[#This Row],[free sulfur dioxide]]</f>
        <v>7</v>
      </c>
      <c r="S1070" s="1" t="str">
        <f>IF(AND(Table1[[#This Row],[pH]]&gt;=3.2,Table1[[#This Row],[alcohol]]&gt;=10),"White wine","Red wine")</f>
        <v>Red wine</v>
      </c>
    </row>
    <row r="1071" spans="1:19" x14ac:dyDescent="0.3">
      <c r="A1071" s="13">
        <v>1070</v>
      </c>
      <c r="B1071" s="1">
        <v>8</v>
      </c>
      <c r="C1071" s="1">
        <v>0.62</v>
      </c>
      <c r="D1071" s="1">
        <v>0.35</v>
      </c>
      <c r="E1071" s="1">
        <v>2.8</v>
      </c>
      <c r="F1071" s="1">
        <v>8.5999999999999993E-2</v>
      </c>
      <c r="G1071" s="1">
        <v>28</v>
      </c>
      <c r="H1071" s="1">
        <v>52</v>
      </c>
      <c r="I1071" s="1">
        <v>0.997</v>
      </c>
      <c r="J1071" s="1">
        <v>3.31</v>
      </c>
      <c r="K1071" s="1">
        <v>0.62</v>
      </c>
      <c r="L1071" s="1">
        <v>10.8</v>
      </c>
      <c r="M1071" s="2">
        <v>5</v>
      </c>
      <c r="N1071" s="2" t="str" cm="1">
        <f t="array" ref="N1071">_xlfn.IFS(Table1[[#This Row],[quality]]&lt;=4,"Low",Table1[[#This Row],[quality]]&lt;=6,"Medium",Table1[[#This Row],[quality]]&gt;=7,"High")</f>
        <v>Medium</v>
      </c>
      <c r="O1071" s="2" t="str">
        <f>IF(AND(Table1[[#This Row],[fixed acidity]]&gt;Sheet1!$C$4,Table1[[#This Row],[pH]]&lt;Sheet1!$K$4),"High","Normal")</f>
        <v>Normal</v>
      </c>
      <c r="P1071" s="1">
        <f>(Table1[[#This Row],[alcohol]]*2)+(Table1[[#This Row],[sulphates]]*1.5)-(Table1[[#This Row],[volatile acidity]]*2)</f>
        <v>21.290000000000003</v>
      </c>
      <c r="Q1071" s="1">
        <f>RANK(Table1[[#This Row],[Quality_score_index]],Table1[Quality_score_index],0)</f>
        <v>583</v>
      </c>
      <c r="R1071" s="1">
        <f>Table1[[#This Row],[total sulfur dioxide]]-Table1[[#This Row],[free sulfur dioxide]]</f>
        <v>24</v>
      </c>
      <c r="S1071" s="1" t="str">
        <f>IF(AND(Table1[[#This Row],[pH]]&gt;=3.2,Table1[[#This Row],[alcohol]]&gt;=10),"White wine","Red wine")</f>
        <v>White wine</v>
      </c>
    </row>
    <row r="1072" spans="1:19" x14ac:dyDescent="0.3">
      <c r="A1072" s="13">
        <v>1071</v>
      </c>
      <c r="B1072" s="1">
        <v>9.3000000000000007</v>
      </c>
      <c r="C1072" s="1">
        <v>0.33</v>
      </c>
      <c r="D1072" s="1">
        <v>0.45</v>
      </c>
      <c r="E1072" s="1">
        <v>1.5</v>
      </c>
      <c r="F1072" s="1">
        <v>5.7000000000000002E-2</v>
      </c>
      <c r="G1072" s="1">
        <v>19</v>
      </c>
      <c r="H1072" s="1">
        <v>37</v>
      </c>
      <c r="I1072" s="1">
        <v>0.99497999999999998</v>
      </c>
      <c r="J1072" s="1">
        <v>3.18</v>
      </c>
      <c r="K1072" s="1">
        <v>0.89</v>
      </c>
      <c r="L1072" s="1">
        <v>11.1</v>
      </c>
      <c r="M1072" s="2">
        <v>7</v>
      </c>
      <c r="N1072" s="2" t="str" cm="1">
        <f t="array" ref="N1072">_xlfn.IFS(Table1[[#This Row],[quality]]&lt;=4,"Low",Table1[[#This Row],[quality]]&lt;=6,"Medium",Table1[[#This Row],[quality]]&gt;=7,"High")</f>
        <v>High</v>
      </c>
      <c r="O1072" s="2" t="str">
        <f>IF(AND(Table1[[#This Row],[fixed acidity]]&gt;Sheet1!$C$4,Table1[[#This Row],[pH]]&lt;Sheet1!$K$4),"High","Normal")</f>
        <v>High</v>
      </c>
      <c r="P1072" s="1">
        <f>(Table1[[#This Row],[alcohol]]*2)+(Table1[[#This Row],[sulphates]]*1.5)-(Table1[[#This Row],[volatile acidity]]*2)</f>
        <v>22.875</v>
      </c>
      <c r="Q1072" s="1">
        <f>RANK(Table1[[#This Row],[Quality_score_index]],Table1[Quality_score_index],0)</f>
        <v>295</v>
      </c>
      <c r="R1072" s="1">
        <f>Table1[[#This Row],[total sulfur dioxide]]-Table1[[#This Row],[free sulfur dioxide]]</f>
        <v>18</v>
      </c>
      <c r="S1072" s="1" t="str">
        <f>IF(AND(Table1[[#This Row],[pH]]&gt;=3.2,Table1[[#This Row],[alcohol]]&gt;=10),"White wine","Red wine")</f>
        <v>Red wine</v>
      </c>
    </row>
    <row r="1073" spans="1:19" x14ac:dyDescent="0.3">
      <c r="A1073" s="13">
        <v>1072</v>
      </c>
      <c r="B1073" s="1">
        <v>7.5</v>
      </c>
      <c r="C1073" s="1">
        <v>0.77</v>
      </c>
      <c r="D1073" s="1">
        <v>0.2</v>
      </c>
      <c r="E1073" s="1">
        <v>8.1</v>
      </c>
      <c r="F1073" s="1">
        <v>9.8000000000000004E-2</v>
      </c>
      <c r="G1073" s="1">
        <v>30</v>
      </c>
      <c r="H1073" s="1">
        <v>92</v>
      </c>
      <c r="I1073" s="1">
        <v>0.99892000000000003</v>
      </c>
      <c r="J1073" s="1">
        <v>3.2</v>
      </c>
      <c r="K1073" s="1">
        <v>0.57999999999999996</v>
      </c>
      <c r="L1073" s="1">
        <v>9.1999999999999993</v>
      </c>
      <c r="M1073" s="2">
        <v>5</v>
      </c>
      <c r="N1073" s="2" t="str" cm="1">
        <f t="array" ref="N1073">_xlfn.IFS(Table1[[#This Row],[quality]]&lt;=4,"Low",Table1[[#This Row],[quality]]&lt;=6,"Medium",Table1[[#This Row],[quality]]&gt;=7,"High")</f>
        <v>Medium</v>
      </c>
      <c r="O1073" s="2" t="str">
        <f>IF(AND(Table1[[#This Row],[fixed acidity]]&gt;Sheet1!$C$4,Table1[[#This Row],[pH]]&lt;Sheet1!$K$4),"High","Normal")</f>
        <v>Normal</v>
      </c>
      <c r="P1073" s="1">
        <f>(Table1[[#This Row],[alcohol]]*2)+(Table1[[#This Row],[sulphates]]*1.5)-(Table1[[#This Row],[volatile acidity]]*2)</f>
        <v>17.73</v>
      </c>
      <c r="Q1073" s="1">
        <f>RANK(Table1[[#This Row],[Quality_score_index]],Table1[Quality_score_index],0)</f>
        <v>1567</v>
      </c>
      <c r="R1073" s="1">
        <f>Table1[[#This Row],[total sulfur dioxide]]-Table1[[#This Row],[free sulfur dioxide]]</f>
        <v>62</v>
      </c>
      <c r="S1073" s="1" t="str">
        <f>IF(AND(Table1[[#This Row],[pH]]&gt;=3.2,Table1[[#This Row],[alcohol]]&gt;=10),"White wine","Red wine")</f>
        <v>Red wine</v>
      </c>
    </row>
    <row r="1074" spans="1:19" x14ac:dyDescent="0.3">
      <c r="A1074" s="13">
        <v>1073</v>
      </c>
      <c r="B1074" s="1">
        <v>7.2</v>
      </c>
      <c r="C1074" s="1">
        <v>0.35</v>
      </c>
      <c r="D1074" s="1">
        <v>0.26</v>
      </c>
      <c r="E1074" s="1">
        <v>1.8</v>
      </c>
      <c r="F1074" s="1">
        <v>8.3000000000000004E-2</v>
      </c>
      <c r="G1074" s="1">
        <v>33</v>
      </c>
      <c r="H1074" s="1">
        <v>75</v>
      </c>
      <c r="I1074" s="1">
        <v>0.99680000000000002</v>
      </c>
      <c r="J1074" s="1">
        <v>3.4</v>
      </c>
      <c r="K1074" s="1">
        <v>0.57999999999999996</v>
      </c>
      <c r="L1074" s="1">
        <v>9.5</v>
      </c>
      <c r="M1074" s="2">
        <v>6</v>
      </c>
      <c r="N1074" s="2" t="str" cm="1">
        <f t="array" ref="N1074">_xlfn.IFS(Table1[[#This Row],[quality]]&lt;=4,"Low",Table1[[#This Row],[quality]]&lt;=6,"Medium",Table1[[#This Row],[quality]]&gt;=7,"High")</f>
        <v>Medium</v>
      </c>
      <c r="O1074" s="2" t="str">
        <f>IF(AND(Table1[[#This Row],[fixed acidity]]&gt;Sheet1!$C$4,Table1[[#This Row],[pH]]&lt;Sheet1!$K$4),"High","Normal")</f>
        <v>Normal</v>
      </c>
      <c r="P1074" s="1">
        <f>(Table1[[#This Row],[alcohol]]*2)+(Table1[[#This Row],[sulphates]]*1.5)-(Table1[[#This Row],[volatile acidity]]*2)</f>
        <v>19.170000000000002</v>
      </c>
      <c r="Q1074" s="1">
        <f>RANK(Table1[[#This Row],[Quality_score_index]],Table1[Quality_score_index],0)</f>
        <v>1098</v>
      </c>
      <c r="R1074" s="1">
        <f>Table1[[#This Row],[total sulfur dioxide]]-Table1[[#This Row],[free sulfur dioxide]]</f>
        <v>42</v>
      </c>
      <c r="S1074" s="1" t="str">
        <f>IF(AND(Table1[[#This Row],[pH]]&gt;=3.2,Table1[[#This Row],[alcohol]]&gt;=10),"White wine","Red wine")</f>
        <v>Red wine</v>
      </c>
    </row>
    <row r="1075" spans="1:19" x14ac:dyDescent="0.3">
      <c r="A1075" s="13">
        <v>1074</v>
      </c>
      <c r="B1075" s="1">
        <v>8</v>
      </c>
      <c r="C1075" s="1">
        <v>0.62</v>
      </c>
      <c r="D1075" s="1">
        <v>0.33</v>
      </c>
      <c r="E1075" s="1">
        <v>2.7</v>
      </c>
      <c r="F1075" s="1">
        <v>8.7999999999999995E-2</v>
      </c>
      <c r="G1075" s="1">
        <v>16</v>
      </c>
      <c r="H1075" s="1">
        <v>37</v>
      </c>
      <c r="I1075" s="1">
        <v>0.99719999999999998</v>
      </c>
      <c r="J1075" s="1">
        <v>3.31</v>
      </c>
      <c r="K1075" s="1">
        <v>0.57999999999999996</v>
      </c>
      <c r="L1075" s="1">
        <v>10.7</v>
      </c>
      <c r="M1075" s="2">
        <v>6</v>
      </c>
      <c r="N1075" s="2" t="str" cm="1">
        <f t="array" ref="N1075">_xlfn.IFS(Table1[[#This Row],[quality]]&lt;=4,"Low",Table1[[#This Row],[quality]]&lt;=6,"Medium",Table1[[#This Row],[quality]]&gt;=7,"High")</f>
        <v>Medium</v>
      </c>
      <c r="O1075" s="2" t="str">
        <f>IF(AND(Table1[[#This Row],[fixed acidity]]&gt;Sheet1!$C$4,Table1[[#This Row],[pH]]&lt;Sheet1!$K$4),"High","Normal")</f>
        <v>Normal</v>
      </c>
      <c r="P1075" s="1">
        <f>(Table1[[#This Row],[alcohol]]*2)+(Table1[[#This Row],[sulphates]]*1.5)-(Table1[[#This Row],[volatile acidity]]*2)</f>
        <v>21.03</v>
      </c>
      <c r="Q1075" s="1">
        <f>RANK(Table1[[#This Row],[Quality_score_index]],Table1[Quality_score_index],0)</f>
        <v>645</v>
      </c>
      <c r="R1075" s="1">
        <f>Table1[[#This Row],[total sulfur dioxide]]-Table1[[#This Row],[free sulfur dioxide]]</f>
        <v>21</v>
      </c>
      <c r="S1075" s="1" t="str">
        <f>IF(AND(Table1[[#This Row],[pH]]&gt;=3.2,Table1[[#This Row],[alcohol]]&gt;=10),"White wine","Red wine")</f>
        <v>White wine</v>
      </c>
    </row>
    <row r="1076" spans="1:19" x14ac:dyDescent="0.3">
      <c r="A1076" s="13">
        <v>1075</v>
      </c>
      <c r="B1076" s="1">
        <v>7.5</v>
      </c>
      <c r="C1076" s="1">
        <v>0.77</v>
      </c>
      <c r="D1076" s="1">
        <v>0.2</v>
      </c>
      <c r="E1076" s="1">
        <v>8.1</v>
      </c>
      <c r="F1076" s="1">
        <v>9.8000000000000004E-2</v>
      </c>
      <c r="G1076" s="1">
        <v>30</v>
      </c>
      <c r="H1076" s="1">
        <v>92</v>
      </c>
      <c r="I1076" s="1">
        <v>0.99892000000000003</v>
      </c>
      <c r="J1076" s="1">
        <v>3.2</v>
      </c>
      <c r="K1076" s="1">
        <v>0.57999999999999996</v>
      </c>
      <c r="L1076" s="1">
        <v>9.1999999999999993</v>
      </c>
      <c r="M1076" s="2">
        <v>5</v>
      </c>
      <c r="N1076" s="2" t="str" cm="1">
        <f t="array" ref="N1076">_xlfn.IFS(Table1[[#This Row],[quality]]&lt;=4,"Low",Table1[[#This Row],[quality]]&lt;=6,"Medium",Table1[[#This Row],[quality]]&gt;=7,"High")</f>
        <v>Medium</v>
      </c>
      <c r="O1076" s="2" t="str">
        <f>IF(AND(Table1[[#This Row],[fixed acidity]]&gt;Sheet1!$C$4,Table1[[#This Row],[pH]]&lt;Sheet1!$K$4),"High","Normal")</f>
        <v>Normal</v>
      </c>
      <c r="P1076" s="1">
        <f>(Table1[[#This Row],[alcohol]]*2)+(Table1[[#This Row],[sulphates]]*1.5)-(Table1[[#This Row],[volatile acidity]]*2)</f>
        <v>17.73</v>
      </c>
      <c r="Q1076" s="1">
        <f>RANK(Table1[[#This Row],[Quality_score_index]],Table1[Quality_score_index],0)</f>
        <v>1567</v>
      </c>
      <c r="R1076" s="1">
        <f>Table1[[#This Row],[total sulfur dioxide]]-Table1[[#This Row],[free sulfur dioxide]]</f>
        <v>62</v>
      </c>
      <c r="S1076" s="1" t="str">
        <f>IF(AND(Table1[[#This Row],[pH]]&gt;=3.2,Table1[[#This Row],[alcohol]]&gt;=10),"White wine","Red wine")</f>
        <v>Red wine</v>
      </c>
    </row>
    <row r="1077" spans="1:19" x14ac:dyDescent="0.3">
      <c r="A1077" s="13">
        <v>1076</v>
      </c>
      <c r="B1077" s="1">
        <v>9.1</v>
      </c>
      <c r="C1077" s="1">
        <v>0.25</v>
      </c>
      <c r="D1077" s="1">
        <v>0.34</v>
      </c>
      <c r="E1077" s="1">
        <v>2</v>
      </c>
      <c r="F1077" s="1">
        <v>7.0999999999999994E-2</v>
      </c>
      <c r="G1077" s="1">
        <v>45</v>
      </c>
      <c r="H1077" s="1">
        <v>67</v>
      </c>
      <c r="I1077" s="1">
        <v>0.99768999999999997</v>
      </c>
      <c r="J1077" s="1">
        <v>3.44</v>
      </c>
      <c r="K1077" s="1">
        <v>0.86</v>
      </c>
      <c r="L1077" s="1">
        <v>10.199999999999999</v>
      </c>
      <c r="M1077" s="2">
        <v>7</v>
      </c>
      <c r="N1077" s="2" t="str" cm="1">
        <f t="array" ref="N1077">_xlfn.IFS(Table1[[#This Row],[quality]]&lt;=4,"Low",Table1[[#This Row],[quality]]&lt;=6,"Medium",Table1[[#This Row],[quality]]&gt;=7,"High")</f>
        <v>High</v>
      </c>
      <c r="O1077" s="2" t="str">
        <f>IF(AND(Table1[[#This Row],[fixed acidity]]&gt;Sheet1!$C$4,Table1[[#This Row],[pH]]&lt;Sheet1!$K$4),"High","Normal")</f>
        <v>Normal</v>
      </c>
      <c r="P1077" s="1">
        <f>(Table1[[#This Row],[alcohol]]*2)+(Table1[[#This Row],[sulphates]]*1.5)-(Table1[[#This Row],[volatile acidity]]*2)</f>
        <v>21.189999999999998</v>
      </c>
      <c r="Q1077" s="1">
        <f>RANK(Table1[[#This Row],[Quality_score_index]],Table1[Quality_score_index],0)</f>
        <v>606</v>
      </c>
      <c r="R1077" s="1">
        <f>Table1[[#This Row],[total sulfur dioxide]]-Table1[[#This Row],[free sulfur dioxide]]</f>
        <v>22</v>
      </c>
      <c r="S1077" s="1" t="str">
        <f>IF(AND(Table1[[#This Row],[pH]]&gt;=3.2,Table1[[#This Row],[alcohol]]&gt;=10),"White wine","Red wine")</f>
        <v>White wine</v>
      </c>
    </row>
    <row r="1078" spans="1:19" x14ac:dyDescent="0.3">
      <c r="A1078" s="13">
        <v>1077</v>
      </c>
      <c r="B1078" s="1">
        <v>9.9</v>
      </c>
      <c r="C1078" s="1">
        <v>0.32</v>
      </c>
      <c r="D1078" s="1">
        <v>0.56000000000000005</v>
      </c>
      <c r="E1078" s="1">
        <v>2</v>
      </c>
      <c r="F1078" s="1">
        <v>7.2999999999999995E-2</v>
      </c>
      <c r="G1078" s="1">
        <v>3</v>
      </c>
      <c r="H1078" s="1">
        <v>8</v>
      </c>
      <c r="I1078" s="1">
        <v>0.99534</v>
      </c>
      <c r="J1078" s="1">
        <v>3.15</v>
      </c>
      <c r="K1078" s="1">
        <v>0.73</v>
      </c>
      <c r="L1078" s="1">
        <v>11.4</v>
      </c>
      <c r="M1078" s="2">
        <v>6</v>
      </c>
      <c r="N1078" s="2" t="str" cm="1">
        <f t="array" ref="N1078">_xlfn.IFS(Table1[[#This Row],[quality]]&lt;=4,"Low",Table1[[#This Row],[quality]]&lt;=6,"Medium",Table1[[#This Row],[quality]]&gt;=7,"High")</f>
        <v>Medium</v>
      </c>
      <c r="O1078" s="2" t="str">
        <f>IF(AND(Table1[[#This Row],[fixed acidity]]&gt;Sheet1!$C$4,Table1[[#This Row],[pH]]&lt;Sheet1!$K$4),"High","Normal")</f>
        <v>High</v>
      </c>
      <c r="P1078" s="1">
        <f>(Table1[[#This Row],[alcohol]]*2)+(Table1[[#This Row],[sulphates]]*1.5)-(Table1[[#This Row],[volatile acidity]]*2)</f>
        <v>23.254999999999999</v>
      </c>
      <c r="Q1078" s="1">
        <f>RANK(Table1[[#This Row],[Quality_score_index]],Table1[Quality_score_index],0)</f>
        <v>238</v>
      </c>
      <c r="R1078" s="1">
        <f>Table1[[#This Row],[total sulfur dioxide]]-Table1[[#This Row],[free sulfur dioxide]]</f>
        <v>5</v>
      </c>
      <c r="S1078" s="1" t="str">
        <f>IF(AND(Table1[[#This Row],[pH]]&gt;=3.2,Table1[[#This Row],[alcohol]]&gt;=10),"White wine","Red wine")</f>
        <v>Red wine</v>
      </c>
    </row>
    <row r="1079" spans="1:19" x14ac:dyDescent="0.3">
      <c r="A1079" s="13">
        <v>1078</v>
      </c>
      <c r="B1079" s="1">
        <v>8.6</v>
      </c>
      <c r="C1079" s="1">
        <v>0.37</v>
      </c>
      <c r="D1079" s="1">
        <v>0.65</v>
      </c>
      <c r="E1079" s="1">
        <v>6.4</v>
      </c>
      <c r="F1079" s="1">
        <v>0.08</v>
      </c>
      <c r="G1079" s="1">
        <v>3</v>
      </c>
      <c r="H1079" s="1">
        <v>8</v>
      </c>
      <c r="I1079" s="1">
        <v>0.99817</v>
      </c>
      <c r="J1079" s="1">
        <v>3.27</v>
      </c>
      <c r="K1079" s="1">
        <v>0.57999999999999996</v>
      </c>
      <c r="L1079" s="1">
        <v>11</v>
      </c>
      <c r="M1079" s="2">
        <v>5</v>
      </c>
      <c r="N1079" s="2" t="str" cm="1">
        <f t="array" ref="N1079">_xlfn.IFS(Table1[[#This Row],[quality]]&lt;=4,"Low",Table1[[#This Row],[quality]]&lt;=6,"Medium",Table1[[#This Row],[quality]]&gt;=7,"High")</f>
        <v>Medium</v>
      </c>
      <c r="O1079" s="2" t="str">
        <f>IF(AND(Table1[[#This Row],[fixed acidity]]&gt;Sheet1!$C$4,Table1[[#This Row],[pH]]&lt;Sheet1!$K$4),"High","Normal")</f>
        <v>High</v>
      </c>
      <c r="P1079" s="1">
        <f>(Table1[[#This Row],[alcohol]]*2)+(Table1[[#This Row],[sulphates]]*1.5)-(Table1[[#This Row],[volatile acidity]]*2)</f>
        <v>22.130000000000003</v>
      </c>
      <c r="Q1079" s="1">
        <f>RANK(Table1[[#This Row],[Quality_score_index]],Table1[Quality_score_index],0)</f>
        <v>432</v>
      </c>
      <c r="R1079" s="1">
        <f>Table1[[#This Row],[total sulfur dioxide]]-Table1[[#This Row],[free sulfur dioxide]]</f>
        <v>5</v>
      </c>
      <c r="S1079" s="1" t="str">
        <f>IF(AND(Table1[[#This Row],[pH]]&gt;=3.2,Table1[[#This Row],[alcohol]]&gt;=10),"White wine","Red wine")</f>
        <v>White wine</v>
      </c>
    </row>
    <row r="1080" spans="1:19" x14ac:dyDescent="0.3">
      <c r="A1080" s="13">
        <v>1079</v>
      </c>
      <c r="B1080" s="1">
        <v>8.6</v>
      </c>
      <c r="C1080" s="1">
        <v>0.37</v>
      </c>
      <c r="D1080" s="1">
        <v>0.65</v>
      </c>
      <c r="E1080" s="1">
        <v>6.4</v>
      </c>
      <c r="F1080" s="1">
        <v>0.08</v>
      </c>
      <c r="G1080" s="1">
        <v>3</v>
      </c>
      <c r="H1080" s="1">
        <v>8</v>
      </c>
      <c r="I1080" s="1">
        <v>0.99817</v>
      </c>
      <c r="J1080" s="1">
        <v>3.27</v>
      </c>
      <c r="K1080" s="1">
        <v>0.57999999999999996</v>
      </c>
      <c r="L1080" s="1">
        <v>11</v>
      </c>
      <c r="M1080" s="2">
        <v>5</v>
      </c>
      <c r="N1080" s="2" t="str" cm="1">
        <f t="array" ref="N1080">_xlfn.IFS(Table1[[#This Row],[quality]]&lt;=4,"Low",Table1[[#This Row],[quality]]&lt;=6,"Medium",Table1[[#This Row],[quality]]&gt;=7,"High")</f>
        <v>Medium</v>
      </c>
      <c r="O1080" s="2" t="str">
        <f>IF(AND(Table1[[#This Row],[fixed acidity]]&gt;Sheet1!$C$4,Table1[[#This Row],[pH]]&lt;Sheet1!$K$4),"High","Normal")</f>
        <v>High</v>
      </c>
      <c r="P1080" s="1">
        <f>(Table1[[#This Row],[alcohol]]*2)+(Table1[[#This Row],[sulphates]]*1.5)-(Table1[[#This Row],[volatile acidity]]*2)</f>
        <v>22.130000000000003</v>
      </c>
      <c r="Q1080" s="1">
        <f>RANK(Table1[[#This Row],[Quality_score_index]],Table1[Quality_score_index],0)</f>
        <v>432</v>
      </c>
      <c r="R1080" s="1">
        <f>Table1[[#This Row],[total sulfur dioxide]]-Table1[[#This Row],[free sulfur dioxide]]</f>
        <v>5</v>
      </c>
      <c r="S1080" s="1" t="str">
        <f>IF(AND(Table1[[#This Row],[pH]]&gt;=3.2,Table1[[#This Row],[alcohol]]&gt;=10),"White wine","Red wine")</f>
        <v>White wine</v>
      </c>
    </row>
    <row r="1081" spans="1:19" x14ac:dyDescent="0.3">
      <c r="A1081" s="13">
        <v>1080</v>
      </c>
      <c r="B1081" s="1">
        <v>7.9</v>
      </c>
      <c r="C1081" s="1">
        <v>0.3</v>
      </c>
      <c r="D1081" s="1">
        <v>0.68</v>
      </c>
      <c r="E1081" s="1">
        <v>8.3000000000000007</v>
      </c>
      <c r="F1081" s="1">
        <v>0.05</v>
      </c>
      <c r="G1081" s="1">
        <v>37.5</v>
      </c>
      <c r="H1081" s="1">
        <v>278</v>
      </c>
      <c r="I1081" s="1">
        <v>0.99316000000000004</v>
      </c>
      <c r="J1081" s="1">
        <v>3.01</v>
      </c>
      <c r="K1081" s="1">
        <v>0.51</v>
      </c>
      <c r="L1081" s="1">
        <v>12.3</v>
      </c>
      <c r="M1081" s="2">
        <v>7</v>
      </c>
      <c r="N1081" s="2" t="str" cm="1">
        <f t="array" ref="N1081">_xlfn.IFS(Table1[[#This Row],[quality]]&lt;=4,"Low",Table1[[#This Row],[quality]]&lt;=6,"Medium",Table1[[#This Row],[quality]]&gt;=7,"High")</f>
        <v>High</v>
      </c>
      <c r="O1081" s="2" t="str">
        <f>IF(AND(Table1[[#This Row],[fixed acidity]]&gt;Sheet1!$C$4,Table1[[#This Row],[pH]]&lt;Sheet1!$K$4),"High","Normal")</f>
        <v>Normal</v>
      </c>
      <c r="P1081" s="1">
        <f>(Table1[[#This Row],[alcohol]]*2)+(Table1[[#This Row],[sulphates]]*1.5)-(Table1[[#This Row],[volatile acidity]]*2)</f>
        <v>24.765000000000001</v>
      </c>
      <c r="Q1081" s="1">
        <f>RANK(Table1[[#This Row],[Quality_score_index]],Table1[Quality_score_index],0)</f>
        <v>105</v>
      </c>
      <c r="R1081" s="1">
        <f>Table1[[#This Row],[total sulfur dioxide]]-Table1[[#This Row],[free sulfur dioxide]]</f>
        <v>240.5</v>
      </c>
      <c r="S1081" s="1" t="str">
        <f>IF(AND(Table1[[#This Row],[pH]]&gt;=3.2,Table1[[#This Row],[alcohol]]&gt;=10),"White wine","Red wine")</f>
        <v>Red wine</v>
      </c>
    </row>
    <row r="1082" spans="1:19" x14ac:dyDescent="0.3">
      <c r="A1082" s="13">
        <v>1081</v>
      </c>
      <c r="B1082" s="1">
        <v>10.3</v>
      </c>
      <c r="C1082" s="1">
        <v>0.27</v>
      </c>
      <c r="D1082" s="1">
        <v>0.56000000000000005</v>
      </c>
      <c r="E1082" s="1">
        <v>1.4</v>
      </c>
      <c r="F1082" s="1">
        <v>4.7E-2</v>
      </c>
      <c r="G1082" s="1">
        <v>3</v>
      </c>
      <c r="H1082" s="1">
        <v>8</v>
      </c>
      <c r="I1082" s="1">
        <v>0.99470999999999998</v>
      </c>
      <c r="J1082" s="1">
        <v>3.16</v>
      </c>
      <c r="K1082" s="1">
        <v>0.51</v>
      </c>
      <c r="L1082" s="1">
        <v>11.8</v>
      </c>
      <c r="M1082" s="2">
        <v>6</v>
      </c>
      <c r="N1082" s="2" t="str" cm="1">
        <f t="array" ref="N1082">_xlfn.IFS(Table1[[#This Row],[quality]]&lt;=4,"Low",Table1[[#This Row],[quality]]&lt;=6,"Medium",Table1[[#This Row],[quality]]&gt;=7,"High")</f>
        <v>Medium</v>
      </c>
      <c r="O1082" s="2" t="str">
        <f>IF(AND(Table1[[#This Row],[fixed acidity]]&gt;Sheet1!$C$4,Table1[[#This Row],[pH]]&lt;Sheet1!$K$4),"High","Normal")</f>
        <v>High</v>
      </c>
      <c r="P1082" s="1">
        <f>(Table1[[#This Row],[alcohol]]*2)+(Table1[[#This Row],[sulphates]]*1.5)-(Table1[[#This Row],[volatile acidity]]*2)</f>
        <v>23.825000000000003</v>
      </c>
      <c r="Q1082" s="1">
        <f>RANK(Table1[[#This Row],[Quality_score_index]],Table1[Quality_score_index],0)</f>
        <v>192</v>
      </c>
      <c r="R1082" s="1">
        <f>Table1[[#This Row],[total sulfur dioxide]]-Table1[[#This Row],[free sulfur dioxide]]</f>
        <v>5</v>
      </c>
      <c r="S1082" s="1" t="str">
        <f>IF(AND(Table1[[#This Row],[pH]]&gt;=3.2,Table1[[#This Row],[alcohol]]&gt;=10),"White wine","Red wine")</f>
        <v>Red wine</v>
      </c>
    </row>
    <row r="1083" spans="1:19" x14ac:dyDescent="0.3">
      <c r="A1083" s="13">
        <v>1082</v>
      </c>
      <c r="B1083" s="1">
        <v>7.9</v>
      </c>
      <c r="C1083" s="1">
        <v>0.3</v>
      </c>
      <c r="D1083" s="1">
        <v>0.68</v>
      </c>
      <c r="E1083" s="1">
        <v>8.3000000000000007</v>
      </c>
      <c r="F1083" s="1">
        <v>0.05</v>
      </c>
      <c r="G1083" s="1">
        <v>37.5</v>
      </c>
      <c r="H1083" s="1">
        <v>289</v>
      </c>
      <c r="I1083" s="1">
        <v>0.99316000000000004</v>
      </c>
      <c r="J1083" s="1">
        <v>3.01</v>
      </c>
      <c r="K1083" s="1">
        <v>0.51</v>
      </c>
      <c r="L1083" s="1">
        <v>12.3</v>
      </c>
      <c r="M1083" s="2">
        <v>7</v>
      </c>
      <c r="N1083" s="2" t="str" cm="1">
        <f t="array" ref="N1083">_xlfn.IFS(Table1[[#This Row],[quality]]&lt;=4,"Low",Table1[[#This Row],[quality]]&lt;=6,"Medium",Table1[[#This Row],[quality]]&gt;=7,"High")</f>
        <v>High</v>
      </c>
      <c r="O1083" s="2" t="str">
        <f>IF(AND(Table1[[#This Row],[fixed acidity]]&gt;Sheet1!$C$4,Table1[[#This Row],[pH]]&lt;Sheet1!$K$4),"High","Normal")</f>
        <v>Normal</v>
      </c>
      <c r="P1083" s="1">
        <f>(Table1[[#This Row],[alcohol]]*2)+(Table1[[#This Row],[sulphates]]*1.5)-(Table1[[#This Row],[volatile acidity]]*2)</f>
        <v>24.765000000000001</v>
      </c>
      <c r="Q1083" s="1">
        <f>RANK(Table1[[#This Row],[Quality_score_index]],Table1[Quality_score_index],0)</f>
        <v>105</v>
      </c>
      <c r="R1083" s="1">
        <f>Table1[[#This Row],[total sulfur dioxide]]-Table1[[#This Row],[free sulfur dioxide]]</f>
        <v>251.5</v>
      </c>
      <c r="S1083" s="1" t="str">
        <f>IF(AND(Table1[[#This Row],[pH]]&gt;=3.2,Table1[[#This Row],[alcohol]]&gt;=10),"White wine","Red wine")</f>
        <v>Red wine</v>
      </c>
    </row>
    <row r="1084" spans="1:19" x14ac:dyDescent="0.3">
      <c r="A1084" s="13">
        <v>1083</v>
      </c>
      <c r="B1084" s="1">
        <v>7.2</v>
      </c>
      <c r="C1084" s="1">
        <v>0.38</v>
      </c>
      <c r="D1084" s="1">
        <v>0.3</v>
      </c>
      <c r="E1084" s="1">
        <v>1.8</v>
      </c>
      <c r="F1084" s="1">
        <v>7.2999999999999995E-2</v>
      </c>
      <c r="G1084" s="1">
        <v>31</v>
      </c>
      <c r="H1084" s="1">
        <v>70</v>
      </c>
      <c r="I1084" s="1">
        <v>0.99685000000000001</v>
      </c>
      <c r="J1084" s="1">
        <v>3.42</v>
      </c>
      <c r="K1084" s="1">
        <v>0.59</v>
      </c>
      <c r="L1084" s="1">
        <v>9.5</v>
      </c>
      <c r="M1084" s="2">
        <v>6</v>
      </c>
      <c r="N1084" s="2" t="str" cm="1">
        <f t="array" ref="N1084">_xlfn.IFS(Table1[[#This Row],[quality]]&lt;=4,"Low",Table1[[#This Row],[quality]]&lt;=6,"Medium",Table1[[#This Row],[quality]]&gt;=7,"High")</f>
        <v>Medium</v>
      </c>
      <c r="O1084" s="2" t="str">
        <f>IF(AND(Table1[[#This Row],[fixed acidity]]&gt;Sheet1!$C$4,Table1[[#This Row],[pH]]&lt;Sheet1!$K$4),"High","Normal")</f>
        <v>Normal</v>
      </c>
      <c r="P1084" s="1">
        <f>(Table1[[#This Row],[alcohol]]*2)+(Table1[[#This Row],[sulphates]]*1.5)-(Table1[[#This Row],[volatile acidity]]*2)</f>
        <v>19.125</v>
      </c>
      <c r="Q1084" s="1">
        <f>RANK(Table1[[#This Row],[Quality_score_index]],Table1[Quality_score_index],0)</f>
        <v>1111</v>
      </c>
      <c r="R1084" s="1">
        <f>Table1[[#This Row],[total sulfur dioxide]]-Table1[[#This Row],[free sulfur dioxide]]</f>
        <v>39</v>
      </c>
      <c r="S1084" s="1" t="str">
        <f>IF(AND(Table1[[#This Row],[pH]]&gt;=3.2,Table1[[#This Row],[alcohol]]&gt;=10),"White wine","Red wine")</f>
        <v>Red wine</v>
      </c>
    </row>
    <row r="1085" spans="1:19" x14ac:dyDescent="0.3">
      <c r="A1085" s="13">
        <v>1084</v>
      </c>
      <c r="B1085" s="1">
        <v>8.6999999999999993</v>
      </c>
      <c r="C1085" s="1">
        <v>0.42</v>
      </c>
      <c r="D1085" s="1">
        <v>0.45</v>
      </c>
      <c r="E1085" s="1">
        <v>2.4</v>
      </c>
      <c r="F1085" s="1">
        <v>7.1999999999999995E-2</v>
      </c>
      <c r="G1085" s="1">
        <v>32</v>
      </c>
      <c r="H1085" s="1">
        <v>59</v>
      </c>
      <c r="I1085" s="1">
        <v>0.99617</v>
      </c>
      <c r="J1085" s="1">
        <v>3.33</v>
      </c>
      <c r="K1085" s="1">
        <v>0.77</v>
      </c>
      <c r="L1085" s="1">
        <v>12</v>
      </c>
      <c r="M1085" s="2">
        <v>6</v>
      </c>
      <c r="N1085" s="2" t="str" cm="1">
        <f t="array" ref="N1085">_xlfn.IFS(Table1[[#This Row],[quality]]&lt;=4,"Low",Table1[[#This Row],[quality]]&lt;=6,"Medium",Table1[[#This Row],[quality]]&gt;=7,"High")</f>
        <v>Medium</v>
      </c>
      <c r="O1085" s="2" t="str">
        <f>IF(AND(Table1[[#This Row],[fixed acidity]]&gt;Sheet1!$C$4,Table1[[#This Row],[pH]]&lt;Sheet1!$K$4),"High","Normal")</f>
        <v>Normal</v>
      </c>
      <c r="P1085" s="1">
        <f>(Table1[[#This Row],[alcohol]]*2)+(Table1[[#This Row],[sulphates]]*1.5)-(Table1[[#This Row],[volatile acidity]]*2)</f>
        <v>24.315000000000001</v>
      </c>
      <c r="Q1085" s="1">
        <f>RANK(Table1[[#This Row],[Quality_score_index]],Table1[Quality_score_index],0)</f>
        <v>150</v>
      </c>
      <c r="R1085" s="1">
        <f>Table1[[#This Row],[total sulfur dioxide]]-Table1[[#This Row],[free sulfur dioxide]]</f>
        <v>27</v>
      </c>
      <c r="S1085" s="1" t="str">
        <f>IF(AND(Table1[[#This Row],[pH]]&gt;=3.2,Table1[[#This Row],[alcohol]]&gt;=10),"White wine","Red wine")</f>
        <v>White wine</v>
      </c>
    </row>
    <row r="1086" spans="1:19" x14ac:dyDescent="0.3">
      <c r="A1086" s="13">
        <v>1085</v>
      </c>
      <c r="B1086" s="1">
        <v>7.2</v>
      </c>
      <c r="C1086" s="1">
        <v>0.38</v>
      </c>
      <c r="D1086" s="1">
        <v>0.3</v>
      </c>
      <c r="E1086" s="1">
        <v>1.8</v>
      </c>
      <c r="F1086" s="1">
        <v>7.2999999999999995E-2</v>
      </c>
      <c r="G1086" s="1">
        <v>31</v>
      </c>
      <c r="H1086" s="1">
        <v>70</v>
      </c>
      <c r="I1086" s="1">
        <v>0.99685000000000001</v>
      </c>
      <c r="J1086" s="1">
        <v>3.42</v>
      </c>
      <c r="K1086" s="1">
        <v>0.59</v>
      </c>
      <c r="L1086" s="1">
        <v>9.5</v>
      </c>
      <c r="M1086" s="2">
        <v>6</v>
      </c>
      <c r="N1086" s="2" t="str" cm="1">
        <f t="array" ref="N1086">_xlfn.IFS(Table1[[#This Row],[quality]]&lt;=4,"Low",Table1[[#This Row],[quality]]&lt;=6,"Medium",Table1[[#This Row],[quality]]&gt;=7,"High")</f>
        <v>Medium</v>
      </c>
      <c r="O1086" s="2" t="str">
        <f>IF(AND(Table1[[#This Row],[fixed acidity]]&gt;Sheet1!$C$4,Table1[[#This Row],[pH]]&lt;Sheet1!$K$4),"High","Normal")</f>
        <v>Normal</v>
      </c>
      <c r="P1086" s="1">
        <f>(Table1[[#This Row],[alcohol]]*2)+(Table1[[#This Row],[sulphates]]*1.5)-(Table1[[#This Row],[volatile acidity]]*2)</f>
        <v>19.125</v>
      </c>
      <c r="Q1086" s="1">
        <f>RANK(Table1[[#This Row],[Quality_score_index]],Table1[Quality_score_index],0)</f>
        <v>1111</v>
      </c>
      <c r="R1086" s="1">
        <f>Table1[[#This Row],[total sulfur dioxide]]-Table1[[#This Row],[free sulfur dioxide]]</f>
        <v>39</v>
      </c>
      <c r="S1086" s="1" t="str">
        <f>IF(AND(Table1[[#This Row],[pH]]&gt;=3.2,Table1[[#This Row],[alcohol]]&gt;=10),"White wine","Red wine")</f>
        <v>Red wine</v>
      </c>
    </row>
    <row r="1087" spans="1:19" x14ac:dyDescent="0.3">
      <c r="A1087" s="13">
        <v>1086</v>
      </c>
      <c r="B1087" s="1">
        <v>6.8</v>
      </c>
      <c r="C1087" s="1">
        <v>0.48</v>
      </c>
      <c r="D1087" s="1">
        <v>0.08</v>
      </c>
      <c r="E1087" s="1">
        <v>1.8</v>
      </c>
      <c r="F1087" s="1">
        <v>7.3999999999999996E-2</v>
      </c>
      <c r="G1087" s="1">
        <v>40</v>
      </c>
      <c r="H1087" s="1">
        <v>64</v>
      </c>
      <c r="I1087" s="1">
        <v>0.99529000000000001</v>
      </c>
      <c r="J1087" s="1">
        <v>3.12</v>
      </c>
      <c r="K1087" s="1">
        <v>0.49</v>
      </c>
      <c r="L1087" s="1">
        <v>9.6</v>
      </c>
      <c r="M1087" s="2">
        <v>5</v>
      </c>
      <c r="N1087" s="2" t="str" cm="1">
        <f t="array" ref="N1087">_xlfn.IFS(Table1[[#This Row],[quality]]&lt;=4,"Low",Table1[[#This Row],[quality]]&lt;=6,"Medium",Table1[[#This Row],[quality]]&gt;=7,"High")</f>
        <v>Medium</v>
      </c>
      <c r="O1087" s="2" t="str">
        <f>IF(AND(Table1[[#This Row],[fixed acidity]]&gt;Sheet1!$C$4,Table1[[#This Row],[pH]]&lt;Sheet1!$K$4),"High","Normal")</f>
        <v>Normal</v>
      </c>
      <c r="P1087" s="1">
        <f>(Table1[[#This Row],[alcohol]]*2)+(Table1[[#This Row],[sulphates]]*1.5)-(Table1[[#This Row],[volatile acidity]]*2)</f>
        <v>18.974999999999998</v>
      </c>
      <c r="Q1087" s="1">
        <f>RANK(Table1[[#This Row],[Quality_score_index]],Table1[Quality_score_index],0)</f>
        <v>1173</v>
      </c>
      <c r="R1087" s="1">
        <f>Table1[[#This Row],[total sulfur dioxide]]-Table1[[#This Row],[free sulfur dioxide]]</f>
        <v>24</v>
      </c>
      <c r="S1087" s="1" t="str">
        <f>IF(AND(Table1[[#This Row],[pH]]&gt;=3.2,Table1[[#This Row],[alcohol]]&gt;=10),"White wine","Red wine")</f>
        <v>Red wine</v>
      </c>
    </row>
    <row r="1088" spans="1:19" x14ac:dyDescent="0.3">
      <c r="A1088" s="13">
        <v>1087</v>
      </c>
      <c r="B1088" s="1">
        <v>8.5</v>
      </c>
      <c r="C1088" s="1">
        <v>0.34</v>
      </c>
      <c r="D1088" s="1">
        <v>0.4</v>
      </c>
      <c r="E1088" s="1">
        <v>4.7</v>
      </c>
      <c r="F1088" s="1">
        <v>5.5E-2</v>
      </c>
      <c r="G1088" s="1">
        <v>3</v>
      </c>
      <c r="H1088" s="1">
        <v>9</v>
      </c>
      <c r="I1088" s="1">
        <v>0.99738000000000004</v>
      </c>
      <c r="J1088" s="1">
        <v>3.38</v>
      </c>
      <c r="K1088" s="1">
        <v>0.66</v>
      </c>
      <c r="L1088" s="1">
        <v>11.6</v>
      </c>
      <c r="M1088" s="2">
        <v>7</v>
      </c>
      <c r="N1088" s="2" t="str" cm="1">
        <f t="array" ref="N1088">_xlfn.IFS(Table1[[#This Row],[quality]]&lt;=4,"Low",Table1[[#This Row],[quality]]&lt;=6,"Medium",Table1[[#This Row],[quality]]&gt;=7,"High")</f>
        <v>High</v>
      </c>
      <c r="O1088" s="2" t="str">
        <f>IF(AND(Table1[[#This Row],[fixed acidity]]&gt;Sheet1!$C$4,Table1[[#This Row],[pH]]&lt;Sheet1!$K$4),"High","Normal")</f>
        <v>Normal</v>
      </c>
      <c r="P1088" s="1">
        <f>(Table1[[#This Row],[alcohol]]*2)+(Table1[[#This Row],[sulphates]]*1.5)-(Table1[[#This Row],[volatile acidity]]*2)</f>
        <v>23.509999999999998</v>
      </c>
      <c r="Q1088" s="1">
        <f>RANK(Table1[[#This Row],[Quality_score_index]],Table1[Quality_score_index],0)</f>
        <v>221</v>
      </c>
      <c r="R1088" s="1">
        <f>Table1[[#This Row],[total sulfur dioxide]]-Table1[[#This Row],[free sulfur dioxide]]</f>
        <v>6</v>
      </c>
      <c r="S1088" s="1" t="str">
        <f>IF(AND(Table1[[#This Row],[pH]]&gt;=3.2,Table1[[#This Row],[alcohol]]&gt;=10),"White wine","Red wine")</f>
        <v>White wine</v>
      </c>
    </row>
    <row r="1089" spans="1:19" x14ac:dyDescent="0.3">
      <c r="A1089" s="13">
        <v>1088</v>
      </c>
      <c r="B1089" s="1">
        <v>7.9</v>
      </c>
      <c r="C1089" s="1">
        <v>0.19</v>
      </c>
      <c r="D1089" s="1">
        <v>0.42</v>
      </c>
      <c r="E1089" s="1">
        <v>1.6</v>
      </c>
      <c r="F1089" s="1">
        <v>5.7000000000000002E-2</v>
      </c>
      <c r="G1089" s="1">
        <v>18</v>
      </c>
      <c r="H1089" s="1">
        <v>30</v>
      </c>
      <c r="I1089" s="1">
        <v>0.99399999999999999</v>
      </c>
      <c r="J1089" s="1">
        <v>3.29</v>
      </c>
      <c r="K1089" s="1">
        <v>0.69</v>
      </c>
      <c r="L1089" s="1">
        <v>11.2</v>
      </c>
      <c r="M1089" s="2">
        <v>6</v>
      </c>
      <c r="N1089" s="2" t="str" cm="1">
        <f t="array" ref="N1089">_xlfn.IFS(Table1[[#This Row],[quality]]&lt;=4,"Low",Table1[[#This Row],[quality]]&lt;=6,"Medium",Table1[[#This Row],[quality]]&gt;=7,"High")</f>
        <v>Medium</v>
      </c>
      <c r="O1089" s="2" t="str">
        <f>IF(AND(Table1[[#This Row],[fixed acidity]]&gt;Sheet1!$C$4,Table1[[#This Row],[pH]]&lt;Sheet1!$K$4),"High","Normal")</f>
        <v>Normal</v>
      </c>
      <c r="P1089" s="1">
        <f>(Table1[[#This Row],[alcohol]]*2)+(Table1[[#This Row],[sulphates]]*1.5)-(Table1[[#This Row],[volatile acidity]]*2)</f>
        <v>23.055</v>
      </c>
      <c r="Q1089" s="1">
        <f>RANK(Table1[[#This Row],[Quality_score_index]],Table1[Quality_score_index],0)</f>
        <v>263</v>
      </c>
      <c r="R1089" s="1">
        <f>Table1[[#This Row],[total sulfur dioxide]]-Table1[[#This Row],[free sulfur dioxide]]</f>
        <v>12</v>
      </c>
      <c r="S1089" s="1" t="str">
        <f>IF(AND(Table1[[#This Row],[pH]]&gt;=3.2,Table1[[#This Row],[alcohol]]&gt;=10),"White wine","Red wine")</f>
        <v>White wine</v>
      </c>
    </row>
    <row r="1090" spans="1:19" x14ac:dyDescent="0.3">
      <c r="A1090" s="13">
        <v>1089</v>
      </c>
      <c r="B1090" s="1">
        <v>11.6</v>
      </c>
      <c r="C1090" s="1">
        <v>0.41</v>
      </c>
      <c r="D1090" s="1">
        <v>0.54</v>
      </c>
      <c r="E1090" s="1">
        <v>1.5</v>
      </c>
      <c r="F1090" s="1">
        <v>9.5000000000000001E-2</v>
      </c>
      <c r="G1090" s="1">
        <v>22</v>
      </c>
      <c r="H1090" s="1">
        <v>41</v>
      </c>
      <c r="I1090" s="1">
        <v>0.99734999999999996</v>
      </c>
      <c r="J1090" s="1">
        <v>3.02</v>
      </c>
      <c r="K1090" s="1">
        <v>0.76</v>
      </c>
      <c r="L1090" s="1">
        <v>9.9</v>
      </c>
      <c r="M1090" s="2">
        <v>7</v>
      </c>
      <c r="N1090" s="2" t="str" cm="1">
        <f t="array" ref="N1090">_xlfn.IFS(Table1[[#This Row],[quality]]&lt;=4,"Low",Table1[[#This Row],[quality]]&lt;=6,"Medium",Table1[[#This Row],[quality]]&gt;=7,"High")</f>
        <v>High</v>
      </c>
      <c r="O1090" s="2" t="str">
        <f>IF(AND(Table1[[#This Row],[fixed acidity]]&gt;Sheet1!$C$4,Table1[[#This Row],[pH]]&lt;Sheet1!$K$4),"High","Normal")</f>
        <v>High</v>
      </c>
      <c r="P1090" s="1">
        <f>(Table1[[#This Row],[alcohol]]*2)+(Table1[[#This Row],[sulphates]]*1.5)-(Table1[[#This Row],[volatile acidity]]*2)</f>
        <v>20.12</v>
      </c>
      <c r="Q1090" s="1">
        <f>RANK(Table1[[#This Row],[Quality_score_index]],Table1[Quality_score_index],0)</f>
        <v>834</v>
      </c>
      <c r="R1090" s="1">
        <f>Table1[[#This Row],[total sulfur dioxide]]-Table1[[#This Row],[free sulfur dioxide]]</f>
        <v>19</v>
      </c>
      <c r="S1090" s="1" t="str">
        <f>IF(AND(Table1[[#This Row],[pH]]&gt;=3.2,Table1[[#This Row],[alcohol]]&gt;=10),"White wine","Red wine")</f>
        <v>Red wine</v>
      </c>
    </row>
    <row r="1091" spans="1:19" x14ac:dyDescent="0.3">
      <c r="A1091" s="13">
        <v>1090</v>
      </c>
      <c r="B1091" s="1">
        <v>11.6</v>
      </c>
      <c r="C1091" s="1">
        <v>0.41</v>
      </c>
      <c r="D1091" s="1">
        <v>0.54</v>
      </c>
      <c r="E1091" s="1">
        <v>1.5</v>
      </c>
      <c r="F1091" s="1">
        <v>9.5000000000000001E-2</v>
      </c>
      <c r="G1091" s="1">
        <v>22</v>
      </c>
      <c r="H1091" s="1">
        <v>41</v>
      </c>
      <c r="I1091" s="1">
        <v>0.99734999999999996</v>
      </c>
      <c r="J1091" s="1">
        <v>3.02</v>
      </c>
      <c r="K1091" s="1">
        <v>0.76</v>
      </c>
      <c r="L1091" s="1">
        <v>9.9</v>
      </c>
      <c r="M1091" s="2">
        <v>7</v>
      </c>
      <c r="N1091" s="2" t="str" cm="1">
        <f t="array" ref="N1091">_xlfn.IFS(Table1[[#This Row],[quality]]&lt;=4,"Low",Table1[[#This Row],[quality]]&lt;=6,"Medium",Table1[[#This Row],[quality]]&gt;=7,"High")</f>
        <v>High</v>
      </c>
      <c r="O1091" s="2" t="str">
        <f>IF(AND(Table1[[#This Row],[fixed acidity]]&gt;Sheet1!$C$4,Table1[[#This Row],[pH]]&lt;Sheet1!$K$4),"High","Normal")</f>
        <v>High</v>
      </c>
      <c r="P1091" s="1">
        <f>(Table1[[#This Row],[alcohol]]*2)+(Table1[[#This Row],[sulphates]]*1.5)-(Table1[[#This Row],[volatile acidity]]*2)</f>
        <v>20.12</v>
      </c>
      <c r="Q1091" s="1">
        <f>RANK(Table1[[#This Row],[Quality_score_index]],Table1[Quality_score_index],0)</f>
        <v>834</v>
      </c>
      <c r="R1091" s="1">
        <f>Table1[[#This Row],[total sulfur dioxide]]-Table1[[#This Row],[free sulfur dioxide]]</f>
        <v>19</v>
      </c>
      <c r="S1091" s="1" t="str">
        <f>IF(AND(Table1[[#This Row],[pH]]&gt;=3.2,Table1[[#This Row],[alcohol]]&gt;=10),"White wine","Red wine")</f>
        <v>Red wine</v>
      </c>
    </row>
    <row r="1092" spans="1:19" x14ac:dyDescent="0.3">
      <c r="A1092" s="13">
        <v>1091</v>
      </c>
      <c r="B1092" s="1">
        <v>10</v>
      </c>
      <c r="C1092" s="1">
        <v>0.26</v>
      </c>
      <c r="D1092" s="1">
        <v>0.54</v>
      </c>
      <c r="E1092" s="1">
        <v>1.9</v>
      </c>
      <c r="F1092" s="1">
        <v>8.3000000000000004E-2</v>
      </c>
      <c r="G1092" s="1">
        <v>42</v>
      </c>
      <c r="H1092" s="1">
        <v>74</v>
      </c>
      <c r="I1092" s="1">
        <v>0.99451000000000001</v>
      </c>
      <c r="J1092" s="1">
        <v>2.98</v>
      </c>
      <c r="K1092" s="1">
        <v>0.63</v>
      </c>
      <c r="L1092" s="1">
        <v>11.8</v>
      </c>
      <c r="M1092" s="2">
        <v>8</v>
      </c>
      <c r="N1092" s="2" t="str" cm="1">
        <f t="array" ref="N1092">_xlfn.IFS(Table1[[#This Row],[quality]]&lt;=4,"Low",Table1[[#This Row],[quality]]&lt;=6,"Medium",Table1[[#This Row],[quality]]&gt;=7,"High")</f>
        <v>High</v>
      </c>
      <c r="O1092" s="2" t="str">
        <f>IF(AND(Table1[[#This Row],[fixed acidity]]&gt;Sheet1!$C$4,Table1[[#This Row],[pH]]&lt;Sheet1!$K$4),"High","Normal")</f>
        <v>High</v>
      </c>
      <c r="P1092" s="1">
        <f>(Table1[[#This Row],[alcohol]]*2)+(Table1[[#This Row],[sulphates]]*1.5)-(Table1[[#This Row],[volatile acidity]]*2)</f>
        <v>24.025000000000002</v>
      </c>
      <c r="Q1092" s="1">
        <f>RANK(Table1[[#This Row],[Quality_score_index]],Table1[Quality_score_index],0)</f>
        <v>177</v>
      </c>
      <c r="R1092" s="1">
        <f>Table1[[#This Row],[total sulfur dioxide]]-Table1[[#This Row],[free sulfur dioxide]]</f>
        <v>32</v>
      </c>
      <c r="S1092" s="1" t="str">
        <f>IF(AND(Table1[[#This Row],[pH]]&gt;=3.2,Table1[[#This Row],[alcohol]]&gt;=10),"White wine","Red wine")</f>
        <v>Red wine</v>
      </c>
    </row>
    <row r="1093" spans="1:19" x14ac:dyDescent="0.3">
      <c r="A1093" s="13">
        <v>1092</v>
      </c>
      <c r="B1093" s="1">
        <v>7.9</v>
      </c>
      <c r="C1093" s="1">
        <v>0.34</v>
      </c>
      <c r="D1093" s="1">
        <v>0.42</v>
      </c>
      <c r="E1093" s="1">
        <v>2</v>
      </c>
      <c r="F1093" s="1">
        <v>8.5999999999999993E-2</v>
      </c>
      <c r="G1093" s="1">
        <v>8</v>
      </c>
      <c r="H1093" s="1">
        <v>19</v>
      </c>
      <c r="I1093" s="1">
        <v>0.99546000000000001</v>
      </c>
      <c r="J1093" s="1">
        <v>3.35</v>
      </c>
      <c r="K1093" s="1">
        <v>0.6</v>
      </c>
      <c r="L1093" s="1">
        <v>11.4</v>
      </c>
      <c r="M1093" s="2">
        <v>6</v>
      </c>
      <c r="N1093" s="2" t="str" cm="1">
        <f t="array" ref="N1093">_xlfn.IFS(Table1[[#This Row],[quality]]&lt;=4,"Low",Table1[[#This Row],[quality]]&lt;=6,"Medium",Table1[[#This Row],[quality]]&gt;=7,"High")</f>
        <v>Medium</v>
      </c>
      <c r="O1093" s="2" t="str">
        <f>IF(AND(Table1[[#This Row],[fixed acidity]]&gt;Sheet1!$C$4,Table1[[#This Row],[pH]]&lt;Sheet1!$K$4),"High","Normal")</f>
        <v>Normal</v>
      </c>
      <c r="P1093" s="1">
        <f>(Table1[[#This Row],[alcohol]]*2)+(Table1[[#This Row],[sulphates]]*1.5)-(Table1[[#This Row],[volatile acidity]]*2)</f>
        <v>23.02</v>
      </c>
      <c r="Q1093" s="1">
        <f>RANK(Table1[[#This Row],[Quality_score_index]],Table1[Quality_score_index],0)</f>
        <v>269</v>
      </c>
      <c r="R1093" s="1">
        <f>Table1[[#This Row],[total sulfur dioxide]]-Table1[[#This Row],[free sulfur dioxide]]</f>
        <v>11</v>
      </c>
      <c r="S1093" s="1" t="str">
        <f>IF(AND(Table1[[#This Row],[pH]]&gt;=3.2,Table1[[#This Row],[alcohol]]&gt;=10),"White wine","Red wine")</f>
        <v>White wine</v>
      </c>
    </row>
    <row r="1094" spans="1:19" x14ac:dyDescent="0.3">
      <c r="A1094" s="13">
        <v>1093</v>
      </c>
      <c r="B1094" s="1">
        <v>7</v>
      </c>
      <c r="C1094" s="1">
        <v>0.54</v>
      </c>
      <c r="D1094" s="1">
        <v>0.09</v>
      </c>
      <c r="E1094" s="1">
        <v>2</v>
      </c>
      <c r="F1094" s="1">
        <v>8.1000000000000003E-2</v>
      </c>
      <c r="G1094" s="1">
        <v>10</v>
      </c>
      <c r="H1094" s="1">
        <v>16</v>
      </c>
      <c r="I1094" s="1">
        <v>0.99478999999999995</v>
      </c>
      <c r="J1094" s="1">
        <v>3.43</v>
      </c>
      <c r="K1094" s="1">
        <v>0.59</v>
      </c>
      <c r="L1094" s="1">
        <v>11.5</v>
      </c>
      <c r="M1094" s="2">
        <v>6</v>
      </c>
      <c r="N1094" s="2" t="str" cm="1">
        <f t="array" ref="N1094">_xlfn.IFS(Table1[[#This Row],[quality]]&lt;=4,"Low",Table1[[#This Row],[quality]]&lt;=6,"Medium",Table1[[#This Row],[quality]]&gt;=7,"High")</f>
        <v>Medium</v>
      </c>
      <c r="O1094" s="2" t="str">
        <f>IF(AND(Table1[[#This Row],[fixed acidity]]&gt;Sheet1!$C$4,Table1[[#This Row],[pH]]&lt;Sheet1!$K$4),"High","Normal")</f>
        <v>Normal</v>
      </c>
      <c r="P1094" s="1">
        <f>(Table1[[#This Row],[alcohol]]*2)+(Table1[[#This Row],[sulphates]]*1.5)-(Table1[[#This Row],[volatile acidity]]*2)</f>
        <v>22.805</v>
      </c>
      <c r="Q1094" s="1">
        <f>RANK(Table1[[#This Row],[Quality_score_index]],Table1[Quality_score_index],0)</f>
        <v>312</v>
      </c>
      <c r="R1094" s="1">
        <f>Table1[[#This Row],[total sulfur dioxide]]-Table1[[#This Row],[free sulfur dioxide]]</f>
        <v>6</v>
      </c>
      <c r="S1094" s="1" t="str">
        <f>IF(AND(Table1[[#This Row],[pH]]&gt;=3.2,Table1[[#This Row],[alcohol]]&gt;=10),"White wine","Red wine")</f>
        <v>White wine</v>
      </c>
    </row>
    <row r="1095" spans="1:19" x14ac:dyDescent="0.3">
      <c r="A1095" s="13">
        <v>1094</v>
      </c>
      <c r="B1095" s="1">
        <v>9.1999999999999993</v>
      </c>
      <c r="C1095" s="1">
        <v>0.31</v>
      </c>
      <c r="D1095" s="1">
        <v>0.36</v>
      </c>
      <c r="E1095" s="1">
        <v>2.2000000000000002</v>
      </c>
      <c r="F1095" s="1">
        <v>7.9000000000000001E-2</v>
      </c>
      <c r="G1095" s="1">
        <v>11</v>
      </c>
      <c r="H1095" s="1">
        <v>31</v>
      </c>
      <c r="I1095" s="1">
        <v>0.99614999999999998</v>
      </c>
      <c r="J1095" s="1">
        <v>3.33</v>
      </c>
      <c r="K1095" s="1">
        <v>0.86</v>
      </c>
      <c r="L1095" s="1">
        <v>12</v>
      </c>
      <c r="M1095" s="2">
        <v>7</v>
      </c>
      <c r="N1095" s="2" t="str" cm="1">
        <f t="array" ref="N1095">_xlfn.IFS(Table1[[#This Row],[quality]]&lt;=4,"Low",Table1[[#This Row],[quality]]&lt;=6,"Medium",Table1[[#This Row],[quality]]&gt;=7,"High")</f>
        <v>High</v>
      </c>
      <c r="O1095" s="2" t="str">
        <f>IF(AND(Table1[[#This Row],[fixed acidity]]&gt;Sheet1!$C$4,Table1[[#This Row],[pH]]&lt;Sheet1!$K$4),"High","Normal")</f>
        <v>Normal</v>
      </c>
      <c r="P1095" s="1">
        <f>(Table1[[#This Row],[alcohol]]*2)+(Table1[[#This Row],[sulphates]]*1.5)-(Table1[[#This Row],[volatile acidity]]*2)</f>
        <v>24.669999999999998</v>
      </c>
      <c r="Q1095" s="1">
        <f>RANK(Table1[[#This Row],[Quality_score_index]],Table1[Quality_score_index],0)</f>
        <v>115</v>
      </c>
      <c r="R1095" s="1">
        <f>Table1[[#This Row],[total sulfur dioxide]]-Table1[[#This Row],[free sulfur dioxide]]</f>
        <v>20</v>
      </c>
      <c r="S1095" s="1" t="str">
        <f>IF(AND(Table1[[#This Row],[pH]]&gt;=3.2,Table1[[#This Row],[alcohol]]&gt;=10),"White wine","Red wine")</f>
        <v>White wine</v>
      </c>
    </row>
    <row r="1096" spans="1:19" x14ac:dyDescent="0.3">
      <c r="A1096" s="13">
        <v>1095</v>
      </c>
      <c r="B1096" s="1">
        <v>6.6</v>
      </c>
      <c r="C1096" s="1">
        <v>0.72499999999999998</v>
      </c>
      <c r="D1096" s="1">
        <v>0.09</v>
      </c>
      <c r="E1096" s="1">
        <v>5.5</v>
      </c>
      <c r="F1096" s="1">
        <v>0.11700000000000001</v>
      </c>
      <c r="G1096" s="1">
        <v>9</v>
      </c>
      <c r="H1096" s="1">
        <v>17</v>
      </c>
      <c r="I1096" s="1">
        <v>0.99655000000000005</v>
      </c>
      <c r="J1096" s="1">
        <v>3.35</v>
      </c>
      <c r="K1096" s="1">
        <v>0.49</v>
      </c>
      <c r="L1096" s="1">
        <v>10.8</v>
      </c>
      <c r="M1096" s="2">
        <v>6</v>
      </c>
      <c r="N1096" s="2" t="str" cm="1">
        <f t="array" ref="N1096">_xlfn.IFS(Table1[[#This Row],[quality]]&lt;=4,"Low",Table1[[#This Row],[quality]]&lt;=6,"Medium",Table1[[#This Row],[quality]]&gt;=7,"High")</f>
        <v>Medium</v>
      </c>
      <c r="O1096" s="2" t="str">
        <f>IF(AND(Table1[[#This Row],[fixed acidity]]&gt;Sheet1!$C$4,Table1[[#This Row],[pH]]&lt;Sheet1!$K$4),"High","Normal")</f>
        <v>Normal</v>
      </c>
      <c r="P1096" s="1">
        <f>(Table1[[#This Row],[alcohol]]*2)+(Table1[[#This Row],[sulphates]]*1.5)-(Table1[[#This Row],[volatile acidity]]*2)</f>
        <v>20.885000000000002</v>
      </c>
      <c r="Q1096" s="1">
        <f>RANK(Table1[[#This Row],[Quality_score_index]],Table1[Quality_score_index],0)</f>
        <v>676</v>
      </c>
      <c r="R1096" s="1">
        <f>Table1[[#This Row],[total sulfur dioxide]]-Table1[[#This Row],[free sulfur dioxide]]</f>
        <v>8</v>
      </c>
      <c r="S1096" s="1" t="str">
        <f>IF(AND(Table1[[#This Row],[pH]]&gt;=3.2,Table1[[#This Row],[alcohol]]&gt;=10),"White wine","Red wine")</f>
        <v>White wine</v>
      </c>
    </row>
    <row r="1097" spans="1:19" x14ac:dyDescent="0.3">
      <c r="A1097" s="13">
        <v>1096</v>
      </c>
      <c r="B1097" s="1">
        <v>9.4</v>
      </c>
      <c r="C1097" s="1">
        <v>0.4</v>
      </c>
      <c r="D1097" s="1">
        <v>0.47</v>
      </c>
      <c r="E1097" s="1">
        <v>2.5</v>
      </c>
      <c r="F1097" s="1">
        <v>8.6999999999999994E-2</v>
      </c>
      <c r="G1097" s="1">
        <v>6</v>
      </c>
      <c r="H1097" s="1">
        <v>20</v>
      </c>
      <c r="I1097" s="1">
        <v>0.99772000000000005</v>
      </c>
      <c r="J1097" s="1">
        <v>3.15</v>
      </c>
      <c r="K1097" s="1">
        <v>0.5</v>
      </c>
      <c r="L1097" s="1">
        <v>10.5</v>
      </c>
      <c r="M1097" s="2">
        <v>5</v>
      </c>
      <c r="N1097" s="2" t="str" cm="1">
        <f t="array" ref="N1097">_xlfn.IFS(Table1[[#This Row],[quality]]&lt;=4,"Low",Table1[[#This Row],[quality]]&lt;=6,"Medium",Table1[[#This Row],[quality]]&gt;=7,"High")</f>
        <v>Medium</v>
      </c>
      <c r="O1097" s="2" t="str">
        <f>IF(AND(Table1[[#This Row],[fixed acidity]]&gt;Sheet1!$C$4,Table1[[#This Row],[pH]]&lt;Sheet1!$K$4),"High","Normal")</f>
        <v>High</v>
      </c>
      <c r="P1097" s="1">
        <f>(Table1[[#This Row],[alcohol]]*2)+(Table1[[#This Row],[sulphates]]*1.5)-(Table1[[#This Row],[volatile acidity]]*2)</f>
        <v>20.95</v>
      </c>
      <c r="Q1097" s="1">
        <f>RANK(Table1[[#This Row],[Quality_score_index]],Table1[Quality_score_index],0)</f>
        <v>662</v>
      </c>
      <c r="R1097" s="1">
        <f>Table1[[#This Row],[total sulfur dioxide]]-Table1[[#This Row],[free sulfur dioxide]]</f>
        <v>14</v>
      </c>
      <c r="S1097" s="1" t="str">
        <f>IF(AND(Table1[[#This Row],[pH]]&gt;=3.2,Table1[[#This Row],[alcohol]]&gt;=10),"White wine","Red wine")</f>
        <v>Red wine</v>
      </c>
    </row>
    <row r="1098" spans="1:19" x14ac:dyDescent="0.3">
      <c r="A1098" s="13">
        <v>1097</v>
      </c>
      <c r="B1098" s="1">
        <v>6.6</v>
      </c>
      <c r="C1098" s="1">
        <v>0.72499999999999998</v>
      </c>
      <c r="D1098" s="1">
        <v>0.09</v>
      </c>
      <c r="E1098" s="1">
        <v>5.5</v>
      </c>
      <c r="F1098" s="1">
        <v>0.11700000000000001</v>
      </c>
      <c r="G1098" s="1">
        <v>9</v>
      </c>
      <c r="H1098" s="1">
        <v>17</v>
      </c>
      <c r="I1098" s="1">
        <v>0.99655000000000005</v>
      </c>
      <c r="J1098" s="1">
        <v>3.35</v>
      </c>
      <c r="K1098" s="1">
        <v>0.49</v>
      </c>
      <c r="L1098" s="1">
        <v>10.8</v>
      </c>
      <c r="M1098" s="2">
        <v>6</v>
      </c>
      <c r="N1098" s="2" t="str" cm="1">
        <f t="array" ref="N1098">_xlfn.IFS(Table1[[#This Row],[quality]]&lt;=4,"Low",Table1[[#This Row],[quality]]&lt;=6,"Medium",Table1[[#This Row],[quality]]&gt;=7,"High")</f>
        <v>Medium</v>
      </c>
      <c r="O1098" s="2" t="str">
        <f>IF(AND(Table1[[#This Row],[fixed acidity]]&gt;Sheet1!$C$4,Table1[[#This Row],[pH]]&lt;Sheet1!$K$4),"High","Normal")</f>
        <v>Normal</v>
      </c>
      <c r="P1098" s="1">
        <f>(Table1[[#This Row],[alcohol]]*2)+(Table1[[#This Row],[sulphates]]*1.5)-(Table1[[#This Row],[volatile acidity]]*2)</f>
        <v>20.885000000000002</v>
      </c>
      <c r="Q1098" s="1">
        <f>RANK(Table1[[#This Row],[Quality_score_index]],Table1[Quality_score_index],0)</f>
        <v>676</v>
      </c>
      <c r="R1098" s="1">
        <f>Table1[[#This Row],[total sulfur dioxide]]-Table1[[#This Row],[free sulfur dioxide]]</f>
        <v>8</v>
      </c>
      <c r="S1098" s="1" t="str">
        <f>IF(AND(Table1[[#This Row],[pH]]&gt;=3.2,Table1[[#This Row],[alcohol]]&gt;=10),"White wine","Red wine")</f>
        <v>White wine</v>
      </c>
    </row>
    <row r="1099" spans="1:19" x14ac:dyDescent="0.3">
      <c r="A1099" s="13">
        <v>1098</v>
      </c>
      <c r="B1099" s="1">
        <v>8.6</v>
      </c>
      <c r="C1099" s="1">
        <v>0.52</v>
      </c>
      <c r="D1099" s="1">
        <v>0.38</v>
      </c>
      <c r="E1099" s="1">
        <v>1.5</v>
      </c>
      <c r="F1099" s="1">
        <v>9.6000000000000002E-2</v>
      </c>
      <c r="G1099" s="1">
        <v>5</v>
      </c>
      <c r="H1099" s="1">
        <v>18</v>
      </c>
      <c r="I1099" s="1">
        <v>0.99665999999999999</v>
      </c>
      <c r="J1099" s="1">
        <v>3.2</v>
      </c>
      <c r="K1099" s="1">
        <v>0.52</v>
      </c>
      <c r="L1099" s="1">
        <v>9.4</v>
      </c>
      <c r="M1099" s="2">
        <v>5</v>
      </c>
      <c r="N1099" s="2" t="str" cm="1">
        <f t="array" ref="N1099">_xlfn.IFS(Table1[[#This Row],[quality]]&lt;=4,"Low",Table1[[#This Row],[quality]]&lt;=6,"Medium",Table1[[#This Row],[quality]]&gt;=7,"High")</f>
        <v>Medium</v>
      </c>
      <c r="O1099" s="2" t="str">
        <f>IF(AND(Table1[[#This Row],[fixed acidity]]&gt;Sheet1!$C$4,Table1[[#This Row],[pH]]&lt;Sheet1!$K$4),"High","Normal")</f>
        <v>High</v>
      </c>
      <c r="P1099" s="1">
        <f>(Table1[[#This Row],[alcohol]]*2)+(Table1[[#This Row],[sulphates]]*1.5)-(Table1[[#This Row],[volatile acidity]]*2)</f>
        <v>18.540000000000003</v>
      </c>
      <c r="Q1099" s="1">
        <f>RANK(Table1[[#This Row],[Quality_score_index]],Table1[Quality_score_index],0)</f>
        <v>1365</v>
      </c>
      <c r="R1099" s="1">
        <f>Table1[[#This Row],[total sulfur dioxide]]-Table1[[#This Row],[free sulfur dioxide]]</f>
        <v>13</v>
      </c>
      <c r="S1099" s="1" t="str">
        <f>IF(AND(Table1[[#This Row],[pH]]&gt;=3.2,Table1[[#This Row],[alcohol]]&gt;=10),"White wine","Red wine")</f>
        <v>Red wine</v>
      </c>
    </row>
    <row r="1100" spans="1:19" x14ac:dyDescent="0.3">
      <c r="A1100" s="13">
        <v>1099</v>
      </c>
      <c r="B1100" s="1">
        <v>8</v>
      </c>
      <c r="C1100" s="1">
        <v>0.31</v>
      </c>
      <c r="D1100" s="1">
        <v>0.45</v>
      </c>
      <c r="E1100" s="1">
        <v>2.1</v>
      </c>
      <c r="F1100" s="1">
        <v>0.216</v>
      </c>
      <c r="G1100" s="1">
        <v>5</v>
      </c>
      <c r="H1100" s="1">
        <v>16</v>
      </c>
      <c r="I1100" s="1">
        <v>0.99358000000000002</v>
      </c>
      <c r="J1100" s="1">
        <v>3.15</v>
      </c>
      <c r="K1100" s="1">
        <v>0.81</v>
      </c>
      <c r="L1100" s="1">
        <v>12.5</v>
      </c>
      <c r="M1100" s="2">
        <v>7</v>
      </c>
      <c r="N1100" s="2" t="str" cm="1">
        <f t="array" ref="N1100">_xlfn.IFS(Table1[[#This Row],[quality]]&lt;=4,"Low",Table1[[#This Row],[quality]]&lt;=6,"Medium",Table1[[#This Row],[quality]]&gt;=7,"High")</f>
        <v>High</v>
      </c>
      <c r="O1100" s="2" t="str">
        <f>IF(AND(Table1[[#This Row],[fixed acidity]]&gt;Sheet1!$C$4,Table1[[#This Row],[pH]]&lt;Sheet1!$K$4),"High","Normal")</f>
        <v>Normal</v>
      </c>
      <c r="P1100" s="1">
        <f>(Table1[[#This Row],[alcohol]]*2)+(Table1[[#This Row],[sulphates]]*1.5)-(Table1[[#This Row],[volatile acidity]]*2)</f>
        <v>25.594999999999999</v>
      </c>
      <c r="Q1100" s="1">
        <f>RANK(Table1[[#This Row],[Quality_score_index]],Table1[Quality_score_index],0)</f>
        <v>46</v>
      </c>
      <c r="R1100" s="1">
        <f>Table1[[#This Row],[total sulfur dioxide]]-Table1[[#This Row],[free sulfur dioxide]]</f>
        <v>11</v>
      </c>
      <c r="S1100" s="1" t="str">
        <f>IF(AND(Table1[[#This Row],[pH]]&gt;=3.2,Table1[[#This Row],[alcohol]]&gt;=10),"White wine","Red wine")</f>
        <v>Red wine</v>
      </c>
    </row>
    <row r="1101" spans="1:19" x14ac:dyDescent="0.3">
      <c r="A1101" s="13">
        <v>1100</v>
      </c>
      <c r="B1101" s="1">
        <v>8.6</v>
      </c>
      <c r="C1101" s="1">
        <v>0.52</v>
      </c>
      <c r="D1101" s="1">
        <v>0.38</v>
      </c>
      <c r="E1101" s="1">
        <v>1.5</v>
      </c>
      <c r="F1101" s="1">
        <v>9.6000000000000002E-2</v>
      </c>
      <c r="G1101" s="1">
        <v>5</v>
      </c>
      <c r="H1101" s="1">
        <v>18</v>
      </c>
      <c r="I1101" s="1">
        <v>0.99665999999999999</v>
      </c>
      <c r="J1101" s="1">
        <v>3.2</v>
      </c>
      <c r="K1101" s="1">
        <v>0.52</v>
      </c>
      <c r="L1101" s="1">
        <v>9.4</v>
      </c>
      <c r="M1101" s="2">
        <v>5</v>
      </c>
      <c r="N1101" s="2" t="str" cm="1">
        <f t="array" ref="N1101">_xlfn.IFS(Table1[[#This Row],[quality]]&lt;=4,"Low",Table1[[#This Row],[quality]]&lt;=6,"Medium",Table1[[#This Row],[quality]]&gt;=7,"High")</f>
        <v>Medium</v>
      </c>
      <c r="O1101" s="2" t="str">
        <f>IF(AND(Table1[[#This Row],[fixed acidity]]&gt;Sheet1!$C$4,Table1[[#This Row],[pH]]&lt;Sheet1!$K$4),"High","Normal")</f>
        <v>High</v>
      </c>
      <c r="P1101" s="1">
        <f>(Table1[[#This Row],[alcohol]]*2)+(Table1[[#This Row],[sulphates]]*1.5)-(Table1[[#This Row],[volatile acidity]]*2)</f>
        <v>18.540000000000003</v>
      </c>
      <c r="Q1101" s="1">
        <f>RANK(Table1[[#This Row],[Quality_score_index]],Table1[Quality_score_index],0)</f>
        <v>1365</v>
      </c>
      <c r="R1101" s="1">
        <f>Table1[[#This Row],[total sulfur dioxide]]-Table1[[#This Row],[free sulfur dioxide]]</f>
        <v>13</v>
      </c>
      <c r="S1101" s="1" t="str">
        <f>IF(AND(Table1[[#This Row],[pH]]&gt;=3.2,Table1[[#This Row],[alcohol]]&gt;=10),"White wine","Red wine")</f>
        <v>Red wine</v>
      </c>
    </row>
    <row r="1102" spans="1:19" x14ac:dyDescent="0.3">
      <c r="A1102" s="13">
        <v>1101</v>
      </c>
      <c r="B1102" s="1">
        <v>8.4</v>
      </c>
      <c r="C1102" s="1">
        <v>0.34</v>
      </c>
      <c r="D1102" s="1">
        <v>0.42</v>
      </c>
      <c r="E1102" s="1">
        <v>2.1</v>
      </c>
      <c r="F1102" s="1">
        <v>7.1999999999999995E-2</v>
      </c>
      <c r="G1102" s="1">
        <v>23</v>
      </c>
      <c r="H1102" s="1">
        <v>36</v>
      </c>
      <c r="I1102" s="1">
        <v>0.99392000000000003</v>
      </c>
      <c r="J1102" s="1">
        <v>3.11</v>
      </c>
      <c r="K1102" s="1">
        <v>0.78</v>
      </c>
      <c r="L1102" s="1">
        <v>12.4</v>
      </c>
      <c r="M1102" s="2">
        <v>6</v>
      </c>
      <c r="N1102" s="2" t="str" cm="1">
        <f t="array" ref="N1102">_xlfn.IFS(Table1[[#This Row],[quality]]&lt;=4,"Low",Table1[[#This Row],[quality]]&lt;=6,"Medium",Table1[[#This Row],[quality]]&gt;=7,"High")</f>
        <v>Medium</v>
      </c>
      <c r="O1102" s="2" t="str">
        <f>IF(AND(Table1[[#This Row],[fixed acidity]]&gt;Sheet1!$C$4,Table1[[#This Row],[pH]]&lt;Sheet1!$K$4),"High","Normal")</f>
        <v>High</v>
      </c>
      <c r="P1102" s="1">
        <f>(Table1[[#This Row],[alcohol]]*2)+(Table1[[#This Row],[sulphates]]*1.5)-(Table1[[#This Row],[volatile acidity]]*2)</f>
        <v>25.29</v>
      </c>
      <c r="Q1102" s="1">
        <f>RANK(Table1[[#This Row],[Quality_score_index]],Table1[Quality_score_index],0)</f>
        <v>69</v>
      </c>
      <c r="R1102" s="1">
        <f>Table1[[#This Row],[total sulfur dioxide]]-Table1[[#This Row],[free sulfur dioxide]]</f>
        <v>13</v>
      </c>
      <c r="S1102" s="1" t="str">
        <f>IF(AND(Table1[[#This Row],[pH]]&gt;=3.2,Table1[[#This Row],[alcohol]]&gt;=10),"White wine","Red wine")</f>
        <v>Red wine</v>
      </c>
    </row>
    <row r="1103" spans="1:19" x14ac:dyDescent="0.3">
      <c r="A1103" s="13">
        <v>1102</v>
      </c>
      <c r="B1103" s="1">
        <v>7.4</v>
      </c>
      <c r="C1103" s="1">
        <v>0.49</v>
      </c>
      <c r="D1103" s="1">
        <v>0.27</v>
      </c>
      <c r="E1103" s="1">
        <v>2.1</v>
      </c>
      <c r="F1103" s="1">
        <v>7.0999999999999994E-2</v>
      </c>
      <c r="G1103" s="1">
        <v>14</v>
      </c>
      <c r="H1103" s="1">
        <v>25</v>
      </c>
      <c r="I1103" s="1">
        <v>0.99387999999999999</v>
      </c>
      <c r="J1103" s="1">
        <v>3.35</v>
      </c>
      <c r="K1103" s="1">
        <v>0.63</v>
      </c>
      <c r="L1103" s="1">
        <v>12</v>
      </c>
      <c r="M1103" s="2">
        <v>6</v>
      </c>
      <c r="N1103" s="2" t="str" cm="1">
        <f t="array" ref="N1103">_xlfn.IFS(Table1[[#This Row],[quality]]&lt;=4,"Low",Table1[[#This Row],[quality]]&lt;=6,"Medium",Table1[[#This Row],[quality]]&gt;=7,"High")</f>
        <v>Medium</v>
      </c>
      <c r="O1103" s="2" t="str">
        <f>IF(AND(Table1[[#This Row],[fixed acidity]]&gt;Sheet1!$C$4,Table1[[#This Row],[pH]]&lt;Sheet1!$K$4),"High","Normal")</f>
        <v>Normal</v>
      </c>
      <c r="P1103" s="1">
        <f>(Table1[[#This Row],[alcohol]]*2)+(Table1[[#This Row],[sulphates]]*1.5)-(Table1[[#This Row],[volatile acidity]]*2)</f>
        <v>23.965</v>
      </c>
      <c r="Q1103" s="1">
        <f>RANK(Table1[[#This Row],[Quality_score_index]],Table1[Quality_score_index],0)</f>
        <v>184</v>
      </c>
      <c r="R1103" s="1">
        <f>Table1[[#This Row],[total sulfur dioxide]]-Table1[[#This Row],[free sulfur dioxide]]</f>
        <v>11</v>
      </c>
      <c r="S1103" s="1" t="str">
        <f>IF(AND(Table1[[#This Row],[pH]]&gt;=3.2,Table1[[#This Row],[alcohol]]&gt;=10),"White wine","Red wine")</f>
        <v>White wine</v>
      </c>
    </row>
    <row r="1104" spans="1:19" x14ac:dyDescent="0.3">
      <c r="A1104" s="13">
        <v>1103</v>
      </c>
      <c r="B1104" s="1">
        <v>6.1</v>
      </c>
      <c r="C1104" s="1">
        <v>0.48</v>
      </c>
      <c r="D1104" s="1">
        <v>0.09</v>
      </c>
      <c r="E1104" s="1">
        <v>1.7</v>
      </c>
      <c r="F1104" s="1">
        <v>7.8E-2</v>
      </c>
      <c r="G1104" s="1">
        <v>18</v>
      </c>
      <c r="H1104" s="1">
        <v>30</v>
      </c>
      <c r="I1104" s="1">
        <v>0.99402000000000001</v>
      </c>
      <c r="J1104" s="1">
        <v>3.45</v>
      </c>
      <c r="K1104" s="1">
        <v>0.54</v>
      </c>
      <c r="L1104" s="1">
        <v>11.2</v>
      </c>
      <c r="M1104" s="2">
        <v>6</v>
      </c>
      <c r="N1104" s="2" t="str" cm="1">
        <f t="array" ref="N1104">_xlfn.IFS(Table1[[#This Row],[quality]]&lt;=4,"Low",Table1[[#This Row],[quality]]&lt;=6,"Medium",Table1[[#This Row],[quality]]&gt;=7,"High")</f>
        <v>Medium</v>
      </c>
      <c r="O1104" s="2" t="str">
        <f>IF(AND(Table1[[#This Row],[fixed acidity]]&gt;Sheet1!$C$4,Table1[[#This Row],[pH]]&lt;Sheet1!$K$4),"High","Normal")</f>
        <v>Normal</v>
      </c>
      <c r="P1104" s="1">
        <f>(Table1[[#This Row],[alcohol]]*2)+(Table1[[#This Row],[sulphates]]*1.5)-(Table1[[#This Row],[volatile acidity]]*2)</f>
        <v>22.249999999999996</v>
      </c>
      <c r="Q1104" s="1">
        <f>RANK(Table1[[#This Row],[Quality_score_index]],Table1[Quality_score_index],0)</f>
        <v>415</v>
      </c>
      <c r="R1104" s="1">
        <f>Table1[[#This Row],[total sulfur dioxide]]-Table1[[#This Row],[free sulfur dioxide]]</f>
        <v>12</v>
      </c>
      <c r="S1104" s="1" t="str">
        <f>IF(AND(Table1[[#This Row],[pH]]&gt;=3.2,Table1[[#This Row],[alcohol]]&gt;=10),"White wine","Red wine")</f>
        <v>White wine</v>
      </c>
    </row>
    <row r="1105" spans="1:19" x14ac:dyDescent="0.3">
      <c r="A1105" s="13">
        <v>1104</v>
      </c>
      <c r="B1105" s="1">
        <v>7.4</v>
      </c>
      <c r="C1105" s="1">
        <v>0.49</v>
      </c>
      <c r="D1105" s="1">
        <v>0.27</v>
      </c>
      <c r="E1105" s="1">
        <v>2.1</v>
      </c>
      <c r="F1105" s="1">
        <v>7.0999999999999994E-2</v>
      </c>
      <c r="G1105" s="1">
        <v>14</v>
      </c>
      <c r="H1105" s="1">
        <v>25</v>
      </c>
      <c r="I1105" s="1">
        <v>0.99387999999999999</v>
      </c>
      <c r="J1105" s="1">
        <v>3.35</v>
      </c>
      <c r="K1105" s="1">
        <v>0.63</v>
      </c>
      <c r="L1105" s="1">
        <v>12</v>
      </c>
      <c r="M1105" s="2">
        <v>6</v>
      </c>
      <c r="N1105" s="2" t="str" cm="1">
        <f t="array" ref="N1105">_xlfn.IFS(Table1[[#This Row],[quality]]&lt;=4,"Low",Table1[[#This Row],[quality]]&lt;=6,"Medium",Table1[[#This Row],[quality]]&gt;=7,"High")</f>
        <v>Medium</v>
      </c>
      <c r="O1105" s="2" t="str">
        <f>IF(AND(Table1[[#This Row],[fixed acidity]]&gt;Sheet1!$C$4,Table1[[#This Row],[pH]]&lt;Sheet1!$K$4),"High","Normal")</f>
        <v>Normal</v>
      </c>
      <c r="P1105" s="1">
        <f>(Table1[[#This Row],[alcohol]]*2)+(Table1[[#This Row],[sulphates]]*1.5)-(Table1[[#This Row],[volatile acidity]]*2)</f>
        <v>23.965</v>
      </c>
      <c r="Q1105" s="1">
        <f>RANK(Table1[[#This Row],[Quality_score_index]],Table1[Quality_score_index],0)</f>
        <v>184</v>
      </c>
      <c r="R1105" s="1">
        <f>Table1[[#This Row],[total sulfur dioxide]]-Table1[[#This Row],[free sulfur dioxide]]</f>
        <v>11</v>
      </c>
      <c r="S1105" s="1" t="str">
        <f>IF(AND(Table1[[#This Row],[pH]]&gt;=3.2,Table1[[#This Row],[alcohol]]&gt;=10),"White wine","Red wine")</f>
        <v>White wine</v>
      </c>
    </row>
    <row r="1106" spans="1:19" x14ac:dyDescent="0.3">
      <c r="A1106" s="13">
        <v>1105</v>
      </c>
      <c r="B1106" s="1">
        <v>8</v>
      </c>
      <c r="C1106" s="1">
        <v>0.48</v>
      </c>
      <c r="D1106" s="1">
        <v>0.34</v>
      </c>
      <c r="E1106" s="1">
        <v>2.2000000000000002</v>
      </c>
      <c r="F1106" s="1">
        <v>7.2999999999999995E-2</v>
      </c>
      <c r="G1106" s="1">
        <v>16</v>
      </c>
      <c r="H1106" s="1">
        <v>25</v>
      </c>
      <c r="I1106" s="1">
        <v>0.99360000000000004</v>
      </c>
      <c r="J1106" s="1">
        <v>3.28</v>
      </c>
      <c r="K1106" s="1">
        <v>0.66</v>
      </c>
      <c r="L1106" s="1">
        <v>12.4</v>
      </c>
      <c r="M1106" s="2">
        <v>6</v>
      </c>
      <c r="N1106" s="2" t="str" cm="1">
        <f t="array" ref="N1106">_xlfn.IFS(Table1[[#This Row],[quality]]&lt;=4,"Low",Table1[[#This Row],[quality]]&lt;=6,"Medium",Table1[[#This Row],[quality]]&gt;=7,"High")</f>
        <v>Medium</v>
      </c>
      <c r="O1106" s="2" t="str">
        <f>IF(AND(Table1[[#This Row],[fixed acidity]]&gt;Sheet1!$C$4,Table1[[#This Row],[pH]]&lt;Sheet1!$K$4),"High","Normal")</f>
        <v>Normal</v>
      </c>
      <c r="P1106" s="1">
        <f>(Table1[[#This Row],[alcohol]]*2)+(Table1[[#This Row],[sulphates]]*1.5)-(Table1[[#This Row],[volatile acidity]]*2)</f>
        <v>24.83</v>
      </c>
      <c r="Q1106" s="1">
        <f>RANK(Table1[[#This Row],[Quality_score_index]],Table1[Quality_score_index],0)</f>
        <v>101</v>
      </c>
      <c r="R1106" s="1">
        <f>Table1[[#This Row],[total sulfur dioxide]]-Table1[[#This Row],[free sulfur dioxide]]</f>
        <v>9</v>
      </c>
      <c r="S1106" s="1" t="str">
        <f>IF(AND(Table1[[#This Row],[pH]]&gt;=3.2,Table1[[#This Row],[alcohol]]&gt;=10),"White wine","Red wine")</f>
        <v>White wine</v>
      </c>
    </row>
    <row r="1107" spans="1:19" x14ac:dyDescent="0.3">
      <c r="A1107" s="13">
        <v>1106</v>
      </c>
      <c r="B1107" s="1">
        <v>6.3</v>
      </c>
      <c r="C1107" s="1">
        <v>0.56999999999999995</v>
      </c>
      <c r="D1107" s="1">
        <v>0.28000000000000003</v>
      </c>
      <c r="E1107" s="1">
        <v>2.1</v>
      </c>
      <c r="F1107" s="1">
        <v>4.8000000000000001E-2</v>
      </c>
      <c r="G1107" s="1">
        <v>13</v>
      </c>
      <c r="H1107" s="1">
        <v>49</v>
      </c>
      <c r="I1107" s="1">
        <v>0.99373999999999996</v>
      </c>
      <c r="J1107" s="1">
        <v>3.41</v>
      </c>
      <c r="K1107" s="1">
        <v>0.6</v>
      </c>
      <c r="L1107" s="1">
        <v>12.8</v>
      </c>
      <c r="M1107" s="2">
        <v>5</v>
      </c>
      <c r="N1107" s="2" t="str" cm="1">
        <f t="array" ref="N1107">_xlfn.IFS(Table1[[#This Row],[quality]]&lt;=4,"Low",Table1[[#This Row],[quality]]&lt;=6,"Medium",Table1[[#This Row],[quality]]&gt;=7,"High")</f>
        <v>Medium</v>
      </c>
      <c r="O1107" s="2" t="str">
        <f>IF(AND(Table1[[#This Row],[fixed acidity]]&gt;Sheet1!$C$4,Table1[[#This Row],[pH]]&lt;Sheet1!$K$4),"High","Normal")</f>
        <v>Normal</v>
      </c>
      <c r="P1107" s="1">
        <f>(Table1[[#This Row],[alcohol]]*2)+(Table1[[#This Row],[sulphates]]*1.5)-(Table1[[#This Row],[volatile acidity]]*2)</f>
        <v>25.36</v>
      </c>
      <c r="Q1107" s="1">
        <f>RANK(Table1[[#This Row],[Quality_score_index]],Table1[Quality_score_index],0)</f>
        <v>65</v>
      </c>
      <c r="R1107" s="1">
        <f>Table1[[#This Row],[total sulfur dioxide]]-Table1[[#This Row],[free sulfur dioxide]]</f>
        <v>36</v>
      </c>
      <c r="S1107" s="1" t="str">
        <f>IF(AND(Table1[[#This Row],[pH]]&gt;=3.2,Table1[[#This Row],[alcohol]]&gt;=10),"White wine","Red wine")</f>
        <v>White wine</v>
      </c>
    </row>
    <row r="1108" spans="1:19" x14ac:dyDescent="0.3">
      <c r="A1108" s="13">
        <v>1107</v>
      </c>
      <c r="B1108" s="1">
        <v>8.1999999999999993</v>
      </c>
      <c r="C1108" s="1">
        <v>0.23</v>
      </c>
      <c r="D1108" s="1">
        <v>0.42</v>
      </c>
      <c r="E1108" s="1">
        <v>1.9</v>
      </c>
      <c r="F1108" s="1">
        <v>6.9000000000000006E-2</v>
      </c>
      <c r="G1108" s="1">
        <v>9</v>
      </c>
      <c r="H1108" s="1">
        <v>17</v>
      </c>
      <c r="I1108" s="1">
        <v>0.99375999999999998</v>
      </c>
      <c r="J1108" s="1">
        <v>3.21</v>
      </c>
      <c r="K1108" s="1">
        <v>0.54</v>
      </c>
      <c r="L1108" s="1">
        <v>12.3</v>
      </c>
      <c r="M1108" s="2">
        <v>6</v>
      </c>
      <c r="N1108" s="2" t="str" cm="1">
        <f t="array" ref="N1108">_xlfn.IFS(Table1[[#This Row],[quality]]&lt;=4,"Low",Table1[[#This Row],[quality]]&lt;=6,"Medium",Table1[[#This Row],[quality]]&gt;=7,"High")</f>
        <v>Medium</v>
      </c>
      <c r="O1108" s="2" t="str">
        <f>IF(AND(Table1[[#This Row],[fixed acidity]]&gt;Sheet1!$C$4,Table1[[#This Row],[pH]]&lt;Sheet1!$K$4),"High","Normal")</f>
        <v>Normal</v>
      </c>
      <c r="P1108" s="1">
        <f>(Table1[[#This Row],[alcohol]]*2)+(Table1[[#This Row],[sulphates]]*1.5)-(Table1[[#This Row],[volatile acidity]]*2)</f>
        <v>24.95</v>
      </c>
      <c r="Q1108" s="1">
        <f>RANK(Table1[[#This Row],[Quality_score_index]],Table1[Quality_score_index],0)</f>
        <v>96</v>
      </c>
      <c r="R1108" s="1">
        <f>Table1[[#This Row],[total sulfur dioxide]]-Table1[[#This Row],[free sulfur dioxide]]</f>
        <v>8</v>
      </c>
      <c r="S1108" s="1" t="str">
        <f>IF(AND(Table1[[#This Row],[pH]]&gt;=3.2,Table1[[#This Row],[alcohol]]&gt;=10),"White wine","Red wine")</f>
        <v>White wine</v>
      </c>
    </row>
    <row r="1109" spans="1:19" x14ac:dyDescent="0.3">
      <c r="A1109" s="13">
        <v>1108</v>
      </c>
      <c r="B1109" s="1">
        <v>9.1</v>
      </c>
      <c r="C1109" s="1">
        <v>0.3</v>
      </c>
      <c r="D1109" s="1">
        <v>0.41</v>
      </c>
      <c r="E1109" s="1">
        <v>2</v>
      </c>
      <c r="F1109" s="1">
        <v>6.8000000000000005E-2</v>
      </c>
      <c r="G1109" s="1">
        <v>10</v>
      </c>
      <c r="H1109" s="1">
        <v>24</v>
      </c>
      <c r="I1109" s="1">
        <v>0.99522999999999995</v>
      </c>
      <c r="J1109" s="1">
        <v>3.27</v>
      </c>
      <c r="K1109" s="1">
        <v>0.85</v>
      </c>
      <c r="L1109" s="1">
        <v>11.7</v>
      </c>
      <c r="M1109" s="2">
        <v>7</v>
      </c>
      <c r="N1109" s="2" t="str" cm="1">
        <f t="array" ref="N1109">_xlfn.IFS(Table1[[#This Row],[quality]]&lt;=4,"Low",Table1[[#This Row],[quality]]&lt;=6,"Medium",Table1[[#This Row],[quality]]&gt;=7,"High")</f>
        <v>High</v>
      </c>
      <c r="O1109" s="2" t="str">
        <f>IF(AND(Table1[[#This Row],[fixed acidity]]&gt;Sheet1!$C$4,Table1[[#This Row],[pH]]&lt;Sheet1!$K$4),"High","Normal")</f>
        <v>High</v>
      </c>
      <c r="P1109" s="1">
        <f>(Table1[[#This Row],[alcohol]]*2)+(Table1[[#This Row],[sulphates]]*1.5)-(Table1[[#This Row],[volatile acidity]]*2)</f>
        <v>24.074999999999996</v>
      </c>
      <c r="Q1109" s="1">
        <f>RANK(Table1[[#This Row],[Quality_score_index]],Table1[Quality_score_index],0)</f>
        <v>172</v>
      </c>
      <c r="R1109" s="1">
        <f>Table1[[#This Row],[total sulfur dioxide]]-Table1[[#This Row],[free sulfur dioxide]]</f>
        <v>14</v>
      </c>
      <c r="S1109" s="1" t="str">
        <f>IF(AND(Table1[[#This Row],[pH]]&gt;=3.2,Table1[[#This Row],[alcohol]]&gt;=10),"White wine","Red wine")</f>
        <v>White wine</v>
      </c>
    </row>
    <row r="1110" spans="1:19" x14ac:dyDescent="0.3">
      <c r="A1110" s="13">
        <v>1109</v>
      </c>
      <c r="B1110" s="1">
        <v>8.1</v>
      </c>
      <c r="C1110" s="1">
        <v>0.78</v>
      </c>
      <c r="D1110" s="1">
        <v>0.1</v>
      </c>
      <c r="E1110" s="1">
        <v>3.3</v>
      </c>
      <c r="F1110" s="1">
        <v>0.09</v>
      </c>
      <c r="G1110" s="1">
        <v>4</v>
      </c>
      <c r="H1110" s="1">
        <v>13</v>
      </c>
      <c r="I1110" s="1">
        <v>0.99855000000000005</v>
      </c>
      <c r="J1110" s="1">
        <v>3.36</v>
      </c>
      <c r="K1110" s="1">
        <v>0.49</v>
      </c>
      <c r="L1110" s="1">
        <v>9.5</v>
      </c>
      <c r="M1110" s="2">
        <v>5</v>
      </c>
      <c r="N1110" s="2" t="str" cm="1">
        <f t="array" ref="N1110">_xlfn.IFS(Table1[[#This Row],[quality]]&lt;=4,"Low",Table1[[#This Row],[quality]]&lt;=6,"Medium",Table1[[#This Row],[quality]]&gt;=7,"High")</f>
        <v>Medium</v>
      </c>
      <c r="O1110" s="2" t="str">
        <f>IF(AND(Table1[[#This Row],[fixed acidity]]&gt;Sheet1!$C$4,Table1[[#This Row],[pH]]&lt;Sheet1!$K$4),"High","Normal")</f>
        <v>Normal</v>
      </c>
      <c r="P1110" s="1">
        <f>(Table1[[#This Row],[alcohol]]*2)+(Table1[[#This Row],[sulphates]]*1.5)-(Table1[[#This Row],[volatile acidity]]*2)</f>
        <v>18.175000000000001</v>
      </c>
      <c r="Q1110" s="1">
        <f>RANK(Table1[[#This Row],[Quality_score_index]],Table1[Quality_score_index],0)</f>
        <v>1485</v>
      </c>
      <c r="R1110" s="1">
        <f>Table1[[#This Row],[total sulfur dioxide]]-Table1[[#This Row],[free sulfur dioxide]]</f>
        <v>9</v>
      </c>
      <c r="S1110" s="1" t="str">
        <f>IF(AND(Table1[[#This Row],[pH]]&gt;=3.2,Table1[[#This Row],[alcohol]]&gt;=10),"White wine","Red wine")</f>
        <v>Red wine</v>
      </c>
    </row>
    <row r="1111" spans="1:19" x14ac:dyDescent="0.3">
      <c r="A1111" s="13">
        <v>1110</v>
      </c>
      <c r="B1111" s="1">
        <v>10.8</v>
      </c>
      <c r="C1111" s="1">
        <v>0.47</v>
      </c>
      <c r="D1111" s="1">
        <v>0.43</v>
      </c>
      <c r="E1111" s="1">
        <v>2.1</v>
      </c>
      <c r="F1111" s="1">
        <v>0.17100000000000001</v>
      </c>
      <c r="G1111" s="1">
        <v>27</v>
      </c>
      <c r="H1111" s="1">
        <v>66</v>
      </c>
      <c r="I1111" s="1">
        <v>0.99819999999999998</v>
      </c>
      <c r="J1111" s="1">
        <v>3.17</v>
      </c>
      <c r="K1111" s="1">
        <v>0.76</v>
      </c>
      <c r="L1111" s="1">
        <v>10.8</v>
      </c>
      <c r="M1111" s="2">
        <v>6</v>
      </c>
      <c r="N1111" s="2" t="str" cm="1">
        <f t="array" ref="N1111">_xlfn.IFS(Table1[[#This Row],[quality]]&lt;=4,"Low",Table1[[#This Row],[quality]]&lt;=6,"Medium",Table1[[#This Row],[quality]]&gt;=7,"High")</f>
        <v>Medium</v>
      </c>
      <c r="O1111" s="2" t="str">
        <f>IF(AND(Table1[[#This Row],[fixed acidity]]&gt;Sheet1!$C$4,Table1[[#This Row],[pH]]&lt;Sheet1!$K$4),"High","Normal")</f>
        <v>High</v>
      </c>
      <c r="P1111" s="1">
        <f>(Table1[[#This Row],[alcohol]]*2)+(Table1[[#This Row],[sulphates]]*1.5)-(Table1[[#This Row],[volatile acidity]]*2)</f>
        <v>21.8</v>
      </c>
      <c r="Q1111" s="1">
        <f>RANK(Table1[[#This Row],[Quality_score_index]],Table1[Quality_score_index],0)</f>
        <v>480</v>
      </c>
      <c r="R1111" s="1">
        <f>Table1[[#This Row],[total sulfur dioxide]]-Table1[[#This Row],[free sulfur dioxide]]</f>
        <v>39</v>
      </c>
      <c r="S1111" s="1" t="str">
        <f>IF(AND(Table1[[#This Row],[pH]]&gt;=3.2,Table1[[#This Row],[alcohol]]&gt;=10),"White wine","Red wine")</f>
        <v>Red wine</v>
      </c>
    </row>
    <row r="1112" spans="1:19" x14ac:dyDescent="0.3">
      <c r="A1112" s="13">
        <v>1111</v>
      </c>
      <c r="B1112" s="1">
        <v>8.3000000000000007</v>
      </c>
      <c r="C1112" s="1">
        <v>0.53</v>
      </c>
      <c r="D1112" s="1">
        <v>0</v>
      </c>
      <c r="E1112" s="1">
        <v>1.4</v>
      </c>
      <c r="F1112" s="1">
        <v>7.0000000000000007E-2</v>
      </c>
      <c r="G1112" s="1">
        <v>6</v>
      </c>
      <c r="H1112" s="1">
        <v>14</v>
      </c>
      <c r="I1112" s="1">
        <v>0.99592999999999998</v>
      </c>
      <c r="J1112" s="1">
        <v>3.25</v>
      </c>
      <c r="K1112" s="1">
        <v>0.64</v>
      </c>
      <c r="L1112" s="1">
        <v>10</v>
      </c>
      <c r="M1112" s="2">
        <v>6</v>
      </c>
      <c r="N1112" s="2" t="str" cm="1">
        <f t="array" ref="N1112">_xlfn.IFS(Table1[[#This Row],[quality]]&lt;=4,"Low",Table1[[#This Row],[quality]]&lt;=6,"Medium",Table1[[#This Row],[quality]]&gt;=7,"High")</f>
        <v>Medium</v>
      </c>
      <c r="O1112" s="2" t="str">
        <f>IF(AND(Table1[[#This Row],[fixed acidity]]&gt;Sheet1!$C$4,Table1[[#This Row],[pH]]&lt;Sheet1!$K$4),"High","Normal")</f>
        <v>Normal</v>
      </c>
      <c r="P1112" s="1">
        <f>(Table1[[#This Row],[alcohol]]*2)+(Table1[[#This Row],[sulphates]]*1.5)-(Table1[[#This Row],[volatile acidity]]*2)</f>
        <v>19.900000000000002</v>
      </c>
      <c r="Q1112" s="1">
        <f>RANK(Table1[[#This Row],[Quality_score_index]],Table1[Quality_score_index],0)</f>
        <v>879</v>
      </c>
      <c r="R1112" s="1">
        <f>Table1[[#This Row],[total sulfur dioxide]]-Table1[[#This Row],[free sulfur dioxide]]</f>
        <v>8</v>
      </c>
      <c r="S1112" s="1" t="str">
        <f>IF(AND(Table1[[#This Row],[pH]]&gt;=3.2,Table1[[#This Row],[alcohol]]&gt;=10),"White wine","Red wine")</f>
        <v>White wine</v>
      </c>
    </row>
    <row r="1113" spans="1:19" x14ac:dyDescent="0.3">
      <c r="A1113" s="13">
        <v>1112</v>
      </c>
      <c r="B1113" s="1">
        <v>5.4</v>
      </c>
      <c r="C1113" s="1">
        <v>0.42</v>
      </c>
      <c r="D1113" s="1">
        <v>0.27</v>
      </c>
      <c r="E1113" s="1">
        <v>2</v>
      </c>
      <c r="F1113" s="1">
        <v>9.1999999999999998E-2</v>
      </c>
      <c r="G1113" s="1">
        <v>23</v>
      </c>
      <c r="H1113" s="1">
        <v>55</v>
      </c>
      <c r="I1113" s="1">
        <v>0.99470999999999998</v>
      </c>
      <c r="J1113" s="1">
        <v>3.78</v>
      </c>
      <c r="K1113" s="1">
        <v>0.64</v>
      </c>
      <c r="L1113" s="1">
        <v>12.3</v>
      </c>
      <c r="M1113" s="2">
        <v>7</v>
      </c>
      <c r="N1113" s="2" t="str" cm="1">
        <f t="array" ref="N1113">_xlfn.IFS(Table1[[#This Row],[quality]]&lt;=4,"Low",Table1[[#This Row],[quality]]&lt;=6,"Medium",Table1[[#This Row],[quality]]&gt;=7,"High")</f>
        <v>High</v>
      </c>
      <c r="O1113" s="2" t="str">
        <f>IF(AND(Table1[[#This Row],[fixed acidity]]&gt;Sheet1!$C$4,Table1[[#This Row],[pH]]&lt;Sheet1!$K$4),"High","Normal")</f>
        <v>Normal</v>
      </c>
      <c r="P1113" s="1">
        <f>(Table1[[#This Row],[alcohol]]*2)+(Table1[[#This Row],[sulphates]]*1.5)-(Table1[[#This Row],[volatile acidity]]*2)</f>
        <v>24.720000000000002</v>
      </c>
      <c r="Q1113" s="1">
        <f>RANK(Table1[[#This Row],[Quality_score_index]],Table1[Quality_score_index],0)</f>
        <v>108</v>
      </c>
      <c r="R1113" s="1">
        <f>Table1[[#This Row],[total sulfur dioxide]]-Table1[[#This Row],[free sulfur dioxide]]</f>
        <v>32</v>
      </c>
      <c r="S1113" s="1" t="str">
        <f>IF(AND(Table1[[#This Row],[pH]]&gt;=3.2,Table1[[#This Row],[alcohol]]&gt;=10),"White wine","Red wine")</f>
        <v>White wine</v>
      </c>
    </row>
    <row r="1114" spans="1:19" x14ac:dyDescent="0.3">
      <c r="A1114" s="13">
        <v>1113</v>
      </c>
      <c r="B1114" s="1">
        <v>7.9</v>
      </c>
      <c r="C1114" s="1">
        <v>0.33</v>
      </c>
      <c r="D1114" s="1">
        <v>0.41</v>
      </c>
      <c r="E1114" s="1">
        <v>1.5</v>
      </c>
      <c r="F1114" s="1">
        <v>5.6000000000000001E-2</v>
      </c>
      <c r="G1114" s="1">
        <v>6</v>
      </c>
      <c r="H1114" s="1">
        <v>35</v>
      </c>
      <c r="I1114" s="1">
        <v>0.99395999999999995</v>
      </c>
      <c r="J1114" s="1">
        <v>3.29</v>
      </c>
      <c r="K1114" s="1">
        <v>0.71</v>
      </c>
      <c r="L1114" s="1">
        <v>11</v>
      </c>
      <c r="M1114" s="2">
        <v>6</v>
      </c>
      <c r="N1114" s="2" t="str" cm="1">
        <f t="array" ref="N1114">_xlfn.IFS(Table1[[#This Row],[quality]]&lt;=4,"Low",Table1[[#This Row],[quality]]&lt;=6,"Medium",Table1[[#This Row],[quality]]&gt;=7,"High")</f>
        <v>Medium</v>
      </c>
      <c r="O1114" s="2" t="str">
        <f>IF(AND(Table1[[#This Row],[fixed acidity]]&gt;Sheet1!$C$4,Table1[[#This Row],[pH]]&lt;Sheet1!$K$4),"High","Normal")</f>
        <v>Normal</v>
      </c>
      <c r="P1114" s="1">
        <f>(Table1[[#This Row],[alcohol]]*2)+(Table1[[#This Row],[sulphates]]*1.5)-(Table1[[#This Row],[volatile acidity]]*2)</f>
        <v>22.405000000000001</v>
      </c>
      <c r="Q1114" s="1">
        <f>RANK(Table1[[#This Row],[Quality_score_index]],Table1[Quality_score_index],0)</f>
        <v>392</v>
      </c>
      <c r="R1114" s="1">
        <f>Table1[[#This Row],[total sulfur dioxide]]-Table1[[#This Row],[free sulfur dioxide]]</f>
        <v>29</v>
      </c>
      <c r="S1114" s="1" t="str">
        <f>IF(AND(Table1[[#This Row],[pH]]&gt;=3.2,Table1[[#This Row],[alcohol]]&gt;=10),"White wine","Red wine")</f>
        <v>White wine</v>
      </c>
    </row>
    <row r="1115" spans="1:19" x14ac:dyDescent="0.3">
      <c r="A1115" s="13">
        <v>1114</v>
      </c>
      <c r="B1115" s="1">
        <v>8.9</v>
      </c>
      <c r="C1115" s="1">
        <v>0.24</v>
      </c>
      <c r="D1115" s="1">
        <v>0.39</v>
      </c>
      <c r="E1115" s="1">
        <v>1.6</v>
      </c>
      <c r="F1115" s="1">
        <v>7.3999999999999996E-2</v>
      </c>
      <c r="G1115" s="1">
        <v>3</v>
      </c>
      <c r="H1115" s="1">
        <v>10</v>
      </c>
      <c r="I1115" s="1">
        <v>0.99697999999999998</v>
      </c>
      <c r="J1115" s="1">
        <v>3.12</v>
      </c>
      <c r="K1115" s="1">
        <v>0.59</v>
      </c>
      <c r="L1115" s="1">
        <v>9.5</v>
      </c>
      <c r="M1115" s="2">
        <v>6</v>
      </c>
      <c r="N1115" s="2" t="str" cm="1">
        <f t="array" ref="N1115">_xlfn.IFS(Table1[[#This Row],[quality]]&lt;=4,"Low",Table1[[#This Row],[quality]]&lt;=6,"Medium",Table1[[#This Row],[quality]]&gt;=7,"High")</f>
        <v>Medium</v>
      </c>
      <c r="O1115" s="2" t="str">
        <f>IF(AND(Table1[[#This Row],[fixed acidity]]&gt;Sheet1!$C$4,Table1[[#This Row],[pH]]&lt;Sheet1!$K$4),"High","Normal")</f>
        <v>High</v>
      </c>
      <c r="P1115" s="1">
        <f>(Table1[[#This Row],[alcohol]]*2)+(Table1[[#This Row],[sulphates]]*1.5)-(Table1[[#This Row],[volatile acidity]]*2)</f>
        <v>19.405000000000001</v>
      </c>
      <c r="Q1115" s="1">
        <f>RANK(Table1[[#This Row],[Quality_score_index]],Table1[Quality_score_index],0)</f>
        <v>1002</v>
      </c>
      <c r="R1115" s="1">
        <f>Table1[[#This Row],[total sulfur dioxide]]-Table1[[#This Row],[free sulfur dioxide]]</f>
        <v>7</v>
      </c>
      <c r="S1115" s="1" t="str">
        <f>IF(AND(Table1[[#This Row],[pH]]&gt;=3.2,Table1[[#This Row],[alcohol]]&gt;=10),"White wine","Red wine")</f>
        <v>Red wine</v>
      </c>
    </row>
    <row r="1116" spans="1:19" x14ac:dyDescent="0.3">
      <c r="A1116" s="13">
        <v>1115</v>
      </c>
      <c r="B1116" s="1">
        <v>5</v>
      </c>
      <c r="C1116" s="1">
        <v>0.4</v>
      </c>
      <c r="D1116" s="1">
        <v>0.5</v>
      </c>
      <c r="E1116" s="1">
        <v>4.3</v>
      </c>
      <c r="F1116" s="1">
        <v>4.5999999999999999E-2</v>
      </c>
      <c r="G1116" s="1">
        <v>29</v>
      </c>
      <c r="H1116" s="1">
        <v>80</v>
      </c>
      <c r="I1116" s="1">
        <v>0.99019999999999997</v>
      </c>
      <c r="J1116" s="1">
        <v>3.49</v>
      </c>
      <c r="K1116" s="1">
        <v>0.66</v>
      </c>
      <c r="L1116" s="1">
        <v>13.6</v>
      </c>
      <c r="M1116" s="2">
        <v>6</v>
      </c>
      <c r="N1116" s="2" t="str" cm="1">
        <f t="array" ref="N1116">_xlfn.IFS(Table1[[#This Row],[quality]]&lt;=4,"Low",Table1[[#This Row],[quality]]&lt;=6,"Medium",Table1[[#This Row],[quality]]&gt;=7,"High")</f>
        <v>Medium</v>
      </c>
      <c r="O1116" s="2" t="str">
        <f>IF(AND(Table1[[#This Row],[fixed acidity]]&gt;Sheet1!$C$4,Table1[[#This Row],[pH]]&lt;Sheet1!$K$4),"High","Normal")</f>
        <v>Normal</v>
      </c>
      <c r="P1116" s="1">
        <f>(Table1[[#This Row],[alcohol]]*2)+(Table1[[#This Row],[sulphates]]*1.5)-(Table1[[#This Row],[volatile acidity]]*2)</f>
        <v>27.389999999999997</v>
      </c>
      <c r="Q1116" s="1">
        <f>RANK(Table1[[#This Row],[Quality_score_index]],Table1[Quality_score_index],0)</f>
        <v>13</v>
      </c>
      <c r="R1116" s="1">
        <f>Table1[[#This Row],[total sulfur dioxide]]-Table1[[#This Row],[free sulfur dioxide]]</f>
        <v>51</v>
      </c>
      <c r="S1116" s="1" t="str">
        <f>IF(AND(Table1[[#This Row],[pH]]&gt;=3.2,Table1[[#This Row],[alcohol]]&gt;=10),"White wine","Red wine")</f>
        <v>White wine</v>
      </c>
    </row>
    <row r="1117" spans="1:19" x14ac:dyDescent="0.3">
      <c r="A1117" s="13">
        <v>1116</v>
      </c>
      <c r="B1117" s="1">
        <v>7</v>
      </c>
      <c r="C1117" s="1">
        <v>0.69</v>
      </c>
      <c r="D1117" s="1">
        <v>7.0000000000000007E-2</v>
      </c>
      <c r="E1117" s="1">
        <v>2.5</v>
      </c>
      <c r="F1117" s="1">
        <v>9.0999999999999998E-2</v>
      </c>
      <c r="G1117" s="1">
        <v>15</v>
      </c>
      <c r="H1117" s="1">
        <v>21</v>
      </c>
      <c r="I1117" s="1">
        <v>0.99572000000000005</v>
      </c>
      <c r="J1117" s="1">
        <v>3.38</v>
      </c>
      <c r="K1117" s="1">
        <v>0.6</v>
      </c>
      <c r="L1117" s="1">
        <v>11.3</v>
      </c>
      <c r="M1117" s="2">
        <v>6</v>
      </c>
      <c r="N1117" s="2" t="str" cm="1">
        <f t="array" ref="N1117">_xlfn.IFS(Table1[[#This Row],[quality]]&lt;=4,"Low",Table1[[#This Row],[quality]]&lt;=6,"Medium",Table1[[#This Row],[quality]]&gt;=7,"High")</f>
        <v>Medium</v>
      </c>
      <c r="O1117" s="2" t="str">
        <f>IF(AND(Table1[[#This Row],[fixed acidity]]&gt;Sheet1!$C$4,Table1[[#This Row],[pH]]&lt;Sheet1!$K$4),"High","Normal")</f>
        <v>Normal</v>
      </c>
      <c r="P1117" s="1">
        <f>(Table1[[#This Row],[alcohol]]*2)+(Table1[[#This Row],[sulphates]]*1.5)-(Table1[[#This Row],[volatile acidity]]*2)</f>
        <v>22.12</v>
      </c>
      <c r="Q1117" s="1">
        <f>RANK(Table1[[#This Row],[Quality_score_index]],Table1[Quality_score_index],0)</f>
        <v>434</v>
      </c>
      <c r="R1117" s="1">
        <f>Table1[[#This Row],[total sulfur dioxide]]-Table1[[#This Row],[free sulfur dioxide]]</f>
        <v>6</v>
      </c>
      <c r="S1117" s="1" t="str">
        <f>IF(AND(Table1[[#This Row],[pH]]&gt;=3.2,Table1[[#This Row],[alcohol]]&gt;=10),"White wine","Red wine")</f>
        <v>White wine</v>
      </c>
    </row>
    <row r="1118" spans="1:19" x14ac:dyDescent="0.3">
      <c r="A1118" s="13">
        <v>1117</v>
      </c>
      <c r="B1118" s="1">
        <v>7</v>
      </c>
      <c r="C1118" s="1">
        <v>0.69</v>
      </c>
      <c r="D1118" s="1">
        <v>7.0000000000000007E-2</v>
      </c>
      <c r="E1118" s="1">
        <v>2.5</v>
      </c>
      <c r="F1118" s="1">
        <v>9.0999999999999998E-2</v>
      </c>
      <c r="G1118" s="1">
        <v>15</v>
      </c>
      <c r="H1118" s="1">
        <v>21</v>
      </c>
      <c r="I1118" s="1">
        <v>0.99572000000000005</v>
      </c>
      <c r="J1118" s="1">
        <v>3.38</v>
      </c>
      <c r="K1118" s="1">
        <v>0.6</v>
      </c>
      <c r="L1118" s="1">
        <v>11.3</v>
      </c>
      <c r="M1118" s="2">
        <v>6</v>
      </c>
      <c r="N1118" s="2" t="str" cm="1">
        <f t="array" ref="N1118">_xlfn.IFS(Table1[[#This Row],[quality]]&lt;=4,"Low",Table1[[#This Row],[quality]]&lt;=6,"Medium",Table1[[#This Row],[quality]]&gt;=7,"High")</f>
        <v>Medium</v>
      </c>
      <c r="O1118" s="2" t="str">
        <f>IF(AND(Table1[[#This Row],[fixed acidity]]&gt;Sheet1!$C$4,Table1[[#This Row],[pH]]&lt;Sheet1!$K$4),"High","Normal")</f>
        <v>Normal</v>
      </c>
      <c r="P1118" s="1">
        <f>(Table1[[#This Row],[alcohol]]*2)+(Table1[[#This Row],[sulphates]]*1.5)-(Table1[[#This Row],[volatile acidity]]*2)</f>
        <v>22.12</v>
      </c>
      <c r="Q1118" s="1">
        <f>RANK(Table1[[#This Row],[Quality_score_index]],Table1[Quality_score_index],0)</f>
        <v>434</v>
      </c>
      <c r="R1118" s="1">
        <f>Table1[[#This Row],[total sulfur dioxide]]-Table1[[#This Row],[free sulfur dioxide]]</f>
        <v>6</v>
      </c>
      <c r="S1118" s="1" t="str">
        <f>IF(AND(Table1[[#This Row],[pH]]&gt;=3.2,Table1[[#This Row],[alcohol]]&gt;=10),"White wine","Red wine")</f>
        <v>White wine</v>
      </c>
    </row>
    <row r="1119" spans="1:19" x14ac:dyDescent="0.3">
      <c r="A1119" s="13">
        <v>1118</v>
      </c>
      <c r="B1119" s="1">
        <v>7</v>
      </c>
      <c r="C1119" s="1">
        <v>0.69</v>
      </c>
      <c r="D1119" s="1">
        <v>7.0000000000000007E-2</v>
      </c>
      <c r="E1119" s="1">
        <v>2.5</v>
      </c>
      <c r="F1119" s="1">
        <v>9.0999999999999998E-2</v>
      </c>
      <c r="G1119" s="1">
        <v>15</v>
      </c>
      <c r="H1119" s="1">
        <v>21</v>
      </c>
      <c r="I1119" s="1">
        <v>0.99572000000000005</v>
      </c>
      <c r="J1119" s="1">
        <v>3.38</v>
      </c>
      <c r="K1119" s="1">
        <v>0.6</v>
      </c>
      <c r="L1119" s="1">
        <v>11.3</v>
      </c>
      <c r="M1119" s="2">
        <v>6</v>
      </c>
      <c r="N1119" s="2" t="str" cm="1">
        <f t="array" ref="N1119">_xlfn.IFS(Table1[[#This Row],[quality]]&lt;=4,"Low",Table1[[#This Row],[quality]]&lt;=6,"Medium",Table1[[#This Row],[quality]]&gt;=7,"High")</f>
        <v>Medium</v>
      </c>
      <c r="O1119" s="2" t="str">
        <f>IF(AND(Table1[[#This Row],[fixed acidity]]&gt;Sheet1!$C$4,Table1[[#This Row],[pH]]&lt;Sheet1!$K$4),"High","Normal")</f>
        <v>Normal</v>
      </c>
      <c r="P1119" s="1">
        <f>(Table1[[#This Row],[alcohol]]*2)+(Table1[[#This Row],[sulphates]]*1.5)-(Table1[[#This Row],[volatile acidity]]*2)</f>
        <v>22.12</v>
      </c>
      <c r="Q1119" s="1">
        <f>RANK(Table1[[#This Row],[Quality_score_index]],Table1[Quality_score_index],0)</f>
        <v>434</v>
      </c>
      <c r="R1119" s="1">
        <f>Table1[[#This Row],[total sulfur dioxide]]-Table1[[#This Row],[free sulfur dioxide]]</f>
        <v>6</v>
      </c>
      <c r="S1119" s="1" t="str">
        <f>IF(AND(Table1[[#This Row],[pH]]&gt;=3.2,Table1[[#This Row],[alcohol]]&gt;=10),"White wine","Red wine")</f>
        <v>White wine</v>
      </c>
    </row>
    <row r="1120" spans="1:19" x14ac:dyDescent="0.3">
      <c r="A1120" s="13">
        <v>1119</v>
      </c>
      <c r="B1120" s="1">
        <v>7.1</v>
      </c>
      <c r="C1120" s="1">
        <v>0.39</v>
      </c>
      <c r="D1120" s="1">
        <v>0.12</v>
      </c>
      <c r="E1120" s="1">
        <v>2.1</v>
      </c>
      <c r="F1120" s="1">
        <v>6.5000000000000002E-2</v>
      </c>
      <c r="G1120" s="1">
        <v>14</v>
      </c>
      <c r="H1120" s="1">
        <v>24</v>
      </c>
      <c r="I1120" s="1">
        <v>0.99251999999999996</v>
      </c>
      <c r="J1120" s="1">
        <v>3.3</v>
      </c>
      <c r="K1120" s="1">
        <v>0.53</v>
      </c>
      <c r="L1120" s="1">
        <v>13.3</v>
      </c>
      <c r="M1120" s="2">
        <v>6</v>
      </c>
      <c r="N1120" s="2" t="str" cm="1">
        <f t="array" ref="N1120">_xlfn.IFS(Table1[[#This Row],[quality]]&lt;=4,"Low",Table1[[#This Row],[quality]]&lt;=6,"Medium",Table1[[#This Row],[quality]]&gt;=7,"High")</f>
        <v>Medium</v>
      </c>
      <c r="O1120" s="2" t="str">
        <f>IF(AND(Table1[[#This Row],[fixed acidity]]&gt;Sheet1!$C$4,Table1[[#This Row],[pH]]&lt;Sheet1!$K$4),"High","Normal")</f>
        <v>Normal</v>
      </c>
      <c r="P1120" s="1">
        <f>(Table1[[#This Row],[alcohol]]*2)+(Table1[[#This Row],[sulphates]]*1.5)-(Table1[[#This Row],[volatile acidity]]*2)</f>
        <v>26.615000000000002</v>
      </c>
      <c r="Q1120" s="1">
        <f>RANK(Table1[[#This Row],[Quality_score_index]],Table1[Quality_score_index],0)</f>
        <v>19</v>
      </c>
      <c r="R1120" s="1">
        <f>Table1[[#This Row],[total sulfur dioxide]]-Table1[[#This Row],[free sulfur dioxide]]</f>
        <v>10</v>
      </c>
      <c r="S1120" s="1" t="str">
        <f>IF(AND(Table1[[#This Row],[pH]]&gt;=3.2,Table1[[#This Row],[alcohol]]&gt;=10),"White wine","Red wine")</f>
        <v>White wine</v>
      </c>
    </row>
    <row r="1121" spans="1:19" x14ac:dyDescent="0.3">
      <c r="A1121" s="13">
        <v>1120</v>
      </c>
      <c r="B1121" s="1">
        <v>5.6</v>
      </c>
      <c r="C1121" s="1">
        <v>0.66</v>
      </c>
      <c r="D1121" s="1">
        <v>0</v>
      </c>
      <c r="E1121" s="1">
        <v>2.5</v>
      </c>
      <c r="F1121" s="1">
        <v>6.6000000000000003E-2</v>
      </c>
      <c r="G1121" s="1">
        <v>7</v>
      </c>
      <c r="H1121" s="1">
        <v>15</v>
      </c>
      <c r="I1121" s="1">
        <v>0.99256</v>
      </c>
      <c r="J1121" s="1">
        <v>3.52</v>
      </c>
      <c r="K1121" s="1">
        <v>0.57999999999999996</v>
      </c>
      <c r="L1121" s="1">
        <v>12.9</v>
      </c>
      <c r="M1121" s="2">
        <v>5</v>
      </c>
      <c r="N1121" s="2" t="str" cm="1">
        <f t="array" ref="N1121">_xlfn.IFS(Table1[[#This Row],[quality]]&lt;=4,"Low",Table1[[#This Row],[quality]]&lt;=6,"Medium",Table1[[#This Row],[quality]]&gt;=7,"High")</f>
        <v>Medium</v>
      </c>
      <c r="O1121" s="2" t="str">
        <f>IF(AND(Table1[[#This Row],[fixed acidity]]&gt;Sheet1!$C$4,Table1[[#This Row],[pH]]&lt;Sheet1!$K$4),"High","Normal")</f>
        <v>Normal</v>
      </c>
      <c r="P1121" s="1">
        <f>(Table1[[#This Row],[alcohol]]*2)+(Table1[[#This Row],[sulphates]]*1.5)-(Table1[[#This Row],[volatile acidity]]*2)</f>
        <v>25.35</v>
      </c>
      <c r="Q1121" s="1">
        <f>RANK(Table1[[#This Row],[Quality_score_index]],Table1[Quality_score_index],0)</f>
        <v>67</v>
      </c>
      <c r="R1121" s="1">
        <f>Table1[[#This Row],[total sulfur dioxide]]-Table1[[#This Row],[free sulfur dioxide]]</f>
        <v>8</v>
      </c>
      <c r="S1121" s="1" t="str">
        <f>IF(AND(Table1[[#This Row],[pH]]&gt;=3.2,Table1[[#This Row],[alcohol]]&gt;=10),"White wine","Red wine")</f>
        <v>White wine</v>
      </c>
    </row>
    <row r="1122" spans="1:19" x14ac:dyDescent="0.3">
      <c r="A1122" s="13">
        <v>1121</v>
      </c>
      <c r="B1122" s="1">
        <v>7.9</v>
      </c>
      <c r="C1122" s="1">
        <v>0.54</v>
      </c>
      <c r="D1122" s="1">
        <v>0.34</v>
      </c>
      <c r="E1122" s="1">
        <v>2.5</v>
      </c>
      <c r="F1122" s="1">
        <v>7.5999999999999998E-2</v>
      </c>
      <c r="G1122" s="1">
        <v>8</v>
      </c>
      <c r="H1122" s="1">
        <v>17</v>
      </c>
      <c r="I1122" s="1">
        <v>0.99234999999999995</v>
      </c>
      <c r="J1122" s="1">
        <v>3.2</v>
      </c>
      <c r="K1122" s="1">
        <v>0.72</v>
      </c>
      <c r="L1122" s="1">
        <v>13.1</v>
      </c>
      <c r="M1122" s="2">
        <v>8</v>
      </c>
      <c r="N1122" s="2" t="str" cm="1">
        <f t="array" ref="N1122">_xlfn.IFS(Table1[[#This Row],[quality]]&lt;=4,"Low",Table1[[#This Row],[quality]]&lt;=6,"Medium",Table1[[#This Row],[quality]]&gt;=7,"High")</f>
        <v>High</v>
      </c>
      <c r="O1122" s="2" t="str">
        <f>IF(AND(Table1[[#This Row],[fixed acidity]]&gt;Sheet1!$C$4,Table1[[#This Row],[pH]]&lt;Sheet1!$K$4),"High","Normal")</f>
        <v>Normal</v>
      </c>
      <c r="P1122" s="1">
        <f>(Table1[[#This Row],[alcohol]]*2)+(Table1[[#This Row],[sulphates]]*1.5)-(Table1[[#This Row],[volatile acidity]]*2)</f>
        <v>26.200000000000003</v>
      </c>
      <c r="Q1122" s="1">
        <f>RANK(Table1[[#This Row],[Quality_score_index]],Table1[Quality_score_index],0)</f>
        <v>22</v>
      </c>
      <c r="R1122" s="1">
        <f>Table1[[#This Row],[total sulfur dioxide]]-Table1[[#This Row],[free sulfur dioxide]]</f>
        <v>9</v>
      </c>
      <c r="S1122" s="1" t="str">
        <f>IF(AND(Table1[[#This Row],[pH]]&gt;=3.2,Table1[[#This Row],[alcohol]]&gt;=10),"White wine","Red wine")</f>
        <v>White wine</v>
      </c>
    </row>
    <row r="1123" spans="1:19" x14ac:dyDescent="0.3">
      <c r="A1123" s="13">
        <v>1122</v>
      </c>
      <c r="B1123" s="1">
        <v>6.6</v>
      </c>
      <c r="C1123" s="1">
        <v>0.5</v>
      </c>
      <c r="D1123" s="1">
        <v>0</v>
      </c>
      <c r="E1123" s="1">
        <v>1.8</v>
      </c>
      <c r="F1123" s="1">
        <v>6.2E-2</v>
      </c>
      <c r="G1123" s="1">
        <v>21</v>
      </c>
      <c r="H1123" s="1">
        <v>28</v>
      </c>
      <c r="I1123" s="1">
        <v>0.99351999999999996</v>
      </c>
      <c r="J1123" s="1">
        <v>3.44</v>
      </c>
      <c r="K1123" s="1">
        <v>0.55000000000000004</v>
      </c>
      <c r="L1123" s="1">
        <v>12.3</v>
      </c>
      <c r="M1123" s="2">
        <v>6</v>
      </c>
      <c r="N1123" s="2" t="str" cm="1">
        <f t="array" ref="N1123">_xlfn.IFS(Table1[[#This Row],[quality]]&lt;=4,"Low",Table1[[#This Row],[quality]]&lt;=6,"Medium",Table1[[#This Row],[quality]]&gt;=7,"High")</f>
        <v>Medium</v>
      </c>
      <c r="O1123" s="2" t="str">
        <f>IF(AND(Table1[[#This Row],[fixed acidity]]&gt;Sheet1!$C$4,Table1[[#This Row],[pH]]&lt;Sheet1!$K$4),"High","Normal")</f>
        <v>Normal</v>
      </c>
      <c r="P1123" s="1">
        <f>(Table1[[#This Row],[alcohol]]*2)+(Table1[[#This Row],[sulphates]]*1.5)-(Table1[[#This Row],[volatile acidity]]*2)</f>
        <v>24.425000000000001</v>
      </c>
      <c r="Q1123" s="1">
        <f>RANK(Table1[[#This Row],[Quality_score_index]],Table1[Quality_score_index],0)</f>
        <v>133</v>
      </c>
      <c r="R1123" s="1">
        <f>Table1[[#This Row],[total sulfur dioxide]]-Table1[[#This Row],[free sulfur dioxide]]</f>
        <v>7</v>
      </c>
      <c r="S1123" s="1" t="str">
        <f>IF(AND(Table1[[#This Row],[pH]]&gt;=3.2,Table1[[#This Row],[alcohol]]&gt;=10),"White wine","Red wine")</f>
        <v>White wine</v>
      </c>
    </row>
    <row r="1124" spans="1:19" x14ac:dyDescent="0.3">
      <c r="A1124" s="13">
        <v>1123</v>
      </c>
      <c r="B1124" s="1">
        <v>6.3</v>
      </c>
      <c r="C1124" s="1">
        <v>0.47</v>
      </c>
      <c r="D1124" s="1">
        <v>0</v>
      </c>
      <c r="E1124" s="1">
        <v>1.4</v>
      </c>
      <c r="F1124" s="1">
        <v>5.5E-2</v>
      </c>
      <c r="G1124" s="1">
        <v>27</v>
      </c>
      <c r="H1124" s="1">
        <v>33</v>
      </c>
      <c r="I1124" s="1">
        <v>0.99219999999999997</v>
      </c>
      <c r="J1124" s="1">
        <v>3.45</v>
      </c>
      <c r="K1124" s="1">
        <v>0.48</v>
      </c>
      <c r="L1124" s="1">
        <v>12.3</v>
      </c>
      <c r="M1124" s="2">
        <v>6</v>
      </c>
      <c r="N1124" s="2" t="str" cm="1">
        <f t="array" ref="N1124">_xlfn.IFS(Table1[[#This Row],[quality]]&lt;=4,"Low",Table1[[#This Row],[quality]]&lt;=6,"Medium",Table1[[#This Row],[quality]]&gt;=7,"High")</f>
        <v>Medium</v>
      </c>
      <c r="O1124" s="2" t="str">
        <f>IF(AND(Table1[[#This Row],[fixed acidity]]&gt;Sheet1!$C$4,Table1[[#This Row],[pH]]&lt;Sheet1!$K$4),"High","Normal")</f>
        <v>Normal</v>
      </c>
      <c r="P1124" s="1">
        <f>(Table1[[#This Row],[alcohol]]*2)+(Table1[[#This Row],[sulphates]]*1.5)-(Table1[[#This Row],[volatile acidity]]*2)</f>
        <v>24.38</v>
      </c>
      <c r="Q1124" s="1">
        <f>RANK(Table1[[#This Row],[Quality_score_index]],Table1[Quality_score_index],0)</f>
        <v>144</v>
      </c>
      <c r="R1124" s="1">
        <f>Table1[[#This Row],[total sulfur dioxide]]-Table1[[#This Row],[free sulfur dioxide]]</f>
        <v>6</v>
      </c>
      <c r="S1124" s="1" t="str">
        <f>IF(AND(Table1[[#This Row],[pH]]&gt;=3.2,Table1[[#This Row],[alcohol]]&gt;=10),"White wine","Red wine")</f>
        <v>White wine</v>
      </c>
    </row>
    <row r="1125" spans="1:19" x14ac:dyDescent="0.3">
      <c r="A1125" s="13">
        <v>1124</v>
      </c>
      <c r="B1125" s="1">
        <v>10.7</v>
      </c>
      <c r="C1125" s="1">
        <v>0.4</v>
      </c>
      <c r="D1125" s="1">
        <v>0.37</v>
      </c>
      <c r="E1125" s="1">
        <v>1.9</v>
      </c>
      <c r="F1125" s="1">
        <v>8.1000000000000003E-2</v>
      </c>
      <c r="G1125" s="1">
        <v>17</v>
      </c>
      <c r="H1125" s="1">
        <v>29</v>
      </c>
      <c r="I1125" s="1">
        <v>0.99673999999999996</v>
      </c>
      <c r="J1125" s="1">
        <v>3.12</v>
      </c>
      <c r="K1125" s="1">
        <v>0.65</v>
      </c>
      <c r="L1125" s="1">
        <v>11.2</v>
      </c>
      <c r="M1125" s="2">
        <v>6</v>
      </c>
      <c r="N1125" s="2" t="str" cm="1">
        <f t="array" ref="N1125">_xlfn.IFS(Table1[[#This Row],[quality]]&lt;=4,"Low",Table1[[#This Row],[quality]]&lt;=6,"Medium",Table1[[#This Row],[quality]]&gt;=7,"High")</f>
        <v>Medium</v>
      </c>
      <c r="O1125" s="2" t="str">
        <f>IF(AND(Table1[[#This Row],[fixed acidity]]&gt;Sheet1!$C$4,Table1[[#This Row],[pH]]&lt;Sheet1!$K$4),"High","Normal")</f>
        <v>High</v>
      </c>
      <c r="P1125" s="1">
        <f>(Table1[[#This Row],[alcohol]]*2)+(Table1[[#This Row],[sulphates]]*1.5)-(Table1[[#This Row],[volatile acidity]]*2)</f>
        <v>22.574999999999999</v>
      </c>
      <c r="Q1125" s="1">
        <f>RANK(Table1[[#This Row],[Quality_score_index]],Table1[Quality_score_index],0)</f>
        <v>347</v>
      </c>
      <c r="R1125" s="1">
        <f>Table1[[#This Row],[total sulfur dioxide]]-Table1[[#This Row],[free sulfur dioxide]]</f>
        <v>12</v>
      </c>
      <c r="S1125" s="1" t="str">
        <f>IF(AND(Table1[[#This Row],[pH]]&gt;=3.2,Table1[[#This Row],[alcohol]]&gt;=10),"White wine","Red wine")</f>
        <v>Red wine</v>
      </c>
    </row>
    <row r="1126" spans="1:19" x14ac:dyDescent="0.3">
      <c r="A1126" s="13">
        <v>1125</v>
      </c>
      <c r="B1126" s="1">
        <v>6.5</v>
      </c>
      <c r="C1126" s="1">
        <v>0.57999999999999996</v>
      </c>
      <c r="D1126" s="1">
        <v>0</v>
      </c>
      <c r="E1126" s="1">
        <v>2.2000000000000002</v>
      </c>
      <c r="F1126" s="1">
        <v>9.6000000000000002E-2</v>
      </c>
      <c r="G1126" s="1">
        <v>3</v>
      </c>
      <c r="H1126" s="1">
        <v>13</v>
      </c>
      <c r="I1126" s="1">
        <v>0.99556999999999995</v>
      </c>
      <c r="J1126" s="1">
        <v>3.62</v>
      </c>
      <c r="K1126" s="1">
        <v>0.62</v>
      </c>
      <c r="L1126" s="1">
        <v>11.5</v>
      </c>
      <c r="M1126" s="2">
        <v>4</v>
      </c>
      <c r="N1126" s="2" t="str" cm="1">
        <f t="array" ref="N1126">_xlfn.IFS(Table1[[#This Row],[quality]]&lt;=4,"Low",Table1[[#This Row],[quality]]&lt;=6,"Medium",Table1[[#This Row],[quality]]&gt;=7,"High")</f>
        <v>Low</v>
      </c>
      <c r="O1126" s="2" t="str">
        <f>IF(AND(Table1[[#This Row],[fixed acidity]]&gt;Sheet1!$C$4,Table1[[#This Row],[pH]]&lt;Sheet1!$K$4),"High","Normal")</f>
        <v>Normal</v>
      </c>
      <c r="P1126" s="1">
        <f>(Table1[[#This Row],[alcohol]]*2)+(Table1[[#This Row],[sulphates]]*1.5)-(Table1[[#This Row],[volatile acidity]]*2)</f>
        <v>22.77</v>
      </c>
      <c r="Q1126" s="1">
        <f>RANK(Table1[[#This Row],[Quality_score_index]],Table1[Quality_score_index],0)</f>
        <v>317</v>
      </c>
      <c r="R1126" s="1">
        <f>Table1[[#This Row],[total sulfur dioxide]]-Table1[[#This Row],[free sulfur dioxide]]</f>
        <v>10</v>
      </c>
      <c r="S1126" s="1" t="str">
        <f>IF(AND(Table1[[#This Row],[pH]]&gt;=3.2,Table1[[#This Row],[alcohol]]&gt;=10),"White wine","Red wine")</f>
        <v>White wine</v>
      </c>
    </row>
    <row r="1127" spans="1:19" x14ac:dyDescent="0.3">
      <c r="A1127" s="13">
        <v>1126</v>
      </c>
      <c r="B1127" s="1">
        <v>8.8000000000000007</v>
      </c>
      <c r="C1127" s="1">
        <v>0.24</v>
      </c>
      <c r="D1127" s="1">
        <v>0.35</v>
      </c>
      <c r="E1127" s="1">
        <v>1.7</v>
      </c>
      <c r="F1127" s="1">
        <v>5.5E-2</v>
      </c>
      <c r="G1127" s="1">
        <v>13</v>
      </c>
      <c r="H1127" s="1">
        <v>27</v>
      </c>
      <c r="I1127" s="1">
        <v>0.99394000000000005</v>
      </c>
      <c r="J1127" s="1">
        <v>3.14</v>
      </c>
      <c r="K1127" s="1">
        <v>0.59</v>
      </c>
      <c r="L1127" s="1">
        <v>11.3</v>
      </c>
      <c r="M1127" s="2">
        <v>7</v>
      </c>
      <c r="N1127" s="2" t="str" cm="1">
        <f t="array" ref="N1127">_xlfn.IFS(Table1[[#This Row],[quality]]&lt;=4,"Low",Table1[[#This Row],[quality]]&lt;=6,"Medium",Table1[[#This Row],[quality]]&gt;=7,"High")</f>
        <v>High</v>
      </c>
      <c r="O1127" s="2" t="str">
        <f>IF(AND(Table1[[#This Row],[fixed acidity]]&gt;Sheet1!$C$4,Table1[[#This Row],[pH]]&lt;Sheet1!$K$4),"High","Normal")</f>
        <v>High</v>
      </c>
      <c r="P1127" s="1">
        <f>(Table1[[#This Row],[alcohol]]*2)+(Table1[[#This Row],[sulphates]]*1.5)-(Table1[[#This Row],[volatile acidity]]*2)</f>
        <v>23.005000000000003</v>
      </c>
      <c r="Q1127" s="1">
        <f>RANK(Table1[[#This Row],[Quality_score_index]],Table1[Quality_score_index],0)</f>
        <v>270</v>
      </c>
      <c r="R1127" s="1">
        <f>Table1[[#This Row],[total sulfur dioxide]]-Table1[[#This Row],[free sulfur dioxide]]</f>
        <v>14</v>
      </c>
      <c r="S1127" s="1" t="str">
        <f>IF(AND(Table1[[#This Row],[pH]]&gt;=3.2,Table1[[#This Row],[alcohol]]&gt;=10),"White wine","Red wine")</f>
        <v>Red wine</v>
      </c>
    </row>
    <row r="1128" spans="1:19" x14ac:dyDescent="0.3">
      <c r="A1128" s="13">
        <v>1127</v>
      </c>
      <c r="B1128" s="1">
        <v>5.8</v>
      </c>
      <c r="C1128" s="1">
        <v>0.28999999999999998</v>
      </c>
      <c r="D1128" s="1">
        <v>0.26</v>
      </c>
      <c r="E1128" s="1">
        <v>1.7</v>
      </c>
      <c r="F1128" s="1">
        <v>6.3E-2</v>
      </c>
      <c r="G1128" s="1">
        <v>3</v>
      </c>
      <c r="H1128" s="1">
        <v>11</v>
      </c>
      <c r="I1128" s="1">
        <v>0.99150000000000005</v>
      </c>
      <c r="J1128" s="1">
        <v>3.39</v>
      </c>
      <c r="K1128" s="1">
        <v>0.54</v>
      </c>
      <c r="L1128" s="1">
        <v>13.5</v>
      </c>
      <c r="M1128" s="2">
        <v>6</v>
      </c>
      <c r="N1128" s="2" t="str" cm="1">
        <f t="array" ref="N1128">_xlfn.IFS(Table1[[#This Row],[quality]]&lt;=4,"Low",Table1[[#This Row],[quality]]&lt;=6,"Medium",Table1[[#This Row],[quality]]&gt;=7,"High")</f>
        <v>Medium</v>
      </c>
      <c r="O1128" s="2" t="str">
        <f>IF(AND(Table1[[#This Row],[fixed acidity]]&gt;Sheet1!$C$4,Table1[[#This Row],[pH]]&lt;Sheet1!$K$4),"High","Normal")</f>
        <v>Normal</v>
      </c>
      <c r="P1128" s="1">
        <f>(Table1[[#This Row],[alcohol]]*2)+(Table1[[#This Row],[sulphates]]*1.5)-(Table1[[#This Row],[volatile acidity]]*2)</f>
        <v>27.23</v>
      </c>
      <c r="Q1128" s="1">
        <f>RANK(Table1[[#This Row],[Quality_score_index]],Table1[Quality_score_index],0)</f>
        <v>15</v>
      </c>
      <c r="R1128" s="1">
        <f>Table1[[#This Row],[total sulfur dioxide]]-Table1[[#This Row],[free sulfur dioxide]]</f>
        <v>8</v>
      </c>
      <c r="S1128" s="1" t="str">
        <f>IF(AND(Table1[[#This Row],[pH]]&gt;=3.2,Table1[[#This Row],[alcohol]]&gt;=10),"White wine","Red wine")</f>
        <v>White wine</v>
      </c>
    </row>
    <row r="1129" spans="1:19" x14ac:dyDescent="0.3">
      <c r="A1129" s="13">
        <v>1128</v>
      </c>
      <c r="B1129" s="1">
        <v>6.3</v>
      </c>
      <c r="C1129" s="1">
        <v>0.76</v>
      </c>
      <c r="D1129" s="1">
        <v>0</v>
      </c>
      <c r="E1129" s="1">
        <v>2.9</v>
      </c>
      <c r="F1129" s="1">
        <v>7.1999999999999995E-2</v>
      </c>
      <c r="G1129" s="1">
        <v>26</v>
      </c>
      <c r="H1129" s="1">
        <v>52</v>
      </c>
      <c r="I1129" s="1">
        <v>0.99378999999999995</v>
      </c>
      <c r="J1129" s="1">
        <v>3.51</v>
      </c>
      <c r="K1129" s="1">
        <v>0.6</v>
      </c>
      <c r="L1129" s="1">
        <v>11.5</v>
      </c>
      <c r="M1129" s="2">
        <v>6</v>
      </c>
      <c r="N1129" s="2" t="str" cm="1">
        <f t="array" ref="N1129">_xlfn.IFS(Table1[[#This Row],[quality]]&lt;=4,"Low",Table1[[#This Row],[quality]]&lt;=6,"Medium",Table1[[#This Row],[quality]]&gt;=7,"High")</f>
        <v>Medium</v>
      </c>
      <c r="O1129" s="2" t="str">
        <f>IF(AND(Table1[[#This Row],[fixed acidity]]&gt;Sheet1!$C$4,Table1[[#This Row],[pH]]&lt;Sheet1!$K$4),"High","Normal")</f>
        <v>Normal</v>
      </c>
      <c r="P1129" s="1">
        <f>(Table1[[#This Row],[alcohol]]*2)+(Table1[[#This Row],[sulphates]]*1.5)-(Table1[[#This Row],[volatile acidity]]*2)</f>
        <v>22.38</v>
      </c>
      <c r="Q1129" s="1">
        <f>RANK(Table1[[#This Row],[Quality_score_index]],Table1[Quality_score_index],0)</f>
        <v>394</v>
      </c>
      <c r="R1129" s="1">
        <f>Table1[[#This Row],[total sulfur dioxide]]-Table1[[#This Row],[free sulfur dioxide]]</f>
        <v>26</v>
      </c>
      <c r="S1129" s="1" t="str">
        <f>IF(AND(Table1[[#This Row],[pH]]&gt;=3.2,Table1[[#This Row],[alcohol]]&gt;=10),"White wine","Red wine")</f>
        <v>White wine</v>
      </c>
    </row>
    <row r="1130" spans="1:19" x14ac:dyDescent="0.3">
      <c r="A1130" s="13">
        <v>1129</v>
      </c>
      <c r="B1130" s="1">
        <v>10</v>
      </c>
      <c r="C1130" s="1">
        <v>0.43</v>
      </c>
      <c r="D1130" s="1">
        <v>0.33</v>
      </c>
      <c r="E1130" s="1">
        <v>2.7</v>
      </c>
      <c r="F1130" s="1">
        <v>9.5000000000000001E-2</v>
      </c>
      <c r="G1130" s="1">
        <v>28</v>
      </c>
      <c r="H1130" s="1">
        <v>89</v>
      </c>
      <c r="I1130" s="1">
        <v>0.99839999999999995</v>
      </c>
      <c r="J1130" s="1">
        <v>3.22</v>
      </c>
      <c r="K1130" s="1">
        <v>0.68</v>
      </c>
      <c r="L1130" s="1">
        <v>10</v>
      </c>
      <c r="M1130" s="2">
        <v>5</v>
      </c>
      <c r="N1130" s="2" t="str" cm="1">
        <f t="array" ref="N1130">_xlfn.IFS(Table1[[#This Row],[quality]]&lt;=4,"Low",Table1[[#This Row],[quality]]&lt;=6,"Medium",Table1[[#This Row],[quality]]&gt;=7,"High")</f>
        <v>Medium</v>
      </c>
      <c r="O1130" s="2" t="str">
        <f>IF(AND(Table1[[#This Row],[fixed acidity]]&gt;Sheet1!$C$4,Table1[[#This Row],[pH]]&lt;Sheet1!$K$4),"High","Normal")</f>
        <v>High</v>
      </c>
      <c r="P1130" s="1">
        <f>(Table1[[#This Row],[alcohol]]*2)+(Table1[[#This Row],[sulphates]]*1.5)-(Table1[[#This Row],[volatile acidity]]*2)</f>
        <v>20.16</v>
      </c>
      <c r="Q1130" s="1">
        <f>RANK(Table1[[#This Row],[Quality_score_index]],Table1[Quality_score_index],0)</f>
        <v>827</v>
      </c>
      <c r="R1130" s="1">
        <f>Table1[[#This Row],[total sulfur dioxide]]-Table1[[#This Row],[free sulfur dioxide]]</f>
        <v>61</v>
      </c>
      <c r="S1130" s="1" t="str">
        <f>IF(AND(Table1[[#This Row],[pH]]&gt;=3.2,Table1[[#This Row],[alcohol]]&gt;=10),"White wine","Red wine")</f>
        <v>White wine</v>
      </c>
    </row>
    <row r="1131" spans="1:19" x14ac:dyDescent="0.3">
      <c r="A1131" s="13">
        <v>1130</v>
      </c>
      <c r="B1131" s="1">
        <v>10.5</v>
      </c>
      <c r="C1131" s="1">
        <v>0.43</v>
      </c>
      <c r="D1131" s="1">
        <v>0.35</v>
      </c>
      <c r="E1131" s="1">
        <v>3.3</v>
      </c>
      <c r="F1131" s="1">
        <v>9.1999999999999998E-2</v>
      </c>
      <c r="G1131" s="1">
        <v>24</v>
      </c>
      <c r="H1131" s="1">
        <v>70</v>
      </c>
      <c r="I1131" s="1">
        <v>0.99797999999999998</v>
      </c>
      <c r="J1131" s="1">
        <v>3.21</v>
      </c>
      <c r="K1131" s="1">
        <v>0.69</v>
      </c>
      <c r="L1131" s="1">
        <v>10.5</v>
      </c>
      <c r="M1131" s="2">
        <v>6</v>
      </c>
      <c r="N1131" s="2" t="str" cm="1">
        <f t="array" ref="N1131">_xlfn.IFS(Table1[[#This Row],[quality]]&lt;=4,"Low",Table1[[#This Row],[quality]]&lt;=6,"Medium",Table1[[#This Row],[quality]]&gt;=7,"High")</f>
        <v>Medium</v>
      </c>
      <c r="O1131" s="2" t="str">
        <f>IF(AND(Table1[[#This Row],[fixed acidity]]&gt;Sheet1!$C$4,Table1[[#This Row],[pH]]&lt;Sheet1!$K$4),"High","Normal")</f>
        <v>High</v>
      </c>
      <c r="P1131" s="1">
        <f>(Table1[[#This Row],[alcohol]]*2)+(Table1[[#This Row],[sulphates]]*1.5)-(Table1[[#This Row],[volatile acidity]]*2)</f>
        <v>21.175000000000001</v>
      </c>
      <c r="Q1131" s="1">
        <f>RANK(Table1[[#This Row],[Quality_score_index]],Table1[Quality_score_index],0)</f>
        <v>619</v>
      </c>
      <c r="R1131" s="1">
        <f>Table1[[#This Row],[total sulfur dioxide]]-Table1[[#This Row],[free sulfur dioxide]]</f>
        <v>46</v>
      </c>
      <c r="S1131" s="1" t="str">
        <f>IF(AND(Table1[[#This Row],[pH]]&gt;=3.2,Table1[[#This Row],[alcohol]]&gt;=10),"White wine","Red wine")</f>
        <v>White wine</v>
      </c>
    </row>
    <row r="1132" spans="1:19" x14ac:dyDescent="0.3">
      <c r="A1132" s="13">
        <v>1131</v>
      </c>
      <c r="B1132" s="1">
        <v>9.1</v>
      </c>
      <c r="C1132" s="1">
        <v>0.6</v>
      </c>
      <c r="D1132" s="1">
        <v>0</v>
      </c>
      <c r="E1132" s="1">
        <v>1.9</v>
      </c>
      <c r="F1132" s="1">
        <v>5.8000000000000003E-2</v>
      </c>
      <c r="G1132" s="1">
        <v>5</v>
      </c>
      <c r="H1132" s="1">
        <v>10</v>
      </c>
      <c r="I1132" s="1">
        <v>0.99770000000000003</v>
      </c>
      <c r="J1132" s="1">
        <v>3.18</v>
      </c>
      <c r="K1132" s="1">
        <v>0.63</v>
      </c>
      <c r="L1132" s="1">
        <v>10.4</v>
      </c>
      <c r="M1132" s="2">
        <v>6</v>
      </c>
      <c r="N1132" s="2" t="str" cm="1">
        <f t="array" ref="N1132">_xlfn.IFS(Table1[[#This Row],[quality]]&lt;=4,"Low",Table1[[#This Row],[quality]]&lt;=6,"Medium",Table1[[#This Row],[quality]]&gt;=7,"High")</f>
        <v>Medium</v>
      </c>
      <c r="O1132" s="2" t="str">
        <f>IF(AND(Table1[[#This Row],[fixed acidity]]&gt;Sheet1!$C$4,Table1[[#This Row],[pH]]&lt;Sheet1!$K$4),"High","Normal")</f>
        <v>High</v>
      </c>
      <c r="P1132" s="1">
        <f>(Table1[[#This Row],[alcohol]]*2)+(Table1[[#This Row],[sulphates]]*1.5)-(Table1[[#This Row],[volatile acidity]]*2)</f>
        <v>20.545000000000002</v>
      </c>
      <c r="Q1132" s="1">
        <f>RANK(Table1[[#This Row],[Quality_score_index]],Table1[Quality_score_index],0)</f>
        <v>746</v>
      </c>
      <c r="R1132" s="1">
        <f>Table1[[#This Row],[total sulfur dioxide]]-Table1[[#This Row],[free sulfur dioxide]]</f>
        <v>5</v>
      </c>
      <c r="S1132" s="1" t="str">
        <f>IF(AND(Table1[[#This Row],[pH]]&gt;=3.2,Table1[[#This Row],[alcohol]]&gt;=10),"White wine","Red wine")</f>
        <v>Red wine</v>
      </c>
    </row>
    <row r="1133" spans="1:19" x14ac:dyDescent="0.3">
      <c r="A1133" s="13">
        <v>1132</v>
      </c>
      <c r="B1133" s="1">
        <v>5.9</v>
      </c>
      <c r="C1133" s="1">
        <v>0.19</v>
      </c>
      <c r="D1133" s="1">
        <v>0.21</v>
      </c>
      <c r="E1133" s="1">
        <v>1.7</v>
      </c>
      <c r="F1133" s="1">
        <v>4.4999999999999998E-2</v>
      </c>
      <c r="G1133" s="1">
        <v>57</v>
      </c>
      <c r="H1133" s="1">
        <v>135</v>
      </c>
      <c r="I1133" s="1">
        <v>0.99341000000000002</v>
      </c>
      <c r="J1133" s="1">
        <v>3.32</v>
      </c>
      <c r="K1133" s="1">
        <v>0.44</v>
      </c>
      <c r="L1133" s="1">
        <v>9.5</v>
      </c>
      <c r="M1133" s="2">
        <v>5</v>
      </c>
      <c r="N1133" s="2" t="str" cm="1">
        <f t="array" ref="N1133">_xlfn.IFS(Table1[[#This Row],[quality]]&lt;=4,"Low",Table1[[#This Row],[quality]]&lt;=6,"Medium",Table1[[#This Row],[quality]]&gt;=7,"High")</f>
        <v>Medium</v>
      </c>
      <c r="O1133" s="2" t="str">
        <f>IF(AND(Table1[[#This Row],[fixed acidity]]&gt;Sheet1!$C$4,Table1[[#This Row],[pH]]&lt;Sheet1!$K$4),"High","Normal")</f>
        <v>Normal</v>
      </c>
      <c r="P1133" s="1">
        <f>(Table1[[#This Row],[alcohol]]*2)+(Table1[[#This Row],[sulphates]]*1.5)-(Table1[[#This Row],[volatile acidity]]*2)</f>
        <v>19.28</v>
      </c>
      <c r="Q1133" s="1">
        <f>RANK(Table1[[#This Row],[Quality_score_index]],Table1[Quality_score_index],0)</f>
        <v>1046</v>
      </c>
      <c r="R1133" s="1">
        <f>Table1[[#This Row],[total sulfur dioxide]]-Table1[[#This Row],[free sulfur dioxide]]</f>
        <v>78</v>
      </c>
      <c r="S1133" s="1" t="str">
        <f>IF(AND(Table1[[#This Row],[pH]]&gt;=3.2,Table1[[#This Row],[alcohol]]&gt;=10),"White wine","Red wine")</f>
        <v>Red wine</v>
      </c>
    </row>
    <row r="1134" spans="1:19" x14ac:dyDescent="0.3">
      <c r="A1134" s="13">
        <v>1133</v>
      </c>
      <c r="B1134" s="1">
        <v>7.4</v>
      </c>
      <c r="C1134" s="1">
        <v>0.36</v>
      </c>
      <c r="D1134" s="1">
        <v>0.34</v>
      </c>
      <c r="E1134" s="1">
        <v>1.8</v>
      </c>
      <c r="F1134" s="1">
        <v>7.4999999999999997E-2</v>
      </c>
      <c r="G1134" s="1">
        <v>18</v>
      </c>
      <c r="H1134" s="1">
        <v>38</v>
      </c>
      <c r="I1134" s="1">
        <v>0.99329999999999996</v>
      </c>
      <c r="J1134" s="1">
        <v>3.38</v>
      </c>
      <c r="K1134" s="1">
        <v>0.88</v>
      </c>
      <c r="L1134" s="1">
        <v>13.6</v>
      </c>
      <c r="M1134" s="2">
        <v>7</v>
      </c>
      <c r="N1134" s="2" t="str" cm="1">
        <f t="array" ref="N1134">_xlfn.IFS(Table1[[#This Row],[quality]]&lt;=4,"Low",Table1[[#This Row],[quality]]&lt;=6,"Medium",Table1[[#This Row],[quality]]&gt;=7,"High")</f>
        <v>High</v>
      </c>
      <c r="O1134" s="2" t="str">
        <f>IF(AND(Table1[[#This Row],[fixed acidity]]&gt;Sheet1!$C$4,Table1[[#This Row],[pH]]&lt;Sheet1!$K$4),"High","Normal")</f>
        <v>Normal</v>
      </c>
      <c r="P1134" s="1">
        <f>(Table1[[#This Row],[alcohol]]*2)+(Table1[[#This Row],[sulphates]]*1.5)-(Table1[[#This Row],[volatile acidity]]*2)</f>
        <v>27.8</v>
      </c>
      <c r="Q1134" s="1">
        <f>RANK(Table1[[#This Row],[Quality_score_index]],Table1[Quality_score_index],0)</f>
        <v>9</v>
      </c>
      <c r="R1134" s="1">
        <f>Table1[[#This Row],[total sulfur dioxide]]-Table1[[#This Row],[free sulfur dioxide]]</f>
        <v>20</v>
      </c>
      <c r="S1134" s="1" t="str">
        <f>IF(AND(Table1[[#This Row],[pH]]&gt;=3.2,Table1[[#This Row],[alcohol]]&gt;=10),"White wine","Red wine")</f>
        <v>White wine</v>
      </c>
    </row>
    <row r="1135" spans="1:19" x14ac:dyDescent="0.3">
      <c r="A1135" s="13">
        <v>1134</v>
      </c>
      <c r="B1135" s="1">
        <v>7.2</v>
      </c>
      <c r="C1135" s="1">
        <v>0.48</v>
      </c>
      <c r="D1135" s="1">
        <v>7.0000000000000007E-2</v>
      </c>
      <c r="E1135" s="1">
        <v>5.5</v>
      </c>
      <c r="F1135" s="1">
        <v>8.8999999999999996E-2</v>
      </c>
      <c r="G1135" s="1">
        <v>10</v>
      </c>
      <c r="H1135" s="1">
        <v>18</v>
      </c>
      <c r="I1135" s="1">
        <v>0.99683999999999995</v>
      </c>
      <c r="J1135" s="1">
        <v>3.37</v>
      </c>
      <c r="K1135" s="1">
        <v>0.68</v>
      </c>
      <c r="L1135" s="1">
        <v>11.2</v>
      </c>
      <c r="M1135" s="2">
        <v>7</v>
      </c>
      <c r="N1135" s="2" t="str" cm="1">
        <f t="array" ref="N1135">_xlfn.IFS(Table1[[#This Row],[quality]]&lt;=4,"Low",Table1[[#This Row],[quality]]&lt;=6,"Medium",Table1[[#This Row],[quality]]&gt;=7,"High")</f>
        <v>High</v>
      </c>
      <c r="O1135" s="2" t="str">
        <f>IF(AND(Table1[[#This Row],[fixed acidity]]&gt;Sheet1!$C$4,Table1[[#This Row],[pH]]&lt;Sheet1!$K$4),"High","Normal")</f>
        <v>Normal</v>
      </c>
      <c r="P1135" s="1">
        <f>(Table1[[#This Row],[alcohol]]*2)+(Table1[[#This Row],[sulphates]]*1.5)-(Table1[[#This Row],[volatile acidity]]*2)</f>
        <v>22.459999999999997</v>
      </c>
      <c r="Q1135" s="1">
        <f>RANK(Table1[[#This Row],[Quality_score_index]],Table1[Quality_score_index],0)</f>
        <v>377</v>
      </c>
      <c r="R1135" s="1">
        <f>Table1[[#This Row],[total sulfur dioxide]]-Table1[[#This Row],[free sulfur dioxide]]</f>
        <v>8</v>
      </c>
      <c r="S1135" s="1" t="str">
        <f>IF(AND(Table1[[#This Row],[pH]]&gt;=3.2,Table1[[#This Row],[alcohol]]&gt;=10),"White wine","Red wine")</f>
        <v>White wine</v>
      </c>
    </row>
    <row r="1136" spans="1:19" x14ac:dyDescent="0.3">
      <c r="A1136" s="13">
        <v>1135</v>
      </c>
      <c r="B1136" s="1">
        <v>8.5</v>
      </c>
      <c r="C1136" s="1">
        <v>0.28000000000000003</v>
      </c>
      <c r="D1136" s="1">
        <v>0.35</v>
      </c>
      <c r="E1136" s="1">
        <v>1.7</v>
      </c>
      <c r="F1136" s="1">
        <v>6.0999999999999999E-2</v>
      </c>
      <c r="G1136" s="1">
        <v>6</v>
      </c>
      <c r="H1136" s="1">
        <v>15</v>
      </c>
      <c r="I1136" s="1">
        <v>0.99524000000000001</v>
      </c>
      <c r="J1136" s="1">
        <v>3.3</v>
      </c>
      <c r="K1136" s="1">
        <v>0.74</v>
      </c>
      <c r="L1136" s="1">
        <v>11.8</v>
      </c>
      <c r="M1136" s="2">
        <v>7</v>
      </c>
      <c r="N1136" s="2" t="str" cm="1">
        <f t="array" ref="N1136">_xlfn.IFS(Table1[[#This Row],[quality]]&lt;=4,"Low",Table1[[#This Row],[quality]]&lt;=6,"Medium",Table1[[#This Row],[quality]]&gt;=7,"High")</f>
        <v>High</v>
      </c>
      <c r="O1136" s="2" t="str">
        <f>IF(AND(Table1[[#This Row],[fixed acidity]]&gt;Sheet1!$C$4,Table1[[#This Row],[pH]]&lt;Sheet1!$K$4),"High","Normal")</f>
        <v>High</v>
      </c>
      <c r="P1136" s="1">
        <f>(Table1[[#This Row],[alcohol]]*2)+(Table1[[#This Row],[sulphates]]*1.5)-(Table1[[#This Row],[volatile acidity]]*2)</f>
        <v>24.150000000000002</v>
      </c>
      <c r="Q1136" s="1">
        <f>RANK(Table1[[#This Row],[Quality_score_index]],Table1[Quality_score_index],0)</f>
        <v>163</v>
      </c>
      <c r="R1136" s="1">
        <f>Table1[[#This Row],[total sulfur dioxide]]-Table1[[#This Row],[free sulfur dioxide]]</f>
        <v>9</v>
      </c>
      <c r="S1136" s="1" t="str">
        <f>IF(AND(Table1[[#This Row],[pH]]&gt;=3.2,Table1[[#This Row],[alcohol]]&gt;=10),"White wine","Red wine")</f>
        <v>White wine</v>
      </c>
    </row>
    <row r="1137" spans="1:19" x14ac:dyDescent="0.3">
      <c r="A1137" s="13">
        <v>1136</v>
      </c>
      <c r="B1137" s="1">
        <v>8</v>
      </c>
      <c r="C1137" s="1">
        <v>0.25</v>
      </c>
      <c r="D1137" s="1">
        <v>0.43</v>
      </c>
      <c r="E1137" s="1">
        <v>1.7</v>
      </c>
      <c r="F1137" s="1">
        <v>6.7000000000000004E-2</v>
      </c>
      <c r="G1137" s="1">
        <v>22</v>
      </c>
      <c r="H1137" s="1">
        <v>50</v>
      </c>
      <c r="I1137" s="1">
        <v>0.99460000000000004</v>
      </c>
      <c r="J1137" s="1">
        <v>3.38</v>
      </c>
      <c r="K1137" s="1">
        <v>0.6</v>
      </c>
      <c r="L1137" s="1">
        <v>11.9</v>
      </c>
      <c r="M1137" s="2">
        <v>6</v>
      </c>
      <c r="N1137" s="2" t="str" cm="1">
        <f t="array" ref="N1137">_xlfn.IFS(Table1[[#This Row],[quality]]&lt;=4,"Low",Table1[[#This Row],[quality]]&lt;=6,"Medium",Table1[[#This Row],[quality]]&gt;=7,"High")</f>
        <v>Medium</v>
      </c>
      <c r="O1137" s="2" t="str">
        <f>IF(AND(Table1[[#This Row],[fixed acidity]]&gt;Sheet1!$C$4,Table1[[#This Row],[pH]]&lt;Sheet1!$K$4),"High","Normal")</f>
        <v>Normal</v>
      </c>
      <c r="P1137" s="1">
        <f>(Table1[[#This Row],[alcohol]]*2)+(Table1[[#This Row],[sulphates]]*1.5)-(Table1[[#This Row],[volatile acidity]]*2)</f>
        <v>24.2</v>
      </c>
      <c r="Q1137" s="1">
        <f>RANK(Table1[[#This Row],[Quality_score_index]],Table1[Quality_score_index],0)</f>
        <v>157</v>
      </c>
      <c r="R1137" s="1">
        <f>Table1[[#This Row],[total sulfur dioxide]]-Table1[[#This Row],[free sulfur dioxide]]</f>
        <v>28</v>
      </c>
      <c r="S1137" s="1" t="str">
        <f>IF(AND(Table1[[#This Row],[pH]]&gt;=3.2,Table1[[#This Row],[alcohol]]&gt;=10),"White wine","Red wine")</f>
        <v>White wine</v>
      </c>
    </row>
    <row r="1138" spans="1:19" x14ac:dyDescent="0.3">
      <c r="A1138" s="13">
        <v>1137</v>
      </c>
      <c r="B1138" s="1">
        <v>10.4</v>
      </c>
      <c r="C1138" s="1">
        <v>0.52</v>
      </c>
      <c r="D1138" s="1">
        <v>0.45</v>
      </c>
      <c r="E1138" s="1">
        <v>2</v>
      </c>
      <c r="F1138" s="1">
        <v>0.08</v>
      </c>
      <c r="G1138" s="1">
        <v>6</v>
      </c>
      <c r="H1138" s="1">
        <v>13</v>
      </c>
      <c r="I1138" s="1">
        <v>0.99773999999999996</v>
      </c>
      <c r="J1138" s="1">
        <v>3.22</v>
      </c>
      <c r="K1138" s="1">
        <v>0.76</v>
      </c>
      <c r="L1138" s="1">
        <v>11.4</v>
      </c>
      <c r="M1138" s="2">
        <v>6</v>
      </c>
      <c r="N1138" s="2" t="str" cm="1">
        <f t="array" ref="N1138">_xlfn.IFS(Table1[[#This Row],[quality]]&lt;=4,"Low",Table1[[#This Row],[quality]]&lt;=6,"Medium",Table1[[#This Row],[quality]]&gt;=7,"High")</f>
        <v>Medium</v>
      </c>
      <c r="O1138" s="2" t="str">
        <f>IF(AND(Table1[[#This Row],[fixed acidity]]&gt;Sheet1!$C$4,Table1[[#This Row],[pH]]&lt;Sheet1!$K$4),"High","Normal")</f>
        <v>High</v>
      </c>
      <c r="P1138" s="1">
        <f>(Table1[[#This Row],[alcohol]]*2)+(Table1[[#This Row],[sulphates]]*1.5)-(Table1[[#This Row],[volatile acidity]]*2)</f>
        <v>22.900000000000002</v>
      </c>
      <c r="Q1138" s="1">
        <f>RANK(Table1[[#This Row],[Quality_score_index]],Table1[Quality_score_index],0)</f>
        <v>288</v>
      </c>
      <c r="R1138" s="1">
        <f>Table1[[#This Row],[total sulfur dioxide]]-Table1[[#This Row],[free sulfur dioxide]]</f>
        <v>7</v>
      </c>
      <c r="S1138" s="1" t="str">
        <f>IF(AND(Table1[[#This Row],[pH]]&gt;=3.2,Table1[[#This Row],[alcohol]]&gt;=10),"White wine","Red wine")</f>
        <v>White wine</v>
      </c>
    </row>
    <row r="1139" spans="1:19" x14ac:dyDescent="0.3">
      <c r="A1139" s="13">
        <v>1138</v>
      </c>
      <c r="B1139" s="1">
        <v>10.4</v>
      </c>
      <c r="C1139" s="1">
        <v>0.52</v>
      </c>
      <c r="D1139" s="1">
        <v>0.45</v>
      </c>
      <c r="E1139" s="1">
        <v>2</v>
      </c>
      <c r="F1139" s="1">
        <v>0.08</v>
      </c>
      <c r="G1139" s="1">
        <v>6</v>
      </c>
      <c r="H1139" s="1">
        <v>13</v>
      </c>
      <c r="I1139" s="1">
        <v>0.99773999999999996</v>
      </c>
      <c r="J1139" s="1">
        <v>3.22</v>
      </c>
      <c r="K1139" s="1">
        <v>0.76</v>
      </c>
      <c r="L1139" s="1">
        <v>11.4</v>
      </c>
      <c r="M1139" s="2">
        <v>6</v>
      </c>
      <c r="N1139" s="2" t="str" cm="1">
        <f t="array" ref="N1139">_xlfn.IFS(Table1[[#This Row],[quality]]&lt;=4,"Low",Table1[[#This Row],[quality]]&lt;=6,"Medium",Table1[[#This Row],[quality]]&gt;=7,"High")</f>
        <v>Medium</v>
      </c>
      <c r="O1139" s="2" t="str">
        <f>IF(AND(Table1[[#This Row],[fixed acidity]]&gt;Sheet1!$C$4,Table1[[#This Row],[pH]]&lt;Sheet1!$K$4),"High","Normal")</f>
        <v>High</v>
      </c>
      <c r="P1139" s="1">
        <f>(Table1[[#This Row],[alcohol]]*2)+(Table1[[#This Row],[sulphates]]*1.5)-(Table1[[#This Row],[volatile acidity]]*2)</f>
        <v>22.900000000000002</v>
      </c>
      <c r="Q1139" s="1">
        <f>RANK(Table1[[#This Row],[Quality_score_index]],Table1[Quality_score_index],0)</f>
        <v>288</v>
      </c>
      <c r="R1139" s="1">
        <f>Table1[[#This Row],[total sulfur dioxide]]-Table1[[#This Row],[free sulfur dioxide]]</f>
        <v>7</v>
      </c>
      <c r="S1139" s="1" t="str">
        <f>IF(AND(Table1[[#This Row],[pH]]&gt;=3.2,Table1[[#This Row],[alcohol]]&gt;=10),"White wine","Red wine")</f>
        <v>White wine</v>
      </c>
    </row>
    <row r="1140" spans="1:19" x14ac:dyDescent="0.3">
      <c r="A1140" s="13">
        <v>1139</v>
      </c>
      <c r="B1140" s="1">
        <v>7.5</v>
      </c>
      <c r="C1140" s="1">
        <v>0.41</v>
      </c>
      <c r="D1140" s="1">
        <v>0.15</v>
      </c>
      <c r="E1140" s="1">
        <v>3.7</v>
      </c>
      <c r="F1140" s="1">
        <v>0.104</v>
      </c>
      <c r="G1140" s="1">
        <v>29</v>
      </c>
      <c r="H1140" s="1">
        <v>94</v>
      </c>
      <c r="I1140" s="1">
        <v>0.99785999999999997</v>
      </c>
      <c r="J1140" s="1">
        <v>3.14</v>
      </c>
      <c r="K1140" s="1">
        <v>0.57999999999999996</v>
      </c>
      <c r="L1140" s="1">
        <v>9.1</v>
      </c>
      <c r="M1140" s="2">
        <v>5</v>
      </c>
      <c r="N1140" s="2" t="str" cm="1">
        <f t="array" ref="N1140">_xlfn.IFS(Table1[[#This Row],[quality]]&lt;=4,"Low",Table1[[#This Row],[quality]]&lt;=6,"Medium",Table1[[#This Row],[quality]]&gt;=7,"High")</f>
        <v>Medium</v>
      </c>
      <c r="O1140" s="2" t="str">
        <f>IF(AND(Table1[[#This Row],[fixed acidity]]&gt;Sheet1!$C$4,Table1[[#This Row],[pH]]&lt;Sheet1!$K$4),"High","Normal")</f>
        <v>Normal</v>
      </c>
      <c r="P1140" s="1">
        <f>(Table1[[#This Row],[alcohol]]*2)+(Table1[[#This Row],[sulphates]]*1.5)-(Table1[[#This Row],[volatile acidity]]*2)</f>
        <v>18.25</v>
      </c>
      <c r="Q1140" s="1">
        <f>RANK(Table1[[#This Row],[Quality_score_index]],Table1[Quality_score_index],0)</f>
        <v>1468</v>
      </c>
      <c r="R1140" s="1">
        <f>Table1[[#This Row],[total sulfur dioxide]]-Table1[[#This Row],[free sulfur dioxide]]</f>
        <v>65</v>
      </c>
      <c r="S1140" s="1" t="str">
        <f>IF(AND(Table1[[#This Row],[pH]]&gt;=3.2,Table1[[#This Row],[alcohol]]&gt;=10),"White wine","Red wine")</f>
        <v>Red wine</v>
      </c>
    </row>
    <row r="1141" spans="1:19" x14ac:dyDescent="0.3">
      <c r="A1141" s="13">
        <v>1140</v>
      </c>
      <c r="B1141" s="1">
        <v>8.1999999999999993</v>
      </c>
      <c r="C1141" s="1">
        <v>0.51</v>
      </c>
      <c r="D1141" s="1">
        <v>0.24</v>
      </c>
      <c r="E1141" s="1">
        <v>2</v>
      </c>
      <c r="F1141" s="1">
        <v>7.9000000000000001E-2</v>
      </c>
      <c r="G1141" s="1">
        <v>16</v>
      </c>
      <c r="H1141" s="1">
        <v>86</v>
      </c>
      <c r="I1141" s="1">
        <v>0.99763999999999997</v>
      </c>
      <c r="J1141" s="1">
        <v>3.34</v>
      </c>
      <c r="K1141" s="1">
        <v>0.64</v>
      </c>
      <c r="L1141" s="1">
        <v>9.5</v>
      </c>
      <c r="M1141" s="2">
        <v>6</v>
      </c>
      <c r="N1141" s="2" t="str" cm="1">
        <f t="array" ref="N1141">_xlfn.IFS(Table1[[#This Row],[quality]]&lt;=4,"Low",Table1[[#This Row],[quality]]&lt;=6,"Medium",Table1[[#This Row],[quality]]&gt;=7,"High")</f>
        <v>Medium</v>
      </c>
      <c r="O1141" s="2" t="str">
        <f>IF(AND(Table1[[#This Row],[fixed acidity]]&gt;Sheet1!$C$4,Table1[[#This Row],[pH]]&lt;Sheet1!$K$4),"High","Normal")</f>
        <v>Normal</v>
      </c>
      <c r="P1141" s="1">
        <f>(Table1[[#This Row],[alcohol]]*2)+(Table1[[#This Row],[sulphates]]*1.5)-(Table1[[#This Row],[volatile acidity]]*2)</f>
        <v>18.940000000000001</v>
      </c>
      <c r="Q1141" s="1">
        <f>RANK(Table1[[#This Row],[Quality_score_index]],Table1[Quality_score_index],0)</f>
        <v>1184</v>
      </c>
      <c r="R1141" s="1">
        <f>Table1[[#This Row],[total sulfur dioxide]]-Table1[[#This Row],[free sulfur dioxide]]</f>
        <v>70</v>
      </c>
      <c r="S1141" s="1" t="str">
        <f>IF(AND(Table1[[#This Row],[pH]]&gt;=3.2,Table1[[#This Row],[alcohol]]&gt;=10),"White wine","Red wine")</f>
        <v>Red wine</v>
      </c>
    </row>
    <row r="1142" spans="1:19" x14ac:dyDescent="0.3">
      <c r="A1142" s="13">
        <v>1141</v>
      </c>
      <c r="B1142" s="1">
        <v>7.3</v>
      </c>
      <c r="C1142" s="1">
        <v>0.4</v>
      </c>
      <c r="D1142" s="1">
        <v>0.3</v>
      </c>
      <c r="E1142" s="1">
        <v>1.7</v>
      </c>
      <c r="F1142" s="1">
        <v>0.08</v>
      </c>
      <c r="G1142" s="1">
        <v>33</v>
      </c>
      <c r="H1142" s="1">
        <v>79</v>
      </c>
      <c r="I1142" s="1">
        <v>0.99690000000000001</v>
      </c>
      <c r="J1142" s="1">
        <v>3.41</v>
      </c>
      <c r="K1142" s="1">
        <v>0.65</v>
      </c>
      <c r="L1142" s="1">
        <v>9.5</v>
      </c>
      <c r="M1142" s="2">
        <v>6</v>
      </c>
      <c r="N1142" s="2" t="str" cm="1">
        <f t="array" ref="N1142">_xlfn.IFS(Table1[[#This Row],[quality]]&lt;=4,"Low",Table1[[#This Row],[quality]]&lt;=6,"Medium",Table1[[#This Row],[quality]]&gt;=7,"High")</f>
        <v>Medium</v>
      </c>
      <c r="O1142" s="2" t="str">
        <f>IF(AND(Table1[[#This Row],[fixed acidity]]&gt;Sheet1!$C$4,Table1[[#This Row],[pH]]&lt;Sheet1!$K$4),"High","Normal")</f>
        <v>Normal</v>
      </c>
      <c r="P1142" s="1">
        <f>(Table1[[#This Row],[alcohol]]*2)+(Table1[[#This Row],[sulphates]]*1.5)-(Table1[[#This Row],[volatile acidity]]*2)</f>
        <v>19.175000000000001</v>
      </c>
      <c r="Q1142" s="1">
        <f>RANK(Table1[[#This Row],[Quality_score_index]],Table1[Quality_score_index],0)</f>
        <v>1096</v>
      </c>
      <c r="R1142" s="1">
        <f>Table1[[#This Row],[total sulfur dioxide]]-Table1[[#This Row],[free sulfur dioxide]]</f>
        <v>46</v>
      </c>
      <c r="S1142" s="1" t="str">
        <f>IF(AND(Table1[[#This Row],[pH]]&gt;=3.2,Table1[[#This Row],[alcohol]]&gt;=10),"White wine","Red wine")</f>
        <v>Red wine</v>
      </c>
    </row>
    <row r="1143" spans="1:19" x14ac:dyDescent="0.3">
      <c r="A1143" s="13">
        <v>1142</v>
      </c>
      <c r="B1143" s="1">
        <v>8.1999999999999993</v>
      </c>
      <c r="C1143" s="1">
        <v>0.38</v>
      </c>
      <c r="D1143" s="1">
        <v>0.32</v>
      </c>
      <c r="E1143" s="1">
        <v>2.5</v>
      </c>
      <c r="F1143" s="1">
        <v>0.08</v>
      </c>
      <c r="G1143" s="1">
        <v>24</v>
      </c>
      <c r="H1143" s="1">
        <v>71</v>
      </c>
      <c r="I1143" s="1">
        <v>0.99624000000000001</v>
      </c>
      <c r="J1143" s="1">
        <v>3.27</v>
      </c>
      <c r="K1143" s="1">
        <v>0.85</v>
      </c>
      <c r="L1143" s="1">
        <v>11</v>
      </c>
      <c r="M1143" s="2">
        <v>6</v>
      </c>
      <c r="N1143" s="2" t="str" cm="1">
        <f t="array" ref="N1143">_xlfn.IFS(Table1[[#This Row],[quality]]&lt;=4,"Low",Table1[[#This Row],[quality]]&lt;=6,"Medium",Table1[[#This Row],[quality]]&gt;=7,"High")</f>
        <v>Medium</v>
      </c>
      <c r="O1143" s="2" t="str">
        <f>IF(AND(Table1[[#This Row],[fixed acidity]]&gt;Sheet1!$C$4,Table1[[#This Row],[pH]]&lt;Sheet1!$K$4),"High","Normal")</f>
        <v>Normal</v>
      </c>
      <c r="P1143" s="1">
        <f>(Table1[[#This Row],[alcohol]]*2)+(Table1[[#This Row],[sulphates]]*1.5)-(Table1[[#This Row],[volatile acidity]]*2)</f>
        <v>22.514999999999997</v>
      </c>
      <c r="Q1143" s="1">
        <f>RANK(Table1[[#This Row],[Quality_score_index]],Table1[Quality_score_index],0)</f>
        <v>364</v>
      </c>
      <c r="R1143" s="1">
        <f>Table1[[#This Row],[total sulfur dioxide]]-Table1[[#This Row],[free sulfur dioxide]]</f>
        <v>47</v>
      </c>
      <c r="S1143" s="1" t="str">
        <f>IF(AND(Table1[[#This Row],[pH]]&gt;=3.2,Table1[[#This Row],[alcohol]]&gt;=10),"White wine","Red wine")</f>
        <v>White wine</v>
      </c>
    </row>
    <row r="1144" spans="1:19" x14ac:dyDescent="0.3">
      <c r="A1144" s="13">
        <v>1143</v>
      </c>
      <c r="B1144" s="1">
        <v>6.9</v>
      </c>
      <c r="C1144" s="1">
        <v>0.45</v>
      </c>
      <c r="D1144" s="1">
        <v>0.11</v>
      </c>
      <c r="E1144" s="1">
        <v>2.4</v>
      </c>
      <c r="F1144" s="1">
        <v>4.2999999999999997E-2</v>
      </c>
      <c r="G1144" s="1">
        <v>6</v>
      </c>
      <c r="H1144" s="1">
        <v>12</v>
      </c>
      <c r="I1144" s="1">
        <v>0.99353999999999998</v>
      </c>
      <c r="J1144" s="1">
        <v>3.3</v>
      </c>
      <c r="K1144" s="1">
        <v>0.65</v>
      </c>
      <c r="L1144" s="1">
        <v>11.4</v>
      </c>
      <c r="M1144" s="2">
        <v>6</v>
      </c>
      <c r="N1144" s="2" t="str" cm="1">
        <f t="array" ref="N1144">_xlfn.IFS(Table1[[#This Row],[quality]]&lt;=4,"Low",Table1[[#This Row],[quality]]&lt;=6,"Medium",Table1[[#This Row],[quality]]&gt;=7,"High")</f>
        <v>Medium</v>
      </c>
      <c r="O1144" s="2" t="str">
        <f>IF(AND(Table1[[#This Row],[fixed acidity]]&gt;Sheet1!$C$4,Table1[[#This Row],[pH]]&lt;Sheet1!$K$4),"High","Normal")</f>
        <v>Normal</v>
      </c>
      <c r="P1144" s="1">
        <f>(Table1[[#This Row],[alcohol]]*2)+(Table1[[#This Row],[sulphates]]*1.5)-(Table1[[#This Row],[volatile acidity]]*2)</f>
        <v>22.875000000000004</v>
      </c>
      <c r="Q1144" s="1">
        <f>RANK(Table1[[#This Row],[Quality_score_index]],Table1[Quality_score_index],0)</f>
        <v>294</v>
      </c>
      <c r="R1144" s="1">
        <f>Table1[[#This Row],[total sulfur dioxide]]-Table1[[#This Row],[free sulfur dioxide]]</f>
        <v>6</v>
      </c>
      <c r="S1144" s="1" t="str">
        <f>IF(AND(Table1[[#This Row],[pH]]&gt;=3.2,Table1[[#This Row],[alcohol]]&gt;=10),"White wine","Red wine")</f>
        <v>White wine</v>
      </c>
    </row>
    <row r="1145" spans="1:19" x14ac:dyDescent="0.3">
      <c r="A1145" s="13">
        <v>1144</v>
      </c>
      <c r="B1145" s="1">
        <v>7</v>
      </c>
      <c r="C1145" s="1">
        <v>0.22</v>
      </c>
      <c r="D1145" s="1">
        <v>0.3</v>
      </c>
      <c r="E1145" s="1">
        <v>1.8</v>
      </c>
      <c r="F1145" s="1">
        <v>6.5000000000000002E-2</v>
      </c>
      <c r="G1145" s="1">
        <v>16</v>
      </c>
      <c r="H1145" s="1">
        <v>20</v>
      </c>
      <c r="I1145" s="1">
        <v>0.99672000000000005</v>
      </c>
      <c r="J1145" s="1">
        <v>3.61</v>
      </c>
      <c r="K1145" s="1">
        <v>0.82</v>
      </c>
      <c r="L1145" s="1">
        <v>10</v>
      </c>
      <c r="M1145" s="2">
        <v>6</v>
      </c>
      <c r="N1145" s="2" t="str" cm="1">
        <f t="array" ref="N1145">_xlfn.IFS(Table1[[#This Row],[quality]]&lt;=4,"Low",Table1[[#This Row],[quality]]&lt;=6,"Medium",Table1[[#This Row],[quality]]&gt;=7,"High")</f>
        <v>Medium</v>
      </c>
      <c r="O1145" s="2" t="str">
        <f>IF(AND(Table1[[#This Row],[fixed acidity]]&gt;Sheet1!$C$4,Table1[[#This Row],[pH]]&lt;Sheet1!$K$4),"High","Normal")</f>
        <v>Normal</v>
      </c>
      <c r="P1145" s="1">
        <f>(Table1[[#This Row],[alcohol]]*2)+(Table1[[#This Row],[sulphates]]*1.5)-(Table1[[#This Row],[volatile acidity]]*2)</f>
        <v>20.79</v>
      </c>
      <c r="Q1145" s="1">
        <f>RANK(Table1[[#This Row],[Quality_score_index]],Table1[Quality_score_index],0)</f>
        <v>697</v>
      </c>
      <c r="R1145" s="1">
        <f>Table1[[#This Row],[total sulfur dioxide]]-Table1[[#This Row],[free sulfur dioxide]]</f>
        <v>4</v>
      </c>
      <c r="S1145" s="1" t="str">
        <f>IF(AND(Table1[[#This Row],[pH]]&gt;=3.2,Table1[[#This Row],[alcohol]]&gt;=10),"White wine","Red wine")</f>
        <v>White wine</v>
      </c>
    </row>
    <row r="1146" spans="1:19" x14ac:dyDescent="0.3">
      <c r="A1146" s="13">
        <v>1145</v>
      </c>
      <c r="B1146" s="1">
        <v>7.3</v>
      </c>
      <c r="C1146" s="1">
        <v>0.32</v>
      </c>
      <c r="D1146" s="1">
        <v>0.23</v>
      </c>
      <c r="E1146" s="1">
        <v>2.2999999999999998</v>
      </c>
      <c r="F1146" s="1">
        <v>6.6000000000000003E-2</v>
      </c>
      <c r="G1146" s="1">
        <v>35</v>
      </c>
      <c r="H1146" s="1">
        <v>70</v>
      </c>
      <c r="I1146" s="1">
        <v>0.99587999999999999</v>
      </c>
      <c r="J1146" s="1">
        <v>3.43</v>
      </c>
      <c r="K1146" s="1">
        <v>0.62</v>
      </c>
      <c r="L1146" s="1">
        <v>10.1</v>
      </c>
      <c r="M1146" s="2">
        <v>5</v>
      </c>
      <c r="N1146" s="2" t="str" cm="1">
        <f t="array" ref="N1146">_xlfn.IFS(Table1[[#This Row],[quality]]&lt;=4,"Low",Table1[[#This Row],[quality]]&lt;=6,"Medium",Table1[[#This Row],[quality]]&gt;=7,"High")</f>
        <v>Medium</v>
      </c>
      <c r="O1146" s="2" t="str">
        <f>IF(AND(Table1[[#This Row],[fixed acidity]]&gt;Sheet1!$C$4,Table1[[#This Row],[pH]]&lt;Sheet1!$K$4),"High","Normal")</f>
        <v>Normal</v>
      </c>
      <c r="P1146" s="1">
        <f>(Table1[[#This Row],[alcohol]]*2)+(Table1[[#This Row],[sulphates]]*1.5)-(Table1[[#This Row],[volatile acidity]]*2)</f>
        <v>20.49</v>
      </c>
      <c r="Q1146" s="1">
        <f>RANK(Table1[[#This Row],[Quality_score_index]],Table1[Quality_score_index],0)</f>
        <v>755</v>
      </c>
      <c r="R1146" s="1">
        <f>Table1[[#This Row],[total sulfur dioxide]]-Table1[[#This Row],[free sulfur dioxide]]</f>
        <v>35</v>
      </c>
      <c r="S1146" s="1" t="str">
        <f>IF(AND(Table1[[#This Row],[pH]]&gt;=3.2,Table1[[#This Row],[alcohol]]&gt;=10),"White wine","Red wine")</f>
        <v>White wine</v>
      </c>
    </row>
    <row r="1147" spans="1:19" x14ac:dyDescent="0.3">
      <c r="A1147" s="13">
        <v>1146</v>
      </c>
      <c r="B1147" s="1">
        <v>8.1999999999999993</v>
      </c>
      <c r="C1147" s="1">
        <v>0.2</v>
      </c>
      <c r="D1147" s="1">
        <v>0.43</v>
      </c>
      <c r="E1147" s="1">
        <v>2.5</v>
      </c>
      <c r="F1147" s="1">
        <v>7.5999999999999998E-2</v>
      </c>
      <c r="G1147" s="1">
        <v>31</v>
      </c>
      <c r="H1147" s="1">
        <v>51</v>
      </c>
      <c r="I1147" s="1">
        <v>0.99672000000000005</v>
      </c>
      <c r="J1147" s="1">
        <v>3.53</v>
      </c>
      <c r="K1147" s="1">
        <v>0.81</v>
      </c>
      <c r="L1147" s="1">
        <v>10.4</v>
      </c>
      <c r="M1147" s="2">
        <v>6</v>
      </c>
      <c r="N1147" s="2" t="str" cm="1">
        <f t="array" ref="N1147">_xlfn.IFS(Table1[[#This Row],[quality]]&lt;=4,"Low",Table1[[#This Row],[quality]]&lt;=6,"Medium",Table1[[#This Row],[quality]]&gt;=7,"High")</f>
        <v>Medium</v>
      </c>
      <c r="O1147" s="2" t="str">
        <f>IF(AND(Table1[[#This Row],[fixed acidity]]&gt;Sheet1!$C$4,Table1[[#This Row],[pH]]&lt;Sheet1!$K$4),"High","Normal")</f>
        <v>Normal</v>
      </c>
      <c r="P1147" s="1">
        <f>(Table1[[#This Row],[alcohol]]*2)+(Table1[[#This Row],[sulphates]]*1.5)-(Table1[[#This Row],[volatile acidity]]*2)</f>
        <v>21.615000000000002</v>
      </c>
      <c r="Q1147" s="1">
        <f>RANK(Table1[[#This Row],[Quality_score_index]],Table1[Quality_score_index],0)</f>
        <v>522</v>
      </c>
      <c r="R1147" s="1">
        <f>Table1[[#This Row],[total sulfur dioxide]]-Table1[[#This Row],[free sulfur dioxide]]</f>
        <v>20</v>
      </c>
      <c r="S1147" s="1" t="str">
        <f>IF(AND(Table1[[#This Row],[pH]]&gt;=3.2,Table1[[#This Row],[alcohol]]&gt;=10),"White wine","Red wine")</f>
        <v>White wine</v>
      </c>
    </row>
    <row r="1148" spans="1:19" x14ac:dyDescent="0.3">
      <c r="A1148" s="13">
        <v>1147</v>
      </c>
      <c r="B1148" s="1">
        <v>7.8</v>
      </c>
      <c r="C1148" s="1">
        <v>0.5</v>
      </c>
      <c r="D1148" s="1">
        <v>0.12</v>
      </c>
      <c r="E1148" s="1">
        <v>1.8</v>
      </c>
      <c r="F1148" s="1">
        <v>0.17799999999999999</v>
      </c>
      <c r="G1148" s="1">
        <v>6</v>
      </c>
      <c r="H1148" s="1">
        <v>21</v>
      </c>
      <c r="I1148" s="1">
        <v>0.996</v>
      </c>
      <c r="J1148" s="1">
        <v>3.28</v>
      </c>
      <c r="K1148" s="1">
        <v>0.87</v>
      </c>
      <c r="L1148" s="1">
        <v>9.8000000000000007</v>
      </c>
      <c r="M1148" s="2">
        <v>6</v>
      </c>
      <c r="N1148" s="2" t="str" cm="1">
        <f t="array" ref="N1148">_xlfn.IFS(Table1[[#This Row],[quality]]&lt;=4,"Low",Table1[[#This Row],[quality]]&lt;=6,"Medium",Table1[[#This Row],[quality]]&gt;=7,"High")</f>
        <v>Medium</v>
      </c>
      <c r="O1148" s="2" t="str">
        <f>IF(AND(Table1[[#This Row],[fixed acidity]]&gt;Sheet1!$C$4,Table1[[#This Row],[pH]]&lt;Sheet1!$K$4),"High","Normal")</f>
        <v>Normal</v>
      </c>
      <c r="P1148" s="1">
        <f>(Table1[[#This Row],[alcohol]]*2)+(Table1[[#This Row],[sulphates]]*1.5)-(Table1[[#This Row],[volatile acidity]]*2)</f>
        <v>19.905000000000001</v>
      </c>
      <c r="Q1148" s="1">
        <f>RANK(Table1[[#This Row],[Quality_score_index]],Table1[Quality_score_index],0)</f>
        <v>878</v>
      </c>
      <c r="R1148" s="1">
        <f>Table1[[#This Row],[total sulfur dioxide]]-Table1[[#This Row],[free sulfur dioxide]]</f>
        <v>15</v>
      </c>
      <c r="S1148" s="1" t="str">
        <f>IF(AND(Table1[[#This Row],[pH]]&gt;=3.2,Table1[[#This Row],[alcohol]]&gt;=10),"White wine","Red wine")</f>
        <v>Red wine</v>
      </c>
    </row>
    <row r="1149" spans="1:19" x14ac:dyDescent="0.3">
      <c r="A1149" s="13">
        <v>1148</v>
      </c>
      <c r="B1149" s="1">
        <v>10</v>
      </c>
      <c r="C1149" s="1">
        <v>0.41</v>
      </c>
      <c r="D1149" s="1">
        <v>0.45</v>
      </c>
      <c r="E1149" s="1">
        <v>6.2</v>
      </c>
      <c r="F1149" s="1">
        <v>7.0999999999999994E-2</v>
      </c>
      <c r="G1149" s="1">
        <v>6</v>
      </c>
      <c r="H1149" s="1">
        <v>14</v>
      </c>
      <c r="I1149" s="1">
        <v>0.99702000000000002</v>
      </c>
      <c r="J1149" s="1">
        <v>3.21</v>
      </c>
      <c r="K1149" s="1">
        <v>0.49</v>
      </c>
      <c r="L1149" s="1">
        <v>11.8</v>
      </c>
      <c r="M1149" s="2">
        <v>7</v>
      </c>
      <c r="N1149" s="2" t="str" cm="1">
        <f t="array" ref="N1149">_xlfn.IFS(Table1[[#This Row],[quality]]&lt;=4,"Low",Table1[[#This Row],[quality]]&lt;=6,"Medium",Table1[[#This Row],[quality]]&gt;=7,"High")</f>
        <v>High</v>
      </c>
      <c r="O1149" s="2" t="str">
        <f>IF(AND(Table1[[#This Row],[fixed acidity]]&gt;Sheet1!$C$4,Table1[[#This Row],[pH]]&lt;Sheet1!$K$4),"High","Normal")</f>
        <v>High</v>
      </c>
      <c r="P1149" s="1">
        <f>(Table1[[#This Row],[alcohol]]*2)+(Table1[[#This Row],[sulphates]]*1.5)-(Table1[[#This Row],[volatile acidity]]*2)</f>
        <v>23.515000000000001</v>
      </c>
      <c r="Q1149" s="1">
        <f>RANK(Table1[[#This Row],[Quality_score_index]],Table1[Quality_score_index],0)</f>
        <v>218</v>
      </c>
      <c r="R1149" s="1">
        <f>Table1[[#This Row],[total sulfur dioxide]]-Table1[[#This Row],[free sulfur dioxide]]</f>
        <v>8</v>
      </c>
      <c r="S1149" s="1" t="str">
        <f>IF(AND(Table1[[#This Row],[pH]]&gt;=3.2,Table1[[#This Row],[alcohol]]&gt;=10),"White wine","Red wine")</f>
        <v>White wine</v>
      </c>
    </row>
    <row r="1150" spans="1:19" x14ac:dyDescent="0.3">
      <c r="A1150" s="13">
        <v>1149</v>
      </c>
      <c r="B1150" s="1">
        <v>7.8</v>
      </c>
      <c r="C1150" s="1">
        <v>0.39</v>
      </c>
      <c r="D1150" s="1">
        <v>0.42</v>
      </c>
      <c r="E1150" s="1">
        <v>2</v>
      </c>
      <c r="F1150" s="1">
        <v>8.5999999999999993E-2</v>
      </c>
      <c r="G1150" s="1">
        <v>9</v>
      </c>
      <c r="H1150" s="1">
        <v>21</v>
      </c>
      <c r="I1150" s="1">
        <v>0.99526000000000003</v>
      </c>
      <c r="J1150" s="1">
        <v>3.39</v>
      </c>
      <c r="K1150" s="1">
        <v>0.66</v>
      </c>
      <c r="L1150" s="1">
        <v>11.6</v>
      </c>
      <c r="M1150" s="2">
        <v>6</v>
      </c>
      <c r="N1150" s="2" t="str" cm="1">
        <f t="array" ref="N1150">_xlfn.IFS(Table1[[#This Row],[quality]]&lt;=4,"Low",Table1[[#This Row],[quality]]&lt;=6,"Medium",Table1[[#This Row],[quality]]&gt;=7,"High")</f>
        <v>Medium</v>
      </c>
      <c r="O1150" s="2" t="str">
        <f>IF(AND(Table1[[#This Row],[fixed acidity]]&gt;Sheet1!$C$4,Table1[[#This Row],[pH]]&lt;Sheet1!$K$4),"High","Normal")</f>
        <v>Normal</v>
      </c>
      <c r="P1150" s="1">
        <f>(Table1[[#This Row],[alcohol]]*2)+(Table1[[#This Row],[sulphates]]*1.5)-(Table1[[#This Row],[volatile acidity]]*2)</f>
        <v>23.409999999999997</v>
      </c>
      <c r="Q1150" s="1">
        <f>RANK(Table1[[#This Row],[Quality_score_index]],Table1[Quality_score_index],0)</f>
        <v>228</v>
      </c>
      <c r="R1150" s="1">
        <f>Table1[[#This Row],[total sulfur dioxide]]-Table1[[#This Row],[free sulfur dioxide]]</f>
        <v>12</v>
      </c>
      <c r="S1150" s="1" t="str">
        <f>IF(AND(Table1[[#This Row],[pH]]&gt;=3.2,Table1[[#This Row],[alcohol]]&gt;=10),"White wine","Red wine")</f>
        <v>White wine</v>
      </c>
    </row>
    <row r="1151" spans="1:19" x14ac:dyDescent="0.3">
      <c r="A1151" s="13">
        <v>1150</v>
      </c>
      <c r="B1151" s="1">
        <v>10</v>
      </c>
      <c r="C1151" s="1">
        <v>0.35</v>
      </c>
      <c r="D1151" s="1">
        <v>0.47</v>
      </c>
      <c r="E1151" s="1">
        <v>2</v>
      </c>
      <c r="F1151" s="1">
        <v>6.0999999999999999E-2</v>
      </c>
      <c r="G1151" s="1">
        <v>6</v>
      </c>
      <c r="H1151" s="1">
        <v>11</v>
      </c>
      <c r="I1151" s="1">
        <v>0.99585000000000001</v>
      </c>
      <c r="J1151" s="1">
        <v>3.23</v>
      </c>
      <c r="K1151" s="1">
        <v>0.52</v>
      </c>
      <c r="L1151" s="1">
        <v>12</v>
      </c>
      <c r="M1151" s="2">
        <v>6</v>
      </c>
      <c r="N1151" s="2" t="str" cm="1">
        <f t="array" ref="N1151">_xlfn.IFS(Table1[[#This Row],[quality]]&lt;=4,"Low",Table1[[#This Row],[quality]]&lt;=6,"Medium",Table1[[#This Row],[quality]]&gt;=7,"High")</f>
        <v>Medium</v>
      </c>
      <c r="O1151" s="2" t="str">
        <f>IF(AND(Table1[[#This Row],[fixed acidity]]&gt;Sheet1!$C$4,Table1[[#This Row],[pH]]&lt;Sheet1!$K$4),"High","Normal")</f>
        <v>High</v>
      </c>
      <c r="P1151" s="1">
        <f>(Table1[[#This Row],[alcohol]]*2)+(Table1[[#This Row],[sulphates]]*1.5)-(Table1[[#This Row],[volatile acidity]]*2)</f>
        <v>24.080000000000002</v>
      </c>
      <c r="Q1151" s="1">
        <f>RANK(Table1[[#This Row],[Quality_score_index]],Table1[Quality_score_index],0)</f>
        <v>167</v>
      </c>
      <c r="R1151" s="1">
        <f>Table1[[#This Row],[total sulfur dioxide]]-Table1[[#This Row],[free sulfur dioxide]]</f>
        <v>5</v>
      </c>
      <c r="S1151" s="1" t="str">
        <f>IF(AND(Table1[[#This Row],[pH]]&gt;=3.2,Table1[[#This Row],[alcohol]]&gt;=10),"White wine","Red wine")</f>
        <v>White wine</v>
      </c>
    </row>
    <row r="1152" spans="1:19" x14ac:dyDescent="0.3">
      <c r="A1152" s="13">
        <v>1151</v>
      </c>
      <c r="B1152" s="1">
        <v>8.1999999999999993</v>
      </c>
      <c r="C1152" s="1">
        <v>0.33</v>
      </c>
      <c r="D1152" s="1">
        <v>0.32</v>
      </c>
      <c r="E1152" s="1">
        <v>2.8</v>
      </c>
      <c r="F1152" s="1">
        <v>6.7000000000000004E-2</v>
      </c>
      <c r="G1152" s="1">
        <v>4</v>
      </c>
      <c r="H1152" s="1">
        <v>12</v>
      </c>
      <c r="I1152" s="1">
        <v>0.99473</v>
      </c>
      <c r="J1152" s="1">
        <v>3.3</v>
      </c>
      <c r="K1152" s="1">
        <v>0.76</v>
      </c>
      <c r="L1152" s="1">
        <v>12.8</v>
      </c>
      <c r="M1152" s="2">
        <v>7</v>
      </c>
      <c r="N1152" s="2" t="str" cm="1">
        <f t="array" ref="N1152">_xlfn.IFS(Table1[[#This Row],[quality]]&lt;=4,"Low",Table1[[#This Row],[quality]]&lt;=6,"Medium",Table1[[#This Row],[quality]]&gt;=7,"High")</f>
        <v>High</v>
      </c>
      <c r="O1152" s="2" t="str">
        <f>IF(AND(Table1[[#This Row],[fixed acidity]]&gt;Sheet1!$C$4,Table1[[#This Row],[pH]]&lt;Sheet1!$K$4),"High","Normal")</f>
        <v>Normal</v>
      </c>
      <c r="P1152" s="1">
        <f>(Table1[[#This Row],[alcohol]]*2)+(Table1[[#This Row],[sulphates]]*1.5)-(Table1[[#This Row],[volatile acidity]]*2)</f>
        <v>26.080000000000002</v>
      </c>
      <c r="Q1152" s="1">
        <f>RANK(Table1[[#This Row],[Quality_score_index]],Table1[Quality_score_index],0)</f>
        <v>30</v>
      </c>
      <c r="R1152" s="1">
        <f>Table1[[#This Row],[total sulfur dioxide]]-Table1[[#This Row],[free sulfur dioxide]]</f>
        <v>8</v>
      </c>
      <c r="S1152" s="1" t="str">
        <f>IF(AND(Table1[[#This Row],[pH]]&gt;=3.2,Table1[[#This Row],[alcohol]]&gt;=10),"White wine","Red wine")</f>
        <v>White wine</v>
      </c>
    </row>
    <row r="1153" spans="1:19" x14ac:dyDescent="0.3">
      <c r="A1153" s="13">
        <v>1152</v>
      </c>
      <c r="B1153" s="1">
        <v>6.1</v>
      </c>
      <c r="C1153" s="1">
        <v>0.57999999999999996</v>
      </c>
      <c r="D1153" s="1">
        <v>0.23</v>
      </c>
      <c r="E1153" s="1">
        <v>2.5</v>
      </c>
      <c r="F1153" s="1">
        <v>4.3999999999999997E-2</v>
      </c>
      <c r="G1153" s="1">
        <v>16</v>
      </c>
      <c r="H1153" s="1">
        <v>70</v>
      </c>
      <c r="I1153" s="1">
        <v>0.99351999999999996</v>
      </c>
      <c r="J1153" s="1">
        <v>3.46</v>
      </c>
      <c r="K1153" s="1">
        <v>0.65</v>
      </c>
      <c r="L1153" s="1">
        <v>12.5</v>
      </c>
      <c r="M1153" s="2">
        <v>6</v>
      </c>
      <c r="N1153" s="2" t="str" cm="1">
        <f t="array" ref="N1153">_xlfn.IFS(Table1[[#This Row],[quality]]&lt;=4,"Low",Table1[[#This Row],[quality]]&lt;=6,"Medium",Table1[[#This Row],[quality]]&gt;=7,"High")</f>
        <v>Medium</v>
      </c>
      <c r="O1153" s="2" t="str">
        <f>IF(AND(Table1[[#This Row],[fixed acidity]]&gt;Sheet1!$C$4,Table1[[#This Row],[pH]]&lt;Sheet1!$K$4),"High","Normal")</f>
        <v>Normal</v>
      </c>
      <c r="P1153" s="1">
        <f>(Table1[[#This Row],[alcohol]]*2)+(Table1[[#This Row],[sulphates]]*1.5)-(Table1[[#This Row],[volatile acidity]]*2)</f>
        <v>24.815000000000001</v>
      </c>
      <c r="Q1153" s="1">
        <f>RANK(Table1[[#This Row],[Quality_score_index]],Table1[Quality_score_index],0)</f>
        <v>102</v>
      </c>
      <c r="R1153" s="1">
        <f>Table1[[#This Row],[total sulfur dioxide]]-Table1[[#This Row],[free sulfur dioxide]]</f>
        <v>54</v>
      </c>
      <c r="S1153" s="1" t="str">
        <f>IF(AND(Table1[[#This Row],[pH]]&gt;=3.2,Table1[[#This Row],[alcohol]]&gt;=10),"White wine","Red wine")</f>
        <v>White wine</v>
      </c>
    </row>
    <row r="1154" spans="1:19" x14ac:dyDescent="0.3">
      <c r="A1154" s="13">
        <v>1153</v>
      </c>
      <c r="B1154" s="1">
        <v>8.3000000000000007</v>
      </c>
      <c r="C1154" s="1">
        <v>0.6</v>
      </c>
      <c r="D1154" s="1">
        <v>0.25</v>
      </c>
      <c r="E1154" s="1">
        <v>2.2000000000000002</v>
      </c>
      <c r="F1154" s="1">
        <v>0.11799999999999999</v>
      </c>
      <c r="G1154" s="1">
        <v>9</v>
      </c>
      <c r="H1154" s="1">
        <v>38</v>
      </c>
      <c r="I1154" s="1">
        <v>0.99616000000000005</v>
      </c>
      <c r="J1154" s="1">
        <v>3.15</v>
      </c>
      <c r="K1154" s="1">
        <v>0.53</v>
      </c>
      <c r="L1154" s="1">
        <v>9.8000000000000007</v>
      </c>
      <c r="M1154" s="2">
        <v>5</v>
      </c>
      <c r="N1154" s="2" t="str" cm="1">
        <f t="array" ref="N1154">_xlfn.IFS(Table1[[#This Row],[quality]]&lt;=4,"Low",Table1[[#This Row],[quality]]&lt;=6,"Medium",Table1[[#This Row],[quality]]&gt;=7,"High")</f>
        <v>Medium</v>
      </c>
      <c r="O1154" s="2" t="str">
        <f>IF(AND(Table1[[#This Row],[fixed acidity]]&gt;Sheet1!$C$4,Table1[[#This Row],[pH]]&lt;Sheet1!$K$4),"High","Normal")</f>
        <v>Normal</v>
      </c>
      <c r="P1154" s="1">
        <f>(Table1[[#This Row],[alcohol]]*2)+(Table1[[#This Row],[sulphates]]*1.5)-(Table1[[#This Row],[volatile acidity]]*2)</f>
        <v>19.195000000000004</v>
      </c>
      <c r="Q1154" s="1">
        <f>RANK(Table1[[#This Row],[Quality_score_index]],Table1[Quality_score_index],0)</f>
        <v>1083</v>
      </c>
      <c r="R1154" s="1">
        <f>Table1[[#This Row],[total sulfur dioxide]]-Table1[[#This Row],[free sulfur dioxide]]</f>
        <v>29</v>
      </c>
      <c r="S1154" s="1" t="str">
        <f>IF(AND(Table1[[#This Row],[pH]]&gt;=3.2,Table1[[#This Row],[alcohol]]&gt;=10),"White wine","Red wine")</f>
        <v>Red wine</v>
      </c>
    </row>
    <row r="1155" spans="1:19" x14ac:dyDescent="0.3">
      <c r="A1155" s="13">
        <v>1154</v>
      </c>
      <c r="B1155" s="1">
        <v>9.6</v>
      </c>
      <c r="C1155" s="1">
        <v>0.42</v>
      </c>
      <c r="D1155" s="1">
        <v>0.35</v>
      </c>
      <c r="E1155" s="1">
        <v>2.1</v>
      </c>
      <c r="F1155" s="1">
        <v>8.3000000000000004E-2</v>
      </c>
      <c r="G1155" s="1">
        <v>17</v>
      </c>
      <c r="H1155" s="1">
        <v>38</v>
      </c>
      <c r="I1155" s="1">
        <v>0.99621999999999999</v>
      </c>
      <c r="J1155" s="1">
        <v>3.23</v>
      </c>
      <c r="K1155" s="1">
        <v>0.66</v>
      </c>
      <c r="L1155" s="1">
        <v>11.1</v>
      </c>
      <c r="M1155" s="2">
        <v>6</v>
      </c>
      <c r="N1155" s="2" t="str" cm="1">
        <f t="array" ref="N1155">_xlfn.IFS(Table1[[#This Row],[quality]]&lt;=4,"Low",Table1[[#This Row],[quality]]&lt;=6,"Medium",Table1[[#This Row],[quality]]&gt;=7,"High")</f>
        <v>Medium</v>
      </c>
      <c r="O1155" s="2" t="str">
        <f>IF(AND(Table1[[#This Row],[fixed acidity]]&gt;Sheet1!$C$4,Table1[[#This Row],[pH]]&lt;Sheet1!$K$4),"High","Normal")</f>
        <v>High</v>
      </c>
      <c r="P1155" s="1">
        <f>(Table1[[#This Row],[alcohol]]*2)+(Table1[[#This Row],[sulphates]]*1.5)-(Table1[[#This Row],[volatile acidity]]*2)</f>
        <v>22.349999999999998</v>
      </c>
      <c r="Q1155" s="1">
        <f>RANK(Table1[[#This Row],[Quality_score_index]],Table1[Quality_score_index],0)</f>
        <v>400</v>
      </c>
      <c r="R1155" s="1">
        <f>Table1[[#This Row],[total sulfur dioxide]]-Table1[[#This Row],[free sulfur dioxide]]</f>
        <v>21</v>
      </c>
      <c r="S1155" s="1" t="str">
        <f>IF(AND(Table1[[#This Row],[pH]]&gt;=3.2,Table1[[#This Row],[alcohol]]&gt;=10),"White wine","Red wine")</f>
        <v>White wine</v>
      </c>
    </row>
    <row r="1156" spans="1:19" x14ac:dyDescent="0.3">
      <c r="A1156" s="13">
        <v>1155</v>
      </c>
      <c r="B1156" s="1">
        <v>6.6</v>
      </c>
      <c r="C1156" s="1">
        <v>0.57999999999999996</v>
      </c>
      <c r="D1156" s="1">
        <v>0</v>
      </c>
      <c r="E1156" s="1">
        <v>2.2000000000000002</v>
      </c>
      <c r="F1156" s="1">
        <v>0.1</v>
      </c>
      <c r="G1156" s="1">
        <v>50</v>
      </c>
      <c r="H1156" s="1">
        <v>63</v>
      </c>
      <c r="I1156" s="1">
        <v>0.99543999999999999</v>
      </c>
      <c r="J1156" s="1">
        <v>3.59</v>
      </c>
      <c r="K1156" s="1">
        <v>0.68</v>
      </c>
      <c r="L1156" s="1">
        <v>11.4</v>
      </c>
      <c r="M1156" s="2">
        <v>6</v>
      </c>
      <c r="N1156" s="2" t="str" cm="1">
        <f t="array" ref="N1156">_xlfn.IFS(Table1[[#This Row],[quality]]&lt;=4,"Low",Table1[[#This Row],[quality]]&lt;=6,"Medium",Table1[[#This Row],[quality]]&gt;=7,"High")</f>
        <v>Medium</v>
      </c>
      <c r="O1156" s="2" t="str">
        <f>IF(AND(Table1[[#This Row],[fixed acidity]]&gt;Sheet1!$C$4,Table1[[#This Row],[pH]]&lt;Sheet1!$K$4),"High","Normal")</f>
        <v>Normal</v>
      </c>
      <c r="P1156" s="1">
        <f>(Table1[[#This Row],[alcohol]]*2)+(Table1[[#This Row],[sulphates]]*1.5)-(Table1[[#This Row],[volatile acidity]]*2)</f>
        <v>22.66</v>
      </c>
      <c r="Q1156" s="1">
        <f>RANK(Table1[[#This Row],[Quality_score_index]],Table1[Quality_score_index],0)</f>
        <v>332</v>
      </c>
      <c r="R1156" s="1">
        <f>Table1[[#This Row],[total sulfur dioxide]]-Table1[[#This Row],[free sulfur dioxide]]</f>
        <v>13</v>
      </c>
      <c r="S1156" s="1" t="str">
        <f>IF(AND(Table1[[#This Row],[pH]]&gt;=3.2,Table1[[#This Row],[alcohol]]&gt;=10),"White wine","Red wine")</f>
        <v>White wine</v>
      </c>
    </row>
    <row r="1157" spans="1:19" x14ac:dyDescent="0.3">
      <c r="A1157" s="13">
        <v>1156</v>
      </c>
      <c r="B1157" s="1">
        <v>8.3000000000000007</v>
      </c>
      <c r="C1157" s="1">
        <v>0.6</v>
      </c>
      <c r="D1157" s="1">
        <v>0.25</v>
      </c>
      <c r="E1157" s="1">
        <v>2.2000000000000002</v>
      </c>
      <c r="F1157" s="1">
        <v>0.11799999999999999</v>
      </c>
      <c r="G1157" s="1">
        <v>9</v>
      </c>
      <c r="H1157" s="1">
        <v>38</v>
      </c>
      <c r="I1157" s="1">
        <v>0.99616000000000005</v>
      </c>
      <c r="J1157" s="1">
        <v>3.15</v>
      </c>
      <c r="K1157" s="1">
        <v>0.53</v>
      </c>
      <c r="L1157" s="1">
        <v>9.8000000000000007</v>
      </c>
      <c r="M1157" s="2">
        <v>5</v>
      </c>
      <c r="N1157" s="2" t="str" cm="1">
        <f t="array" ref="N1157">_xlfn.IFS(Table1[[#This Row],[quality]]&lt;=4,"Low",Table1[[#This Row],[quality]]&lt;=6,"Medium",Table1[[#This Row],[quality]]&gt;=7,"High")</f>
        <v>Medium</v>
      </c>
      <c r="O1157" s="2" t="str">
        <f>IF(AND(Table1[[#This Row],[fixed acidity]]&gt;Sheet1!$C$4,Table1[[#This Row],[pH]]&lt;Sheet1!$K$4),"High","Normal")</f>
        <v>Normal</v>
      </c>
      <c r="P1157" s="1">
        <f>(Table1[[#This Row],[alcohol]]*2)+(Table1[[#This Row],[sulphates]]*1.5)-(Table1[[#This Row],[volatile acidity]]*2)</f>
        <v>19.195000000000004</v>
      </c>
      <c r="Q1157" s="1">
        <f>RANK(Table1[[#This Row],[Quality_score_index]],Table1[Quality_score_index],0)</f>
        <v>1083</v>
      </c>
      <c r="R1157" s="1">
        <f>Table1[[#This Row],[total sulfur dioxide]]-Table1[[#This Row],[free sulfur dioxide]]</f>
        <v>29</v>
      </c>
      <c r="S1157" s="1" t="str">
        <f>IF(AND(Table1[[#This Row],[pH]]&gt;=3.2,Table1[[#This Row],[alcohol]]&gt;=10),"White wine","Red wine")</f>
        <v>Red wine</v>
      </c>
    </row>
    <row r="1158" spans="1:19" x14ac:dyDescent="0.3">
      <c r="A1158" s="13">
        <v>1157</v>
      </c>
      <c r="B1158" s="1">
        <v>8.5</v>
      </c>
      <c r="C1158" s="1">
        <v>0.18</v>
      </c>
      <c r="D1158" s="1">
        <v>0.51</v>
      </c>
      <c r="E1158" s="1">
        <v>1.75</v>
      </c>
      <c r="F1158" s="1">
        <v>7.0999999999999994E-2</v>
      </c>
      <c r="G1158" s="1">
        <v>45</v>
      </c>
      <c r="H1158" s="1">
        <v>88</v>
      </c>
      <c r="I1158" s="1">
        <v>0.99524000000000001</v>
      </c>
      <c r="J1158" s="1">
        <v>3.33</v>
      </c>
      <c r="K1158" s="1">
        <v>0.76</v>
      </c>
      <c r="L1158" s="1">
        <v>11.8</v>
      </c>
      <c r="M1158" s="2">
        <v>7</v>
      </c>
      <c r="N1158" s="2" t="str" cm="1">
        <f t="array" ref="N1158">_xlfn.IFS(Table1[[#This Row],[quality]]&lt;=4,"Low",Table1[[#This Row],[quality]]&lt;=6,"Medium",Table1[[#This Row],[quality]]&gt;=7,"High")</f>
        <v>High</v>
      </c>
      <c r="O1158" s="2" t="str">
        <f>IF(AND(Table1[[#This Row],[fixed acidity]]&gt;Sheet1!$C$4,Table1[[#This Row],[pH]]&lt;Sheet1!$K$4),"High","Normal")</f>
        <v>Normal</v>
      </c>
      <c r="P1158" s="1">
        <f>(Table1[[#This Row],[alcohol]]*2)+(Table1[[#This Row],[sulphates]]*1.5)-(Table1[[#This Row],[volatile acidity]]*2)</f>
        <v>24.380000000000003</v>
      </c>
      <c r="Q1158" s="1">
        <f>RANK(Table1[[#This Row],[Quality_score_index]],Table1[Quality_score_index],0)</f>
        <v>143</v>
      </c>
      <c r="R1158" s="1">
        <f>Table1[[#This Row],[total sulfur dioxide]]-Table1[[#This Row],[free sulfur dioxide]]</f>
        <v>43</v>
      </c>
      <c r="S1158" s="1" t="str">
        <f>IF(AND(Table1[[#This Row],[pH]]&gt;=3.2,Table1[[#This Row],[alcohol]]&gt;=10),"White wine","Red wine")</f>
        <v>White wine</v>
      </c>
    </row>
    <row r="1159" spans="1:19" x14ac:dyDescent="0.3">
      <c r="A1159" s="13">
        <v>1158</v>
      </c>
      <c r="B1159" s="1">
        <v>5.0999999999999996</v>
      </c>
      <c r="C1159" s="1">
        <v>0.51</v>
      </c>
      <c r="D1159" s="1">
        <v>0.18</v>
      </c>
      <c r="E1159" s="1">
        <v>2.1</v>
      </c>
      <c r="F1159" s="1">
        <v>4.2000000000000003E-2</v>
      </c>
      <c r="G1159" s="1">
        <v>16</v>
      </c>
      <c r="H1159" s="1">
        <v>101</v>
      </c>
      <c r="I1159" s="1">
        <v>0.99239999999999995</v>
      </c>
      <c r="J1159" s="1">
        <v>3.46</v>
      </c>
      <c r="K1159" s="1">
        <v>0.87</v>
      </c>
      <c r="L1159" s="1">
        <v>12.9</v>
      </c>
      <c r="M1159" s="2">
        <v>7</v>
      </c>
      <c r="N1159" s="2" t="str" cm="1">
        <f t="array" ref="N1159">_xlfn.IFS(Table1[[#This Row],[quality]]&lt;=4,"Low",Table1[[#This Row],[quality]]&lt;=6,"Medium",Table1[[#This Row],[quality]]&gt;=7,"High")</f>
        <v>High</v>
      </c>
      <c r="O1159" s="2" t="str">
        <f>IF(AND(Table1[[#This Row],[fixed acidity]]&gt;Sheet1!$C$4,Table1[[#This Row],[pH]]&lt;Sheet1!$K$4),"High","Normal")</f>
        <v>Normal</v>
      </c>
      <c r="P1159" s="1">
        <f>(Table1[[#This Row],[alcohol]]*2)+(Table1[[#This Row],[sulphates]]*1.5)-(Table1[[#This Row],[volatile acidity]]*2)</f>
        <v>26.085000000000001</v>
      </c>
      <c r="Q1159" s="1">
        <f>RANK(Table1[[#This Row],[Quality_score_index]],Table1[Quality_score_index],0)</f>
        <v>29</v>
      </c>
      <c r="R1159" s="1">
        <f>Table1[[#This Row],[total sulfur dioxide]]-Table1[[#This Row],[free sulfur dioxide]]</f>
        <v>85</v>
      </c>
      <c r="S1159" s="1" t="str">
        <f>IF(AND(Table1[[#This Row],[pH]]&gt;=3.2,Table1[[#This Row],[alcohol]]&gt;=10),"White wine","Red wine")</f>
        <v>White wine</v>
      </c>
    </row>
    <row r="1160" spans="1:19" x14ac:dyDescent="0.3">
      <c r="A1160" s="13">
        <v>1159</v>
      </c>
      <c r="B1160" s="1">
        <v>6.7</v>
      </c>
      <c r="C1160" s="1">
        <v>0.41</v>
      </c>
      <c r="D1160" s="1">
        <v>0.43</v>
      </c>
      <c r="E1160" s="1">
        <v>2.8</v>
      </c>
      <c r="F1160" s="1">
        <v>7.5999999999999998E-2</v>
      </c>
      <c r="G1160" s="1">
        <v>22</v>
      </c>
      <c r="H1160" s="1">
        <v>54</v>
      </c>
      <c r="I1160" s="1">
        <v>0.99572000000000005</v>
      </c>
      <c r="J1160" s="1">
        <v>3.42</v>
      </c>
      <c r="K1160" s="1">
        <v>1.1599999999999999</v>
      </c>
      <c r="L1160" s="1">
        <v>10.6</v>
      </c>
      <c r="M1160" s="2">
        <v>6</v>
      </c>
      <c r="N1160" s="2" t="str" cm="1">
        <f t="array" ref="N1160">_xlfn.IFS(Table1[[#This Row],[quality]]&lt;=4,"Low",Table1[[#This Row],[quality]]&lt;=6,"Medium",Table1[[#This Row],[quality]]&gt;=7,"High")</f>
        <v>Medium</v>
      </c>
      <c r="O1160" s="2" t="str">
        <f>IF(AND(Table1[[#This Row],[fixed acidity]]&gt;Sheet1!$C$4,Table1[[#This Row],[pH]]&lt;Sheet1!$K$4),"High","Normal")</f>
        <v>Normal</v>
      </c>
      <c r="P1160" s="1">
        <f>(Table1[[#This Row],[alcohol]]*2)+(Table1[[#This Row],[sulphates]]*1.5)-(Table1[[#This Row],[volatile acidity]]*2)</f>
        <v>22.119999999999997</v>
      </c>
      <c r="Q1160" s="1">
        <f>RANK(Table1[[#This Row],[Quality_score_index]],Table1[Quality_score_index],0)</f>
        <v>437</v>
      </c>
      <c r="R1160" s="1">
        <f>Table1[[#This Row],[total sulfur dioxide]]-Table1[[#This Row],[free sulfur dioxide]]</f>
        <v>32</v>
      </c>
      <c r="S1160" s="1" t="str">
        <f>IF(AND(Table1[[#This Row],[pH]]&gt;=3.2,Table1[[#This Row],[alcohol]]&gt;=10),"White wine","Red wine")</f>
        <v>White wine</v>
      </c>
    </row>
    <row r="1161" spans="1:19" x14ac:dyDescent="0.3">
      <c r="A1161" s="13">
        <v>1160</v>
      </c>
      <c r="B1161" s="1">
        <v>10.199999999999999</v>
      </c>
      <c r="C1161" s="1">
        <v>0.41</v>
      </c>
      <c r="D1161" s="1">
        <v>0.43</v>
      </c>
      <c r="E1161" s="1">
        <v>2.2000000000000002</v>
      </c>
      <c r="F1161" s="1">
        <v>0.11</v>
      </c>
      <c r="G1161" s="1">
        <v>11</v>
      </c>
      <c r="H1161" s="1">
        <v>37</v>
      </c>
      <c r="I1161" s="1">
        <v>0.99728000000000006</v>
      </c>
      <c r="J1161" s="1">
        <v>3.16</v>
      </c>
      <c r="K1161" s="1">
        <v>0.67</v>
      </c>
      <c r="L1161" s="1">
        <v>10.8</v>
      </c>
      <c r="M1161" s="2">
        <v>5</v>
      </c>
      <c r="N1161" s="2" t="str" cm="1">
        <f t="array" ref="N1161">_xlfn.IFS(Table1[[#This Row],[quality]]&lt;=4,"Low",Table1[[#This Row],[quality]]&lt;=6,"Medium",Table1[[#This Row],[quality]]&gt;=7,"High")</f>
        <v>Medium</v>
      </c>
      <c r="O1161" s="2" t="str">
        <f>IF(AND(Table1[[#This Row],[fixed acidity]]&gt;Sheet1!$C$4,Table1[[#This Row],[pH]]&lt;Sheet1!$K$4),"High","Normal")</f>
        <v>High</v>
      </c>
      <c r="P1161" s="1">
        <f>(Table1[[#This Row],[alcohol]]*2)+(Table1[[#This Row],[sulphates]]*1.5)-(Table1[[#This Row],[volatile acidity]]*2)</f>
        <v>21.785</v>
      </c>
      <c r="Q1161" s="1">
        <f>RANK(Table1[[#This Row],[Quality_score_index]],Table1[Quality_score_index],0)</f>
        <v>484</v>
      </c>
      <c r="R1161" s="1">
        <f>Table1[[#This Row],[total sulfur dioxide]]-Table1[[#This Row],[free sulfur dioxide]]</f>
        <v>26</v>
      </c>
      <c r="S1161" s="1" t="str">
        <f>IF(AND(Table1[[#This Row],[pH]]&gt;=3.2,Table1[[#This Row],[alcohol]]&gt;=10),"White wine","Red wine")</f>
        <v>Red wine</v>
      </c>
    </row>
    <row r="1162" spans="1:19" x14ac:dyDescent="0.3">
      <c r="A1162" s="13">
        <v>1161</v>
      </c>
      <c r="B1162" s="1">
        <v>10.6</v>
      </c>
      <c r="C1162" s="1">
        <v>0.36</v>
      </c>
      <c r="D1162" s="1">
        <v>0.56999999999999995</v>
      </c>
      <c r="E1162" s="1">
        <v>2.2999999999999998</v>
      </c>
      <c r="F1162" s="1">
        <v>8.6999999999999994E-2</v>
      </c>
      <c r="G1162" s="1">
        <v>6</v>
      </c>
      <c r="H1162" s="1">
        <v>20</v>
      </c>
      <c r="I1162" s="1">
        <v>0.99675999999999998</v>
      </c>
      <c r="J1162" s="1">
        <v>3.14</v>
      </c>
      <c r="K1162" s="1">
        <v>0.72</v>
      </c>
      <c r="L1162" s="1">
        <v>11.1</v>
      </c>
      <c r="M1162" s="2">
        <v>7</v>
      </c>
      <c r="N1162" s="2" t="str" cm="1">
        <f t="array" ref="N1162">_xlfn.IFS(Table1[[#This Row],[quality]]&lt;=4,"Low",Table1[[#This Row],[quality]]&lt;=6,"Medium",Table1[[#This Row],[quality]]&gt;=7,"High")</f>
        <v>High</v>
      </c>
      <c r="O1162" s="2" t="str">
        <f>IF(AND(Table1[[#This Row],[fixed acidity]]&gt;Sheet1!$C$4,Table1[[#This Row],[pH]]&lt;Sheet1!$K$4),"High","Normal")</f>
        <v>High</v>
      </c>
      <c r="P1162" s="1">
        <f>(Table1[[#This Row],[alcohol]]*2)+(Table1[[#This Row],[sulphates]]*1.5)-(Table1[[#This Row],[volatile acidity]]*2)</f>
        <v>22.560000000000002</v>
      </c>
      <c r="Q1162" s="1">
        <f>RANK(Table1[[#This Row],[Quality_score_index]],Table1[Quality_score_index],0)</f>
        <v>348</v>
      </c>
      <c r="R1162" s="1">
        <f>Table1[[#This Row],[total sulfur dioxide]]-Table1[[#This Row],[free sulfur dioxide]]</f>
        <v>14</v>
      </c>
      <c r="S1162" s="1" t="str">
        <f>IF(AND(Table1[[#This Row],[pH]]&gt;=3.2,Table1[[#This Row],[alcohol]]&gt;=10),"White wine","Red wine")</f>
        <v>Red wine</v>
      </c>
    </row>
    <row r="1163" spans="1:19" x14ac:dyDescent="0.3">
      <c r="A1163" s="13">
        <v>1162</v>
      </c>
      <c r="B1163" s="1">
        <v>8.8000000000000007</v>
      </c>
      <c r="C1163" s="1">
        <v>0.45</v>
      </c>
      <c r="D1163" s="1">
        <v>0.43</v>
      </c>
      <c r="E1163" s="1">
        <v>1.4</v>
      </c>
      <c r="F1163" s="1">
        <v>7.5999999999999998E-2</v>
      </c>
      <c r="G1163" s="1">
        <v>12</v>
      </c>
      <c r="H1163" s="1">
        <v>21</v>
      </c>
      <c r="I1163" s="1">
        <v>0.99551000000000001</v>
      </c>
      <c r="J1163" s="1">
        <v>3.21</v>
      </c>
      <c r="K1163" s="1">
        <v>0.75</v>
      </c>
      <c r="L1163" s="1">
        <v>10.199999999999999</v>
      </c>
      <c r="M1163" s="2">
        <v>6</v>
      </c>
      <c r="N1163" s="2" t="str" cm="1">
        <f t="array" ref="N1163">_xlfn.IFS(Table1[[#This Row],[quality]]&lt;=4,"Low",Table1[[#This Row],[quality]]&lt;=6,"Medium",Table1[[#This Row],[quality]]&gt;=7,"High")</f>
        <v>Medium</v>
      </c>
      <c r="O1163" s="2" t="str">
        <f>IF(AND(Table1[[#This Row],[fixed acidity]]&gt;Sheet1!$C$4,Table1[[#This Row],[pH]]&lt;Sheet1!$K$4),"High","Normal")</f>
        <v>High</v>
      </c>
      <c r="P1163" s="1">
        <f>(Table1[[#This Row],[alcohol]]*2)+(Table1[[#This Row],[sulphates]]*1.5)-(Table1[[#This Row],[volatile acidity]]*2)</f>
        <v>20.625</v>
      </c>
      <c r="Q1163" s="1">
        <f>RANK(Table1[[#This Row],[Quality_score_index]],Table1[Quality_score_index],0)</f>
        <v>736</v>
      </c>
      <c r="R1163" s="1">
        <f>Table1[[#This Row],[total sulfur dioxide]]-Table1[[#This Row],[free sulfur dioxide]]</f>
        <v>9</v>
      </c>
      <c r="S1163" s="1" t="str">
        <f>IF(AND(Table1[[#This Row],[pH]]&gt;=3.2,Table1[[#This Row],[alcohol]]&gt;=10),"White wine","Red wine")</f>
        <v>White wine</v>
      </c>
    </row>
    <row r="1164" spans="1:19" x14ac:dyDescent="0.3">
      <c r="A1164" s="13">
        <v>1163</v>
      </c>
      <c r="B1164" s="1">
        <v>8.5</v>
      </c>
      <c r="C1164" s="1">
        <v>0.32</v>
      </c>
      <c r="D1164" s="1">
        <v>0.42</v>
      </c>
      <c r="E1164" s="1">
        <v>2.2999999999999998</v>
      </c>
      <c r="F1164" s="1">
        <v>7.4999999999999997E-2</v>
      </c>
      <c r="G1164" s="1">
        <v>12</v>
      </c>
      <c r="H1164" s="1">
        <v>19</v>
      </c>
      <c r="I1164" s="1">
        <v>0.99434</v>
      </c>
      <c r="J1164" s="1">
        <v>3.14</v>
      </c>
      <c r="K1164" s="1">
        <v>0.71</v>
      </c>
      <c r="L1164" s="1">
        <v>11.8</v>
      </c>
      <c r="M1164" s="2">
        <v>7</v>
      </c>
      <c r="N1164" s="2" t="str" cm="1">
        <f t="array" ref="N1164">_xlfn.IFS(Table1[[#This Row],[quality]]&lt;=4,"Low",Table1[[#This Row],[quality]]&lt;=6,"Medium",Table1[[#This Row],[quality]]&gt;=7,"High")</f>
        <v>High</v>
      </c>
      <c r="O1164" s="2" t="str">
        <f>IF(AND(Table1[[#This Row],[fixed acidity]]&gt;Sheet1!$C$4,Table1[[#This Row],[pH]]&lt;Sheet1!$K$4),"High","Normal")</f>
        <v>High</v>
      </c>
      <c r="P1164" s="1">
        <f>(Table1[[#This Row],[alcohol]]*2)+(Table1[[#This Row],[sulphates]]*1.5)-(Table1[[#This Row],[volatile acidity]]*2)</f>
        <v>24.025000000000002</v>
      </c>
      <c r="Q1164" s="1">
        <f>RANK(Table1[[#This Row],[Quality_score_index]],Table1[Quality_score_index],0)</f>
        <v>177</v>
      </c>
      <c r="R1164" s="1">
        <f>Table1[[#This Row],[total sulfur dioxide]]-Table1[[#This Row],[free sulfur dioxide]]</f>
        <v>7</v>
      </c>
      <c r="S1164" s="1" t="str">
        <f>IF(AND(Table1[[#This Row],[pH]]&gt;=3.2,Table1[[#This Row],[alcohol]]&gt;=10),"White wine","Red wine")</f>
        <v>Red wine</v>
      </c>
    </row>
    <row r="1165" spans="1:19" x14ac:dyDescent="0.3">
      <c r="A1165" s="13">
        <v>1164</v>
      </c>
      <c r="B1165" s="1">
        <v>9</v>
      </c>
      <c r="C1165" s="1">
        <v>0.78500000000000003</v>
      </c>
      <c r="D1165" s="1">
        <v>0.24</v>
      </c>
      <c r="E1165" s="1">
        <v>1.7</v>
      </c>
      <c r="F1165" s="1">
        <v>7.8E-2</v>
      </c>
      <c r="G1165" s="1">
        <v>10</v>
      </c>
      <c r="H1165" s="1">
        <v>21</v>
      </c>
      <c r="I1165" s="1">
        <v>0.99692000000000003</v>
      </c>
      <c r="J1165" s="1">
        <v>3.29</v>
      </c>
      <c r="K1165" s="1">
        <v>0.67</v>
      </c>
      <c r="L1165" s="1">
        <v>10</v>
      </c>
      <c r="M1165" s="2">
        <v>5</v>
      </c>
      <c r="N1165" s="2" t="str" cm="1">
        <f t="array" ref="N1165">_xlfn.IFS(Table1[[#This Row],[quality]]&lt;=4,"Low",Table1[[#This Row],[quality]]&lt;=6,"Medium",Table1[[#This Row],[quality]]&gt;=7,"High")</f>
        <v>Medium</v>
      </c>
      <c r="O1165" s="2" t="str">
        <f>IF(AND(Table1[[#This Row],[fixed acidity]]&gt;Sheet1!$C$4,Table1[[#This Row],[pH]]&lt;Sheet1!$K$4),"High","Normal")</f>
        <v>High</v>
      </c>
      <c r="P1165" s="1">
        <f>(Table1[[#This Row],[alcohol]]*2)+(Table1[[#This Row],[sulphates]]*1.5)-(Table1[[#This Row],[volatile acidity]]*2)</f>
        <v>19.434999999999999</v>
      </c>
      <c r="Q1165" s="1">
        <f>RANK(Table1[[#This Row],[Quality_score_index]],Table1[Quality_score_index],0)</f>
        <v>996</v>
      </c>
      <c r="R1165" s="1">
        <f>Table1[[#This Row],[total sulfur dioxide]]-Table1[[#This Row],[free sulfur dioxide]]</f>
        <v>11</v>
      </c>
      <c r="S1165" s="1" t="str">
        <f>IF(AND(Table1[[#This Row],[pH]]&gt;=3.2,Table1[[#This Row],[alcohol]]&gt;=10),"White wine","Red wine")</f>
        <v>White wine</v>
      </c>
    </row>
    <row r="1166" spans="1:19" x14ac:dyDescent="0.3">
      <c r="A1166" s="13">
        <v>1165</v>
      </c>
      <c r="B1166" s="1">
        <v>9</v>
      </c>
      <c r="C1166" s="1">
        <v>0.78500000000000003</v>
      </c>
      <c r="D1166" s="1">
        <v>0.24</v>
      </c>
      <c r="E1166" s="1">
        <v>1.7</v>
      </c>
      <c r="F1166" s="1">
        <v>7.8E-2</v>
      </c>
      <c r="G1166" s="1">
        <v>10</v>
      </c>
      <c r="H1166" s="1">
        <v>21</v>
      </c>
      <c r="I1166" s="1">
        <v>0.99692000000000003</v>
      </c>
      <c r="J1166" s="1">
        <v>3.29</v>
      </c>
      <c r="K1166" s="1">
        <v>0.67</v>
      </c>
      <c r="L1166" s="1">
        <v>10</v>
      </c>
      <c r="M1166" s="2">
        <v>5</v>
      </c>
      <c r="N1166" s="2" t="str" cm="1">
        <f t="array" ref="N1166">_xlfn.IFS(Table1[[#This Row],[quality]]&lt;=4,"Low",Table1[[#This Row],[quality]]&lt;=6,"Medium",Table1[[#This Row],[quality]]&gt;=7,"High")</f>
        <v>Medium</v>
      </c>
      <c r="O1166" s="2" t="str">
        <f>IF(AND(Table1[[#This Row],[fixed acidity]]&gt;Sheet1!$C$4,Table1[[#This Row],[pH]]&lt;Sheet1!$K$4),"High","Normal")</f>
        <v>High</v>
      </c>
      <c r="P1166" s="1">
        <f>(Table1[[#This Row],[alcohol]]*2)+(Table1[[#This Row],[sulphates]]*1.5)-(Table1[[#This Row],[volatile acidity]]*2)</f>
        <v>19.434999999999999</v>
      </c>
      <c r="Q1166" s="1">
        <f>RANK(Table1[[#This Row],[Quality_score_index]],Table1[Quality_score_index],0)</f>
        <v>996</v>
      </c>
      <c r="R1166" s="1">
        <f>Table1[[#This Row],[total sulfur dioxide]]-Table1[[#This Row],[free sulfur dioxide]]</f>
        <v>11</v>
      </c>
      <c r="S1166" s="1" t="str">
        <f>IF(AND(Table1[[#This Row],[pH]]&gt;=3.2,Table1[[#This Row],[alcohol]]&gt;=10),"White wine","Red wine")</f>
        <v>White wine</v>
      </c>
    </row>
    <row r="1167" spans="1:19" x14ac:dyDescent="0.3">
      <c r="A1167" s="13">
        <v>1166</v>
      </c>
      <c r="B1167" s="1">
        <v>8.5</v>
      </c>
      <c r="C1167" s="1">
        <v>0.44</v>
      </c>
      <c r="D1167" s="1">
        <v>0.5</v>
      </c>
      <c r="E1167" s="1">
        <v>1.9</v>
      </c>
      <c r="F1167" s="1">
        <v>0.36899999999999999</v>
      </c>
      <c r="G1167" s="1">
        <v>15</v>
      </c>
      <c r="H1167" s="1">
        <v>38</v>
      </c>
      <c r="I1167" s="1">
        <v>0.99634</v>
      </c>
      <c r="J1167" s="1">
        <v>3.01</v>
      </c>
      <c r="K1167" s="1">
        <v>1.1000000000000001</v>
      </c>
      <c r="L1167" s="1">
        <v>9.4</v>
      </c>
      <c r="M1167" s="2">
        <v>5</v>
      </c>
      <c r="N1167" s="2" t="str" cm="1">
        <f t="array" ref="N1167">_xlfn.IFS(Table1[[#This Row],[quality]]&lt;=4,"Low",Table1[[#This Row],[quality]]&lt;=6,"Medium",Table1[[#This Row],[quality]]&gt;=7,"High")</f>
        <v>Medium</v>
      </c>
      <c r="O1167" s="2" t="str">
        <f>IF(AND(Table1[[#This Row],[fixed acidity]]&gt;Sheet1!$C$4,Table1[[#This Row],[pH]]&lt;Sheet1!$K$4),"High","Normal")</f>
        <v>High</v>
      </c>
      <c r="P1167" s="1">
        <f>(Table1[[#This Row],[alcohol]]*2)+(Table1[[#This Row],[sulphates]]*1.5)-(Table1[[#This Row],[volatile acidity]]*2)</f>
        <v>19.57</v>
      </c>
      <c r="Q1167" s="1">
        <f>RANK(Table1[[#This Row],[Quality_score_index]],Table1[Quality_score_index],0)</f>
        <v>959</v>
      </c>
      <c r="R1167" s="1">
        <f>Table1[[#This Row],[total sulfur dioxide]]-Table1[[#This Row],[free sulfur dioxide]]</f>
        <v>23</v>
      </c>
      <c r="S1167" s="1" t="str">
        <f>IF(AND(Table1[[#This Row],[pH]]&gt;=3.2,Table1[[#This Row],[alcohol]]&gt;=10),"White wine","Red wine")</f>
        <v>Red wine</v>
      </c>
    </row>
    <row r="1168" spans="1:19" x14ac:dyDescent="0.3">
      <c r="A1168" s="13">
        <v>1167</v>
      </c>
      <c r="B1168" s="1">
        <v>9.9</v>
      </c>
      <c r="C1168" s="1">
        <v>0.54</v>
      </c>
      <c r="D1168" s="1">
        <v>0.26</v>
      </c>
      <c r="E1168" s="1">
        <v>2</v>
      </c>
      <c r="F1168" s="1">
        <v>0.111</v>
      </c>
      <c r="G1168" s="1">
        <v>7</v>
      </c>
      <c r="H1168" s="1">
        <v>60</v>
      </c>
      <c r="I1168" s="1">
        <v>0.99709000000000003</v>
      </c>
      <c r="J1168" s="1">
        <v>2.94</v>
      </c>
      <c r="K1168" s="1">
        <v>0.98</v>
      </c>
      <c r="L1168" s="1">
        <v>10.199999999999999</v>
      </c>
      <c r="M1168" s="2">
        <v>5</v>
      </c>
      <c r="N1168" s="2" t="str" cm="1">
        <f t="array" ref="N1168">_xlfn.IFS(Table1[[#This Row],[quality]]&lt;=4,"Low",Table1[[#This Row],[quality]]&lt;=6,"Medium",Table1[[#This Row],[quality]]&gt;=7,"High")</f>
        <v>Medium</v>
      </c>
      <c r="O1168" s="2" t="str">
        <f>IF(AND(Table1[[#This Row],[fixed acidity]]&gt;Sheet1!$C$4,Table1[[#This Row],[pH]]&lt;Sheet1!$K$4),"High","Normal")</f>
        <v>High</v>
      </c>
      <c r="P1168" s="1">
        <f>(Table1[[#This Row],[alcohol]]*2)+(Table1[[#This Row],[sulphates]]*1.5)-(Table1[[#This Row],[volatile acidity]]*2)</f>
        <v>20.79</v>
      </c>
      <c r="Q1168" s="1">
        <f>RANK(Table1[[#This Row],[Quality_score_index]],Table1[Quality_score_index],0)</f>
        <v>697</v>
      </c>
      <c r="R1168" s="1">
        <f>Table1[[#This Row],[total sulfur dioxide]]-Table1[[#This Row],[free sulfur dioxide]]</f>
        <v>53</v>
      </c>
      <c r="S1168" s="1" t="str">
        <f>IF(AND(Table1[[#This Row],[pH]]&gt;=3.2,Table1[[#This Row],[alcohol]]&gt;=10),"White wine","Red wine")</f>
        <v>Red wine</v>
      </c>
    </row>
    <row r="1169" spans="1:19" x14ac:dyDescent="0.3">
      <c r="A1169" s="13">
        <v>1168</v>
      </c>
      <c r="B1169" s="1">
        <v>8.1999999999999993</v>
      </c>
      <c r="C1169" s="1">
        <v>0.33</v>
      </c>
      <c r="D1169" s="1">
        <v>0.39</v>
      </c>
      <c r="E1169" s="1">
        <v>2.5</v>
      </c>
      <c r="F1169" s="1">
        <v>7.3999999999999996E-2</v>
      </c>
      <c r="G1169" s="1">
        <v>29</v>
      </c>
      <c r="H1169" s="1">
        <v>48</v>
      </c>
      <c r="I1169" s="1">
        <v>0.99528000000000005</v>
      </c>
      <c r="J1169" s="1">
        <v>3.32</v>
      </c>
      <c r="K1169" s="1">
        <v>0.88</v>
      </c>
      <c r="L1169" s="1">
        <v>12.4</v>
      </c>
      <c r="M1169" s="2">
        <v>7</v>
      </c>
      <c r="N1169" s="2" t="str" cm="1">
        <f t="array" ref="N1169">_xlfn.IFS(Table1[[#This Row],[quality]]&lt;=4,"Low",Table1[[#This Row],[quality]]&lt;=6,"Medium",Table1[[#This Row],[quality]]&gt;=7,"High")</f>
        <v>High</v>
      </c>
      <c r="O1169" s="2" t="str">
        <f>IF(AND(Table1[[#This Row],[fixed acidity]]&gt;Sheet1!$C$4,Table1[[#This Row],[pH]]&lt;Sheet1!$K$4),"High","Normal")</f>
        <v>Normal</v>
      </c>
      <c r="P1169" s="1">
        <f>(Table1[[#This Row],[alcohol]]*2)+(Table1[[#This Row],[sulphates]]*1.5)-(Table1[[#This Row],[volatile acidity]]*2)</f>
        <v>25.46</v>
      </c>
      <c r="Q1169" s="1">
        <f>RANK(Table1[[#This Row],[Quality_score_index]],Table1[Quality_score_index],0)</f>
        <v>59</v>
      </c>
      <c r="R1169" s="1">
        <f>Table1[[#This Row],[total sulfur dioxide]]-Table1[[#This Row],[free sulfur dioxide]]</f>
        <v>19</v>
      </c>
      <c r="S1169" s="1" t="str">
        <f>IF(AND(Table1[[#This Row],[pH]]&gt;=3.2,Table1[[#This Row],[alcohol]]&gt;=10),"White wine","Red wine")</f>
        <v>White wine</v>
      </c>
    </row>
    <row r="1170" spans="1:19" x14ac:dyDescent="0.3">
      <c r="A1170" s="13">
        <v>1169</v>
      </c>
      <c r="B1170" s="1">
        <v>6.5</v>
      </c>
      <c r="C1170" s="1">
        <v>0.34</v>
      </c>
      <c r="D1170" s="1">
        <v>0.27</v>
      </c>
      <c r="E1170" s="1">
        <v>2.8</v>
      </c>
      <c r="F1170" s="1">
        <v>6.7000000000000004E-2</v>
      </c>
      <c r="G1170" s="1">
        <v>8</v>
      </c>
      <c r="H1170" s="1">
        <v>44</v>
      </c>
      <c r="I1170" s="1">
        <v>0.99383999999999995</v>
      </c>
      <c r="J1170" s="1">
        <v>3.21</v>
      </c>
      <c r="K1170" s="1">
        <v>0.56000000000000005</v>
      </c>
      <c r="L1170" s="1">
        <v>12</v>
      </c>
      <c r="M1170" s="2">
        <v>6</v>
      </c>
      <c r="N1170" s="2" t="str" cm="1">
        <f t="array" ref="N1170">_xlfn.IFS(Table1[[#This Row],[quality]]&lt;=4,"Low",Table1[[#This Row],[quality]]&lt;=6,"Medium",Table1[[#This Row],[quality]]&gt;=7,"High")</f>
        <v>Medium</v>
      </c>
      <c r="O1170" s="2" t="str">
        <f>IF(AND(Table1[[#This Row],[fixed acidity]]&gt;Sheet1!$C$4,Table1[[#This Row],[pH]]&lt;Sheet1!$K$4),"High","Normal")</f>
        <v>Normal</v>
      </c>
      <c r="P1170" s="1">
        <f>(Table1[[#This Row],[alcohol]]*2)+(Table1[[#This Row],[sulphates]]*1.5)-(Table1[[#This Row],[volatile acidity]]*2)</f>
        <v>24.16</v>
      </c>
      <c r="Q1170" s="1">
        <f>RANK(Table1[[#This Row],[Quality_score_index]],Table1[Quality_score_index],0)</f>
        <v>161</v>
      </c>
      <c r="R1170" s="1">
        <f>Table1[[#This Row],[total sulfur dioxide]]-Table1[[#This Row],[free sulfur dioxide]]</f>
        <v>36</v>
      </c>
      <c r="S1170" s="1" t="str">
        <f>IF(AND(Table1[[#This Row],[pH]]&gt;=3.2,Table1[[#This Row],[alcohol]]&gt;=10),"White wine","Red wine")</f>
        <v>White wine</v>
      </c>
    </row>
    <row r="1171" spans="1:19" x14ac:dyDescent="0.3">
      <c r="A1171" s="13">
        <v>1170</v>
      </c>
      <c r="B1171" s="1">
        <v>7.6</v>
      </c>
      <c r="C1171" s="1">
        <v>0.5</v>
      </c>
      <c r="D1171" s="1">
        <v>0.28999999999999998</v>
      </c>
      <c r="E1171" s="1">
        <v>2.2999999999999998</v>
      </c>
      <c r="F1171" s="1">
        <v>8.5999999999999993E-2</v>
      </c>
      <c r="G1171" s="1">
        <v>5</v>
      </c>
      <c r="H1171" s="1">
        <v>14</v>
      </c>
      <c r="I1171" s="1">
        <v>0.99502000000000002</v>
      </c>
      <c r="J1171" s="1">
        <v>3.32</v>
      </c>
      <c r="K1171" s="1">
        <v>0.62</v>
      </c>
      <c r="L1171" s="1">
        <v>11.5</v>
      </c>
      <c r="M1171" s="2">
        <v>6</v>
      </c>
      <c r="N1171" s="2" t="str" cm="1">
        <f t="array" ref="N1171">_xlfn.IFS(Table1[[#This Row],[quality]]&lt;=4,"Low",Table1[[#This Row],[quality]]&lt;=6,"Medium",Table1[[#This Row],[quality]]&gt;=7,"High")</f>
        <v>Medium</v>
      </c>
      <c r="O1171" s="2" t="str">
        <f>IF(AND(Table1[[#This Row],[fixed acidity]]&gt;Sheet1!$C$4,Table1[[#This Row],[pH]]&lt;Sheet1!$K$4),"High","Normal")</f>
        <v>Normal</v>
      </c>
      <c r="P1171" s="1">
        <f>(Table1[[#This Row],[alcohol]]*2)+(Table1[[#This Row],[sulphates]]*1.5)-(Table1[[#This Row],[volatile acidity]]*2)</f>
        <v>22.93</v>
      </c>
      <c r="Q1171" s="1">
        <f>RANK(Table1[[#This Row],[Quality_score_index]],Table1[Quality_score_index],0)</f>
        <v>283</v>
      </c>
      <c r="R1171" s="1">
        <f>Table1[[#This Row],[total sulfur dioxide]]-Table1[[#This Row],[free sulfur dioxide]]</f>
        <v>9</v>
      </c>
      <c r="S1171" s="1" t="str">
        <f>IF(AND(Table1[[#This Row],[pH]]&gt;=3.2,Table1[[#This Row],[alcohol]]&gt;=10),"White wine","Red wine")</f>
        <v>White wine</v>
      </c>
    </row>
    <row r="1172" spans="1:19" x14ac:dyDescent="0.3">
      <c r="A1172" s="13">
        <v>1171</v>
      </c>
      <c r="B1172" s="1">
        <v>9.1999999999999993</v>
      </c>
      <c r="C1172" s="1">
        <v>0.36</v>
      </c>
      <c r="D1172" s="1">
        <v>0.34</v>
      </c>
      <c r="E1172" s="1">
        <v>1.6</v>
      </c>
      <c r="F1172" s="1">
        <v>6.2E-2</v>
      </c>
      <c r="G1172" s="1">
        <v>5</v>
      </c>
      <c r="H1172" s="1">
        <v>12</v>
      </c>
      <c r="I1172" s="1">
        <v>0.99666999999999994</v>
      </c>
      <c r="J1172" s="1">
        <v>3.2</v>
      </c>
      <c r="K1172" s="1">
        <v>0.67</v>
      </c>
      <c r="L1172" s="1">
        <v>10.5</v>
      </c>
      <c r="M1172" s="2">
        <v>6</v>
      </c>
      <c r="N1172" s="2" t="str" cm="1">
        <f t="array" ref="N1172">_xlfn.IFS(Table1[[#This Row],[quality]]&lt;=4,"Low",Table1[[#This Row],[quality]]&lt;=6,"Medium",Table1[[#This Row],[quality]]&gt;=7,"High")</f>
        <v>Medium</v>
      </c>
      <c r="O1172" s="2" t="str">
        <f>IF(AND(Table1[[#This Row],[fixed acidity]]&gt;Sheet1!$C$4,Table1[[#This Row],[pH]]&lt;Sheet1!$K$4),"High","Normal")</f>
        <v>High</v>
      </c>
      <c r="P1172" s="1">
        <f>(Table1[[#This Row],[alcohol]]*2)+(Table1[[#This Row],[sulphates]]*1.5)-(Table1[[#This Row],[volatile acidity]]*2)</f>
        <v>21.285</v>
      </c>
      <c r="Q1172" s="1">
        <f>RANK(Table1[[#This Row],[Quality_score_index]],Table1[Quality_score_index],0)</f>
        <v>586</v>
      </c>
      <c r="R1172" s="1">
        <f>Table1[[#This Row],[total sulfur dioxide]]-Table1[[#This Row],[free sulfur dioxide]]</f>
        <v>7</v>
      </c>
      <c r="S1172" s="1" t="str">
        <f>IF(AND(Table1[[#This Row],[pH]]&gt;=3.2,Table1[[#This Row],[alcohol]]&gt;=10),"White wine","Red wine")</f>
        <v>White wine</v>
      </c>
    </row>
    <row r="1173" spans="1:19" x14ac:dyDescent="0.3">
      <c r="A1173" s="13">
        <v>1172</v>
      </c>
      <c r="B1173" s="1">
        <v>7.1</v>
      </c>
      <c r="C1173" s="1">
        <v>0.59</v>
      </c>
      <c r="D1173" s="1">
        <v>0</v>
      </c>
      <c r="E1173" s="1">
        <v>2.2000000000000002</v>
      </c>
      <c r="F1173" s="1">
        <v>7.8E-2</v>
      </c>
      <c r="G1173" s="1">
        <v>26</v>
      </c>
      <c r="H1173" s="1">
        <v>44</v>
      </c>
      <c r="I1173" s="1">
        <v>0.99521999999999999</v>
      </c>
      <c r="J1173" s="1">
        <v>3.42</v>
      </c>
      <c r="K1173" s="1">
        <v>0.68</v>
      </c>
      <c r="L1173" s="1">
        <v>10.8</v>
      </c>
      <c r="M1173" s="2">
        <v>6</v>
      </c>
      <c r="N1173" s="2" t="str" cm="1">
        <f t="array" ref="N1173">_xlfn.IFS(Table1[[#This Row],[quality]]&lt;=4,"Low",Table1[[#This Row],[quality]]&lt;=6,"Medium",Table1[[#This Row],[quality]]&gt;=7,"High")</f>
        <v>Medium</v>
      </c>
      <c r="O1173" s="2" t="str">
        <f>IF(AND(Table1[[#This Row],[fixed acidity]]&gt;Sheet1!$C$4,Table1[[#This Row],[pH]]&lt;Sheet1!$K$4),"High","Normal")</f>
        <v>Normal</v>
      </c>
      <c r="P1173" s="1">
        <f>(Table1[[#This Row],[alcohol]]*2)+(Table1[[#This Row],[sulphates]]*1.5)-(Table1[[#This Row],[volatile acidity]]*2)</f>
        <v>21.44</v>
      </c>
      <c r="Q1173" s="1">
        <f>RANK(Table1[[#This Row],[Quality_score_index]],Table1[Quality_score_index],0)</f>
        <v>551</v>
      </c>
      <c r="R1173" s="1">
        <f>Table1[[#This Row],[total sulfur dioxide]]-Table1[[#This Row],[free sulfur dioxide]]</f>
        <v>18</v>
      </c>
      <c r="S1173" s="1" t="str">
        <f>IF(AND(Table1[[#This Row],[pH]]&gt;=3.2,Table1[[#This Row],[alcohol]]&gt;=10),"White wine","Red wine")</f>
        <v>White wine</v>
      </c>
    </row>
    <row r="1174" spans="1:19" x14ac:dyDescent="0.3">
      <c r="A1174" s="13">
        <v>1173</v>
      </c>
      <c r="B1174" s="1">
        <v>9.6999999999999993</v>
      </c>
      <c r="C1174" s="1">
        <v>0.42</v>
      </c>
      <c r="D1174" s="1">
        <v>0.46</v>
      </c>
      <c r="E1174" s="1">
        <v>2.1</v>
      </c>
      <c r="F1174" s="1">
        <v>7.3999999999999996E-2</v>
      </c>
      <c r="G1174" s="1">
        <v>5</v>
      </c>
      <c r="H1174" s="1">
        <v>16</v>
      </c>
      <c r="I1174" s="1">
        <v>0.99648999999999999</v>
      </c>
      <c r="J1174" s="1">
        <v>3.27</v>
      </c>
      <c r="K1174" s="1">
        <v>0.74</v>
      </c>
      <c r="L1174" s="1">
        <v>12.3</v>
      </c>
      <c r="M1174" s="2">
        <v>6</v>
      </c>
      <c r="N1174" s="2" t="str" cm="1">
        <f t="array" ref="N1174">_xlfn.IFS(Table1[[#This Row],[quality]]&lt;=4,"Low",Table1[[#This Row],[quality]]&lt;=6,"Medium",Table1[[#This Row],[quality]]&gt;=7,"High")</f>
        <v>Medium</v>
      </c>
      <c r="O1174" s="2" t="str">
        <f>IF(AND(Table1[[#This Row],[fixed acidity]]&gt;Sheet1!$C$4,Table1[[#This Row],[pH]]&lt;Sheet1!$K$4),"High","Normal")</f>
        <v>High</v>
      </c>
      <c r="P1174" s="1">
        <f>(Table1[[#This Row],[alcohol]]*2)+(Table1[[#This Row],[sulphates]]*1.5)-(Table1[[#This Row],[volatile acidity]]*2)</f>
        <v>24.87</v>
      </c>
      <c r="Q1174" s="1">
        <f>RANK(Table1[[#This Row],[Quality_score_index]],Table1[Quality_score_index],0)</f>
        <v>98</v>
      </c>
      <c r="R1174" s="1">
        <f>Table1[[#This Row],[total sulfur dioxide]]-Table1[[#This Row],[free sulfur dioxide]]</f>
        <v>11</v>
      </c>
      <c r="S1174" s="1" t="str">
        <f>IF(AND(Table1[[#This Row],[pH]]&gt;=3.2,Table1[[#This Row],[alcohol]]&gt;=10),"White wine","Red wine")</f>
        <v>White wine</v>
      </c>
    </row>
    <row r="1175" spans="1:19" x14ac:dyDescent="0.3">
      <c r="A1175" s="13">
        <v>1174</v>
      </c>
      <c r="B1175" s="1">
        <v>7.6</v>
      </c>
      <c r="C1175" s="1">
        <v>0.36</v>
      </c>
      <c r="D1175" s="1">
        <v>0.31</v>
      </c>
      <c r="E1175" s="1">
        <v>1.7</v>
      </c>
      <c r="F1175" s="1">
        <v>7.9000000000000001E-2</v>
      </c>
      <c r="G1175" s="1">
        <v>26</v>
      </c>
      <c r="H1175" s="1">
        <v>65</v>
      </c>
      <c r="I1175" s="1">
        <v>0.99716000000000005</v>
      </c>
      <c r="J1175" s="1">
        <v>3.46</v>
      </c>
      <c r="K1175" s="1">
        <v>0.62</v>
      </c>
      <c r="L1175" s="1">
        <v>9.5</v>
      </c>
      <c r="M1175" s="2">
        <v>6</v>
      </c>
      <c r="N1175" s="2" t="str" cm="1">
        <f t="array" ref="N1175">_xlfn.IFS(Table1[[#This Row],[quality]]&lt;=4,"Low",Table1[[#This Row],[quality]]&lt;=6,"Medium",Table1[[#This Row],[quality]]&gt;=7,"High")</f>
        <v>Medium</v>
      </c>
      <c r="O1175" s="2" t="str">
        <f>IF(AND(Table1[[#This Row],[fixed acidity]]&gt;Sheet1!$C$4,Table1[[#This Row],[pH]]&lt;Sheet1!$K$4),"High","Normal")</f>
        <v>Normal</v>
      </c>
      <c r="P1175" s="1">
        <f>(Table1[[#This Row],[alcohol]]*2)+(Table1[[#This Row],[sulphates]]*1.5)-(Table1[[#This Row],[volatile acidity]]*2)</f>
        <v>19.21</v>
      </c>
      <c r="Q1175" s="1">
        <f>RANK(Table1[[#This Row],[Quality_score_index]],Table1[Quality_score_index],0)</f>
        <v>1075</v>
      </c>
      <c r="R1175" s="1">
        <f>Table1[[#This Row],[total sulfur dioxide]]-Table1[[#This Row],[free sulfur dioxide]]</f>
        <v>39</v>
      </c>
      <c r="S1175" s="1" t="str">
        <f>IF(AND(Table1[[#This Row],[pH]]&gt;=3.2,Table1[[#This Row],[alcohol]]&gt;=10),"White wine","Red wine")</f>
        <v>Red wine</v>
      </c>
    </row>
    <row r="1176" spans="1:19" x14ac:dyDescent="0.3">
      <c r="A1176" s="13">
        <v>1175</v>
      </c>
      <c r="B1176" s="1">
        <v>7.6</v>
      </c>
      <c r="C1176" s="1">
        <v>0.36</v>
      </c>
      <c r="D1176" s="1">
        <v>0.31</v>
      </c>
      <c r="E1176" s="1">
        <v>1.7</v>
      </c>
      <c r="F1176" s="1">
        <v>7.9000000000000001E-2</v>
      </c>
      <c r="G1176" s="1">
        <v>26</v>
      </c>
      <c r="H1176" s="1">
        <v>65</v>
      </c>
      <c r="I1176" s="1">
        <v>0.99716000000000005</v>
      </c>
      <c r="J1176" s="1">
        <v>3.46</v>
      </c>
      <c r="K1176" s="1">
        <v>0.62</v>
      </c>
      <c r="L1176" s="1">
        <v>9.5</v>
      </c>
      <c r="M1176" s="2">
        <v>6</v>
      </c>
      <c r="N1176" s="2" t="str" cm="1">
        <f t="array" ref="N1176">_xlfn.IFS(Table1[[#This Row],[quality]]&lt;=4,"Low",Table1[[#This Row],[quality]]&lt;=6,"Medium",Table1[[#This Row],[quality]]&gt;=7,"High")</f>
        <v>Medium</v>
      </c>
      <c r="O1176" s="2" t="str">
        <f>IF(AND(Table1[[#This Row],[fixed acidity]]&gt;Sheet1!$C$4,Table1[[#This Row],[pH]]&lt;Sheet1!$K$4),"High","Normal")</f>
        <v>Normal</v>
      </c>
      <c r="P1176" s="1">
        <f>(Table1[[#This Row],[alcohol]]*2)+(Table1[[#This Row],[sulphates]]*1.5)-(Table1[[#This Row],[volatile acidity]]*2)</f>
        <v>19.21</v>
      </c>
      <c r="Q1176" s="1">
        <f>RANK(Table1[[#This Row],[Quality_score_index]],Table1[Quality_score_index],0)</f>
        <v>1075</v>
      </c>
      <c r="R1176" s="1">
        <f>Table1[[#This Row],[total sulfur dioxide]]-Table1[[#This Row],[free sulfur dioxide]]</f>
        <v>39</v>
      </c>
      <c r="S1176" s="1" t="str">
        <f>IF(AND(Table1[[#This Row],[pH]]&gt;=3.2,Table1[[#This Row],[alcohol]]&gt;=10),"White wine","Red wine")</f>
        <v>Red wine</v>
      </c>
    </row>
    <row r="1177" spans="1:19" x14ac:dyDescent="0.3">
      <c r="A1177" s="13">
        <v>1176</v>
      </c>
      <c r="B1177" s="1">
        <v>6.5</v>
      </c>
      <c r="C1177" s="1">
        <v>0.61</v>
      </c>
      <c r="D1177" s="1">
        <v>0</v>
      </c>
      <c r="E1177" s="1">
        <v>2.2000000000000002</v>
      </c>
      <c r="F1177" s="1">
        <v>9.5000000000000001E-2</v>
      </c>
      <c r="G1177" s="1">
        <v>48</v>
      </c>
      <c r="H1177" s="1">
        <v>59</v>
      </c>
      <c r="I1177" s="1">
        <v>0.99541000000000002</v>
      </c>
      <c r="J1177" s="1">
        <v>3.61</v>
      </c>
      <c r="K1177" s="1">
        <v>0.7</v>
      </c>
      <c r="L1177" s="1">
        <v>11.5</v>
      </c>
      <c r="M1177" s="2">
        <v>6</v>
      </c>
      <c r="N1177" s="2" t="str" cm="1">
        <f t="array" ref="N1177">_xlfn.IFS(Table1[[#This Row],[quality]]&lt;=4,"Low",Table1[[#This Row],[quality]]&lt;=6,"Medium",Table1[[#This Row],[quality]]&gt;=7,"High")</f>
        <v>Medium</v>
      </c>
      <c r="O1177" s="2" t="str">
        <f>IF(AND(Table1[[#This Row],[fixed acidity]]&gt;Sheet1!$C$4,Table1[[#This Row],[pH]]&lt;Sheet1!$K$4),"High","Normal")</f>
        <v>Normal</v>
      </c>
      <c r="P1177" s="1">
        <f>(Table1[[#This Row],[alcohol]]*2)+(Table1[[#This Row],[sulphates]]*1.5)-(Table1[[#This Row],[volatile acidity]]*2)</f>
        <v>22.830000000000002</v>
      </c>
      <c r="Q1177" s="1">
        <f>RANK(Table1[[#This Row],[Quality_score_index]],Table1[Quality_score_index],0)</f>
        <v>308</v>
      </c>
      <c r="R1177" s="1">
        <f>Table1[[#This Row],[total sulfur dioxide]]-Table1[[#This Row],[free sulfur dioxide]]</f>
        <v>11</v>
      </c>
      <c r="S1177" s="1" t="str">
        <f>IF(AND(Table1[[#This Row],[pH]]&gt;=3.2,Table1[[#This Row],[alcohol]]&gt;=10),"White wine","Red wine")</f>
        <v>White wine</v>
      </c>
    </row>
    <row r="1178" spans="1:19" x14ac:dyDescent="0.3">
      <c r="A1178" s="13">
        <v>1177</v>
      </c>
      <c r="B1178" s="1">
        <v>6.5</v>
      </c>
      <c r="C1178" s="1">
        <v>0.88</v>
      </c>
      <c r="D1178" s="1">
        <v>0.03</v>
      </c>
      <c r="E1178" s="1">
        <v>5.6</v>
      </c>
      <c r="F1178" s="1">
        <v>7.9000000000000001E-2</v>
      </c>
      <c r="G1178" s="1">
        <v>23</v>
      </c>
      <c r="H1178" s="1">
        <v>47</v>
      </c>
      <c r="I1178" s="1">
        <v>0.99572000000000005</v>
      </c>
      <c r="J1178" s="1">
        <v>3.58</v>
      </c>
      <c r="K1178" s="1">
        <v>0.5</v>
      </c>
      <c r="L1178" s="1">
        <v>11.2</v>
      </c>
      <c r="M1178" s="2">
        <v>4</v>
      </c>
      <c r="N1178" s="2" t="str" cm="1">
        <f t="array" ref="N1178">_xlfn.IFS(Table1[[#This Row],[quality]]&lt;=4,"Low",Table1[[#This Row],[quality]]&lt;=6,"Medium",Table1[[#This Row],[quality]]&gt;=7,"High")</f>
        <v>Low</v>
      </c>
      <c r="O1178" s="2" t="str">
        <f>IF(AND(Table1[[#This Row],[fixed acidity]]&gt;Sheet1!$C$4,Table1[[#This Row],[pH]]&lt;Sheet1!$K$4),"High","Normal")</f>
        <v>Normal</v>
      </c>
      <c r="P1178" s="1">
        <f>(Table1[[#This Row],[alcohol]]*2)+(Table1[[#This Row],[sulphates]]*1.5)-(Table1[[#This Row],[volatile acidity]]*2)</f>
        <v>21.389999999999997</v>
      </c>
      <c r="Q1178" s="1">
        <f>RANK(Table1[[#This Row],[Quality_score_index]],Table1[Quality_score_index],0)</f>
        <v>561</v>
      </c>
      <c r="R1178" s="1">
        <f>Table1[[#This Row],[total sulfur dioxide]]-Table1[[#This Row],[free sulfur dioxide]]</f>
        <v>24</v>
      </c>
      <c r="S1178" s="1" t="str">
        <f>IF(AND(Table1[[#This Row],[pH]]&gt;=3.2,Table1[[#This Row],[alcohol]]&gt;=10),"White wine","Red wine")</f>
        <v>White wine</v>
      </c>
    </row>
    <row r="1179" spans="1:19" x14ac:dyDescent="0.3">
      <c r="A1179" s="13">
        <v>1178</v>
      </c>
      <c r="B1179" s="1">
        <v>7.1</v>
      </c>
      <c r="C1179" s="1">
        <v>0.66</v>
      </c>
      <c r="D1179" s="1">
        <v>0</v>
      </c>
      <c r="E1179" s="1">
        <v>2.4</v>
      </c>
      <c r="F1179" s="1">
        <v>5.1999999999999998E-2</v>
      </c>
      <c r="G1179" s="1">
        <v>6</v>
      </c>
      <c r="H1179" s="1">
        <v>11</v>
      </c>
      <c r="I1179" s="1">
        <v>0.99317999999999995</v>
      </c>
      <c r="J1179" s="1">
        <v>3.35</v>
      </c>
      <c r="K1179" s="1">
        <v>0.66</v>
      </c>
      <c r="L1179" s="1">
        <v>12.7</v>
      </c>
      <c r="M1179" s="2">
        <v>7</v>
      </c>
      <c r="N1179" s="2" t="str" cm="1">
        <f t="array" ref="N1179">_xlfn.IFS(Table1[[#This Row],[quality]]&lt;=4,"Low",Table1[[#This Row],[quality]]&lt;=6,"Medium",Table1[[#This Row],[quality]]&gt;=7,"High")</f>
        <v>High</v>
      </c>
      <c r="O1179" s="2" t="str">
        <f>IF(AND(Table1[[#This Row],[fixed acidity]]&gt;Sheet1!$C$4,Table1[[#This Row],[pH]]&lt;Sheet1!$K$4),"High","Normal")</f>
        <v>Normal</v>
      </c>
      <c r="P1179" s="1">
        <f>(Table1[[#This Row],[alcohol]]*2)+(Table1[[#This Row],[sulphates]]*1.5)-(Table1[[#This Row],[volatile acidity]]*2)</f>
        <v>25.069999999999997</v>
      </c>
      <c r="Q1179" s="1">
        <f>RANK(Table1[[#This Row],[Quality_score_index]],Table1[Quality_score_index],0)</f>
        <v>89</v>
      </c>
      <c r="R1179" s="1">
        <f>Table1[[#This Row],[total sulfur dioxide]]-Table1[[#This Row],[free sulfur dioxide]]</f>
        <v>5</v>
      </c>
      <c r="S1179" s="1" t="str">
        <f>IF(AND(Table1[[#This Row],[pH]]&gt;=3.2,Table1[[#This Row],[alcohol]]&gt;=10),"White wine","Red wine")</f>
        <v>White wine</v>
      </c>
    </row>
    <row r="1180" spans="1:19" x14ac:dyDescent="0.3">
      <c r="A1180" s="13">
        <v>1179</v>
      </c>
      <c r="B1180" s="1">
        <v>5.6</v>
      </c>
      <c r="C1180" s="1">
        <v>0.91500000000000004</v>
      </c>
      <c r="D1180" s="1">
        <v>0</v>
      </c>
      <c r="E1180" s="1">
        <v>2.1</v>
      </c>
      <c r="F1180" s="1">
        <v>4.1000000000000002E-2</v>
      </c>
      <c r="G1180" s="1">
        <v>17</v>
      </c>
      <c r="H1180" s="1">
        <v>78</v>
      </c>
      <c r="I1180" s="1">
        <v>0.99346000000000001</v>
      </c>
      <c r="J1180" s="1">
        <v>3.68</v>
      </c>
      <c r="K1180" s="1">
        <v>0.73</v>
      </c>
      <c r="L1180" s="1">
        <v>11.4</v>
      </c>
      <c r="M1180" s="2">
        <v>5</v>
      </c>
      <c r="N1180" s="2" t="str" cm="1">
        <f t="array" ref="N1180">_xlfn.IFS(Table1[[#This Row],[quality]]&lt;=4,"Low",Table1[[#This Row],[quality]]&lt;=6,"Medium",Table1[[#This Row],[quality]]&gt;=7,"High")</f>
        <v>Medium</v>
      </c>
      <c r="O1180" s="2" t="str">
        <f>IF(AND(Table1[[#This Row],[fixed acidity]]&gt;Sheet1!$C$4,Table1[[#This Row],[pH]]&lt;Sheet1!$K$4),"High","Normal")</f>
        <v>Normal</v>
      </c>
      <c r="P1180" s="1">
        <f>(Table1[[#This Row],[alcohol]]*2)+(Table1[[#This Row],[sulphates]]*1.5)-(Table1[[#This Row],[volatile acidity]]*2)</f>
        <v>22.064999999999998</v>
      </c>
      <c r="Q1180" s="1">
        <f>RANK(Table1[[#This Row],[Quality_score_index]],Table1[Quality_score_index],0)</f>
        <v>446</v>
      </c>
      <c r="R1180" s="1">
        <f>Table1[[#This Row],[total sulfur dioxide]]-Table1[[#This Row],[free sulfur dioxide]]</f>
        <v>61</v>
      </c>
      <c r="S1180" s="1" t="str">
        <f>IF(AND(Table1[[#This Row],[pH]]&gt;=3.2,Table1[[#This Row],[alcohol]]&gt;=10),"White wine","Red wine")</f>
        <v>White wine</v>
      </c>
    </row>
    <row r="1181" spans="1:19" x14ac:dyDescent="0.3">
      <c r="A1181" s="13">
        <v>1180</v>
      </c>
      <c r="B1181" s="1">
        <v>8.1999999999999993</v>
      </c>
      <c r="C1181" s="1">
        <v>0.35</v>
      </c>
      <c r="D1181" s="1">
        <v>0.33</v>
      </c>
      <c r="E1181" s="1">
        <v>2.4</v>
      </c>
      <c r="F1181" s="1">
        <v>7.5999999999999998E-2</v>
      </c>
      <c r="G1181" s="1">
        <v>11</v>
      </c>
      <c r="H1181" s="1">
        <v>47</v>
      </c>
      <c r="I1181" s="1">
        <v>0.99599000000000004</v>
      </c>
      <c r="J1181" s="1">
        <v>3.27</v>
      </c>
      <c r="K1181" s="1">
        <v>0.81</v>
      </c>
      <c r="L1181" s="1">
        <v>11</v>
      </c>
      <c r="M1181" s="2">
        <v>6</v>
      </c>
      <c r="N1181" s="2" t="str" cm="1">
        <f t="array" ref="N1181">_xlfn.IFS(Table1[[#This Row],[quality]]&lt;=4,"Low",Table1[[#This Row],[quality]]&lt;=6,"Medium",Table1[[#This Row],[quality]]&gt;=7,"High")</f>
        <v>Medium</v>
      </c>
      <c r="O1181" s="2" t="str">
        <f>IF(AND(Table1[[#This Row],[fixed acidity]]&gt;Sheet1!$C$4,Table1[[#This Row],[pH]]&lt;Sheet1!$K$4),"High","Normal")</f>
        <v>Normal</v>
      </c>
      <c r="P1181" s="1">
        <f>(Table1[[#This Row],[alcohol]]*2)+(Table1[[#This Row],[sulphates]]*1.5)-(Table1[[#This Row],[volatile acidity]]*2)</f>
        <v>22.515000000000001</v>
      </c>
      <c r="Q1181" s="1">
        <f>RANK(Table1[[#This Row],[Quality_score_index]],Table1[Quality_score_index],0)</f>
        <v>362</v>
      </c>
      <c r="R1181" s="1">
        <f>Table1[[#This Row],[total sulfur dioxide]]-Table1[[#This Row],[free sulfur dioxide]]</f>
        <v>36</v>
      </c>
      <c r="S1181" s="1" t="str">
        <f>IF(AND(Table1[[#This Row],[pH]]&gt;=3.2,Table1[[#This Row],[alcohol]]&gt;=10),"White wine","Red wine")</f>
        <v>White wine</v>
      </c>
    </row>
    <row r="1182" spans="1:19" x14ac:dyDescent="0.3">
      <c r="A1182" s="13">
        <v>1181</v>
      </c>
      <c r="B1182" s="1">
        <v>8.1999999999999993</v>
      </c>
      <c r="C1182" s="1">
        <v>0.35</v>
      </c>
      <c r="D1182" s="1">
        <v>0.33</v>
      </c>
      <c r="E1182" s="1">
        <v>2.4</v>
      </c>
      <c r="F1182" s="1">
        <v>7.5999999999999998E-2</v>
      </c>
      <c r="G1182" s="1">
        <v>11</v>
      </c>
      <c r="H1182" s="1">
        <v>47</v>
      </c>
      <c r="I1182" s="1">
        <v>0.99599000000000004</v>
      </c>
      <c r="J1182" s="1">
        <v>3.27</v>
      </c>
      <c r="K1182" s="1">
        <v>0.81</v>
      </c>
      <c r="L1182" s="1">
        <v>11</v>
      </c>
      <c r="M1182" s="2">
        <v>6</v>
      </c>
      <c r="N1182" s="2" t="str" cm="1">
        <f t="array" ref="N1182">_xlfn.IFS(Table1[[#This Row],[quality]]&lt;=4,"Low",Table1[[#This Row],[quality]]&lt;=6,"Medium",Table1[[#This Row],[quality]]&gt;=7,"High")</f>
        <v>Medium</v>
      </c>
      <c r="O1182" s="2" t="str">
        <f>IF(AND(Table1[[#This Row],[fixed acidity]]&gt;Sheet1!$C$4,Table1[[#This Row],[pH]]&lt;Sheet1!$K$4),"High","Normal")</f>
        <v>Normal</v>
      </c>
      <c r="P1182" s="1">
        <f>(Table1[[#This Row],[alcohol]]*2)+(Table1[[#This Row],[sulphates]]*1.5)-(Table1[[#This Row],[volatile acidity]]*2)</f>
        <v>22.515000000000001</v>
      </c>
      <c r="Q1182" s="1">
        <f>RANK(Table1[[#This Row],[Quality_score_index]],Table1[Quality_score_index],0)</f>
        <v>362</v>
      </c>
      <c r="R1182" s="1">
        <f>Table1[[#This Row],[total sulfur dioxide]]-Table1[[#This Row],[free sulfur dioxide]]</f>
        <v>36</v>
      </c>
      <c r="S1182" s="1" t="str">
        <f>IF(AND(Table1[[#This Row],[pH]]&gt;=3.2,Table1[[#This Row],[alcohol]]&gt;=10),"White wine","Red wine")</f>
        <v>White wine</v>
      </c>
    </row>
    <row r="1183" spans="1:19" x14ac:dyDescent="0.3">
      <c r="A1183" s="13">
        <v>1182</v>
      </c>
      <c r="B1183" s="1">
        <v>9.8000000000000007</v>
      </c>
      <c r="C1183" s="1">
        <v>0.39</v>
      </c>
      <c r="D1183" s="1">
        <v>0.43</v>
      </c>
      <c r="E1183" s="1">
        <v>1.65</v>
      </c>
      <c r="F1183" s="1">
        <v>6.8000000000000005E-2</v>
      </c>
      <c r="G1183" s="1">
        <v>5</v>
      </c>
      <c r="H1183" s="1">
        <v>11</v>
      </c>
      <c r="I1183" s="1">
        <v>0.99478</v>
      </c>
      <c r="J1183" s="1">
        <v>3.19</v>
      </c>
      <c r="K1183" s="1">
        <v>0.46</v>
      </c>
      <c r="L1183" s="1">
        <v>11.4</v>
      </c>
      <c r="M1183" s="2">
        <v>5</v>
      </c>
      <c r="N1183" s="2" t="str" cm="1">
        <f t="array" ref="N1183">_xlfn.IFS(Table1[[#This Row],[quality]]&lt;=4,"Low",Table1[[#This Row],[quality]]&lt;=6,"Medium",Table1[[#This Row],[quality]]&gt;=7,"High")</f>
        <v>Medium</v>
      </c>
      <c r="O1183" s="2" t="str">
        <f>IF(AND(Table1[[#This Row],[fixed acidity]]&gt;Sheet1!$C$4,Table1[[#This Row],[pH]]&lt;Sheet1!$K$4),"High","Normal")</f>
        <v>High</v>
      </c>
      <c r="P1183" s="1">
        <f>(Table1[[#This Row],[alcohol]]*2)+(Table1[[#This Row],[sulphates]]*1.5)-(Table1[[#This Row],[volatile acidity]]*2)</f>
        <v>22.71</v>
      </c>
      <c r="Q1183" s="1">
        <f>RANK(Table1[[#This Row],[Quality_score_index]],Table1[Quality_score_index],0)</f>
        <v>324</v>
      </c>
      <c r="R1183" s="1">
        <f>Table1[[#This Row],[total sulfur dioxide]]-Table1[[#This Row],[free sulfur dioxide]]</f>
        <v>6</v>
      </c>
      <c r="S1183" s="1" t="str">
        <f>IF(AND(Table1[[#This Row],[pH]]&gt;=3.2,Table1[[#This Row],[alcohol]]&gt;=10),"White wine","Red wine")</f>
        <v>Red wine</v>
      </c>
    </row>
    <row r="1184" spans="1:19" x14ac:dyDescent="0.3">
      <c r="A1184" s="13">
        <v>1183</v>
      </c>
      <c r="B1184" s="1">
        <v>10.199999999999999</v>
      </c>
      <c r="C1184" s="1">
        <v>0.4</v>
      </c>
      <c r="D1184" s="1">
        <v>0.4</v>
      </c>
      <c r="E1184" s="1">
        <v>2.5</v>
      </c>
      <c r="F1184" s="1">
        <v>6.8000000000000005E-2</v>
      </c>
      <c r="G1184" s="1">
        <v>41</v>
      </c>
      <c r="H1184" s="1">
        <v>54</v>
      </c>
      <c r="I1184" s="1">
        <v>0.99753999999999998</v>
      </c>
      <c r="J1184" s="1">
        <v>3.38</v>
      </c>
      <c r="K1184" s="1">
        <v>0.86</v>
      </c>
      <c r="L1184" s="1">
        <v>10.5</v>
      </c>
      <c r="M1184" s="2">
        <v>6</v>
      </c>
      <c r="N1184" s="2" t="str" cm="1">
        <f t="array" ref="N1184">_xlfn.IFS(Table1[[#This Row],[quality]]&lt;=4,"Low",Table1[[#This Row],[quality]]&lt;=6,"Medium",Table1[[#This Row],[quality]]&gt;=7,"High")</f>
        <v>Medium</v>
      </c>
      <c r="O1184" s="2" t="str">
        <f>IF(AND(Table1[[#This Row],[fixed acidity]]&gt;Sheet1!$C$4,Table1[[#This Row],[pH]]&lt;Sheet1!$K$4),"High","Normal")</f>
        <v>Normal</v>
      </c>
      <c r="P1184" s="1">
        <f>(Table1[[#This Row],[alcohol]]*2)+(Table1[[#This Row],[sulphates]]*1.5)-(Table1[[#This Row],[volatile acidity]]*2)</f>
        <v>21.49</v>
      </c>
      <c r="Q1184" s="1">
        <f>RANK(Table1[[#This Row],[Quality_score_index]],Table1[Quality_score_index],0)</f>
        <v>543</v>
      </c>
      <c r="R1184" s="1">
        <f>Table1[[#This Row],[total sulfur dioxide]]-Table1[[#This Row],[free sulfur dioxide]]</f>
        <v>13</v>
      </c>
      <c r="S1184" s="1" t="str">
        <f>IF(AND(Table1[[#This Row],[pH]]&gt;=3.2,Table1[[#This Row],[alcohol]]&gt;=10),"White wine","Red wine")</f>
        <v>White wine</v>
      </c>
    </row>
    <row r="1185" spans="1:19" x14ac:dyDescent="0.3">
      <c r="A1185" s="13">
        <v>1184</v>
      </c>
      <c r="B1185" s="1">
        <v>6.8</v>
      </c>
      <c r="C1185" s="1">
        <v>0.66</v>
      </c>
      <c r="D1185" s="1">
        <v>7.0000000000000007E-2</v>
      </c>
      <c r="E1185" s="1">
        <v>1.6</v>
      </c>
      <c r="F1185" s="1">
        <v>7.0000000000000007E-2</v>
      </c>
      <c r="G1185" s="1">
        <v>16</v>
      </c>
      <c r="H1185" s="1">
        <v>61</v>
      </c>
      <c r="I1185" s="1">
        <v>0.99572000000000005</v>
      </c>
      <c r="J1185" s="1">
        <v>3.29</v>
      </c>
      <c r="K1185" s="1">
        <v>0.6</v>
      </c>
      <c r="L1185" s="1">
        <v>9.3000000000000007</v>
      </c>
      <c r="M1185" s="2">
        <v>5</v>
      </c>
      <c r="N1185" s="2" t="str" cm="1">
        <f t="array" ref="N1185">_xlfn.IFS(Table1[[#This Row],[quality]]&lt;=4,"Low",Table1[[#This Row],[quality]]&lt;=6,"Medium",Table1[[#This Row],[quality]]&gt;=7,"High")</f>
        <v>Medium</v>
      </c>
      <c r="O1185" s="2" t="str">
        <f>IF(AND(Table1[[#This Row],[fixed acidity]]&gt;Sheet1!$C$4,Table1[[#This Row],[pH]]&lt;Sheet1!$K$4),"High","Normal")</f>
        <v>Normal</v>
      </c>
      <c r="P1185" s="1">
        <f>(Table1[[#This Row],[alcohol]]*2)+(Table1[[#This Row],[sulphates]]*1.5)-(Table1[[#This Row],[volatile acidity]]*2)</f>
        <v>18.18</v>
      </c>
      <c r="Q1185" s="1">
        <f>RANK(Table1[[#This Row],[Quality_score_index]],Table1[Quality_score_index],0)</f>
        <v>1484</v>
      </c>
      <c r="R1185" s="1">
        <f>Table1[[#This Row],[total sulfur dioxide]]-Table1[[#This Row],[free sulfur dioxide]]</f>
        <v>45</v>
      </c>
      <c r="S1185" s="1" t="str">
        <f>IF(AND(Table1[[#This Row],[pH]]&gt;=3.2,Table1[[#This Row],[alcohol]]&gt;=10),"White wine","Red wine")</f>
        <v>Red wine</v>
      </c>
    </row>
    <row r="1186" spans="1:19" x14ac:dyDescent="0.3">
      <c r="A1186" s="13">
        <v>1185</v>
      </c>
      <c r="B1186" s="1">
        <v>6.7</v>
      </c>
      <c r="C1186" s="1">
        <v>0.64</v>
      </c>
      <c r="D1186" s="1">
        <v>0.23</v>
      </c>
      <c r="E1186" s="1">
        <v>2.1</v>
      </c>
      <c r="F1186" s="1">
        <v>0.08</v>
      </c>
      <c r="G1186" s="1">
        <v>11</v>
      </c>
      <c r="H1186" s="1">
        <v>119</v>
      </c>
      <c r="I1186" s="1">
        <v>0.99538000000000004</v>
      </c>
      <c r="J1186" s="1">
        <v>3.36</v>
      </c>
      <c r="K1186" s="1">
        <v>0.7</v>
      </c>
      <c r="L1186" s="1">
        <v>10.9</v>
      </c>
      <c r="M1186" s="2">
        <v>5</v>
      </c>
      <c r="N1186" s="2" t="str" cm="1">
        <f t="array" ref="N1186">_xlfn.IFS(Table1[[#This Row],[quality]]&lt;=4,"Low",Table1[[#This Row],[quality]]&lt;=6,"Medium",Table1[[#This Row],[quality]]&gt;=7,"High")</f>
        <v>Medium</v>
      </c>
      <c r="O1186" s="2" t="str">
        <f>IF(AND(Table1[[#This Row],[fixed acidity]]&gt;Sheet1!$C$4,Table1[[#This Row],[pH]]&lt;Sheet1!$K$4),"High","Normal")</f>
        <v>Normal</v>
      </c>
      <c r="P1186" s="1">
        <f>(Table1[[#This Row],[alcohol]]*2)+(Table1[[#This Row],[sulphates]]*1.5)-(Table1[[#This Row],[volatile acidity]]*2)</f>
        <v>21.57</v>
      </c>
      <c r="Q1186" s="1">
        <f>RANK(Table1[[#This Row],[Quality_score_index]],Table1[Quality_score_index],0)</f>
        <v>532</v>
      </c>
      <c r="R1186" s="1">
        <f>Table1[[#This Row],[total sulfur dioxide]]-Table1[[#This Row],[free sulfur dioxide]]</f>
        <v>108</v>
      </c>
      <c r="S1186" s="1" t="str">
        <f>IF(AND(Table1[[#This Row],[pH]]&gt;=3.2,Table1[[#This Row],[alcohol]]&gt;=10),"White wine","Red wine")</f>
        <v>White wine</v>
      </c>
    </row>
    <row r="1187" spans="1:19" x14ac:dyDescent="0.3">
      <c r="A1187" s="13">
        <v>1186</v>
      </c>
      <c r="B1187" s="1">
        <v>7</v>
      </c>
      <c r="C1187" s="1">
        <v>0.43</v>
      </c>
      <c r="D1187" s="1">
        <v>0.3</v>
      </c>
      <c r="E1187" s="1">
        <v>2</v>
      </c>
      <c r="F1187" s="1">
        <v>8.5000000000000006E-2</v>
      </c>
      <c r="G1187" s="1">
        <v>6</v>
      </c>
      <c r="H1187" s="1">
        <v>39</v>
      </c>
      <c r="I1187" s="1">
        <v>0.99346000000000001</v>
      </c>
      <c r="J1187" s="1">
        <v>3.33</v>
      </c>
      <c r="K1187" s="1">
        <v>0.46</v>
      </c>
      <c r="L1187" s="1">
        <v>11.9</v>
      </c>
      <c r="M1187" s="2">
        <v>6</v>
      </c>
      <c r="N1187" s="2" t="str" cm="1">
        <f t="array" ref="N1187">_xlfn.IFS(Table1[[#This Row],[quality]]&lt;=4,"Low",Table1[[#This Row],[quality]]&lt;=6,"Medium",Table1[[#This Row],[quality]]&gt;=7,"High")</f>
        <v>Medium</v>
      </c>
      <c r="O1187" s="2" t="str">
        <f>IF(AND(Table1[[#This Row],[fixed acidity]]&gt;Sheet1!$C$4,Table1[[#This Row],[pH]]&lt;Sheet1!$K$4),"High","Normal")</f>
        <v>Normal</v>
      </c>
      <c r="P1187" s="1">
        <f>(Table1[[#This Row],[alcohol]]*2)+(Table1[[#This Row],[sulphates]]*1.5)-(Table1[[#This Row],[volatile acidity]]*2)</f>
        <v>23.630000000000003</v>
      </c>
      <c r="Q1187" s="1">
        <f>RANK(Table1[[#This Row],[Quality_score_index]],Table1[Quality_score_index],0)</f>
        <v>206</v>
      </c>
      <c r="R1187" s="1">
        <f>Table1[[#This Row],[total sulfur dioxide]]-Table1[[#This Row],[free sulfur dioxide]]</f>
        <v>33</v>
      </c>
      <c r="S1187" s="1" t="str">
        <f>IF(AND(Table1[[#This Row],[pH]]&gt;=3.2,Table1[[#This Row],[alcohol]]&gt;=10),"White wine","Red wine")</f>
        <v>White wine</v>
      </c>
    </row>
    <row r="1188" spans="1:19" x14ac:dyDescent="0.3">
      <c r="A1188" s="13">
        <v>1187</v>
      </c>
      <c r="B1188" s="1">
        <v>6.6</v>
      </c>
      <c r="C1188" s="1">
        <v>0.8</v>
      </c>
      <c r="D1188" s="1">
        <v>0.03</v>
      </c>
      <c r="E1188" s="1">
        <v>7.8</v>
      </c>
      <c r="F1188" s="1">
        <v>7.9000000000000001E-2</v>
      </c>
      <c r="G1188" s="1">
        <v>6</v>
      </c>
      <c r="H1188" s="1">
        <v>12</v>
      </c>
      <c r="I1188" s="1">
        <v>0.99629999999999996</v>
      </c>
      <c r="J1188" s="1">
        <v>3.52</v>
      </c>
      <c r="K1188" s="1">
        <v>0.5</v>
      </c>
      <c r="L1188" s="1">
        <v>12.2</v>
      </c>
      <c r="M1188" s="2">
        <v>5</v>
      </c>
      <c r="N1188" s="2" t="str" cm="1">
        <f t="array" ref="N1188">_xlfn.IFS(Table1[[#This Row],[quality]]&lt;=4,"Low",Table1[[#This Row],[quality]]&lt;=6,"Medium",Table1[[#This Row],[quality]]&gt;=7,"High")</f>
        <v>Medium</v>
      </c>
      <c r="O1188" s="2" t="str">
        <f>IF(AND(Table1[[#This Row],[fixed acidity]]&gt;Sheet1!$C$4,Table1[[#This Row],[pH]]&lt;Sheet1!$K$4),"High","Normal")</f>
        <v>Normal</v>
      </c>
      <c r="P1188" s="1">
        <f>(Table1[[#This Row],[alcohol]]*2)+(Table1[[#This Row],[sulphates]]*1.5)-(Table1[[#This Row],[volatile acidity]]*2)</f>
        <v>23.549999999999997</v>
      </c>
      <c r="Q1188" s="1">
        <f>RANK(Table1[[#This Row],[Quality_score_index]],Table1[Quality_score_index],0)</f>
        <v>213</v>
      </c>
      <c r="R1188" s="1">
        <f>Table1[[#This Row],[total sulfur dioxide]]-Table1[[#This Row],[free sulfur dioxide]]</f>
        <v>6</v>
      </c>
      <c r="S1188" s="1" t="str">
        <f>IF(AND(Table1[[#This Row],[pH]]&gt;=3.2,Table1[[#This Row],[alcohol]]&gt;=10),"White wine","Red wine")</f>
        <v>White wine</v>
      </c>
    </row>
    <row r="1189" spans="1:19" x14ac:dyDescent="0.3">
      <c r="A1189" s="13">
        <v>1188</v>
      </c>
      <c r="B1189" s="1">
        <v>7</v>
      </c>
      <c r="C1189" s="1">
        <v>0.43</v>
      </c>
      <c r="D1189" s="1">
        <v>0.3</v>
      </c>
      <c r="E1189" s="1">
        <v>2</v>
      </c>
      <c r="F1189" s="1">
        <v>8.5000000000000006E-2</v>
      </c>
      <c r="G1189" s="1">
        <v>6</v>
      </c>
      <c r="H1189" s="1">
        <v>39</v>
      </c>
      <c r="I1189" s="1">
        <v>0.99346000000000001</v>
      </c>
      <c r="J1189" s="1">
        <v>3.33</v>
      </c>
      <c r="K1189" s="1">
        <v>0.46</v>
      </c>
      <c r="L1189" s="1">
        <v>11.9</v>
      </c>
      <c r="M1189" s="2">
        <v>6</v>
      </c>
      <c r="N1189" s="2" t="str" cm="1">
        <f t="array" ref="N1189">_xlfn.IFS(Table1[[#This Row],[quality]]&lt;=4,"Low",Table1[[#This Row],[quality]]&lt;=6,"Medium",Table1[[#This Row],[quality]]&gt;=7,"High")</f>
        <v>Medium</v>
      </c>
      <c r="O1189" s="2" t="str">
        <f>IF(AND(Table1[[#This Row],[fixed acidity]]&gt;Sheet1!$C$4,Table1[[#This Row],[pH]]&lt;Sheet1!$K$4),"High","Normal")</f>
        <v>Normal</v>
      </c>
      <c r="P1189" s="1">
        <f>(Table1[[#This Row],[alcohol]]*2)+(Table1[[#This Row],[sulphates]]*1.5)-(Table1[[#This Row],[volatile acidity]]*2)</f>
        <v>23.630000000000003</v>
      </c>
      <c r="Q1189" s="1">
        <f>RANK(Table1[[#This Row],[Quality_score_index]],Table1[Quality_score_index],0)</f>
        <v>206</v>
      </c>
      <c r="R1189" s="1">
        <f>Table1[[#This Row],[total sulfur dioxide]]-Table1[[#This Row],[free sulfur dioxide]]</f>
        <v>33</v>
      </c>
      <c r="S1189" s="1" t="str">
        <f>IF(AND(Table1[[#This Row],[pH]]&gt;=3.2,Table1[[#This Row],[alcohol]]&gt;=10),"White wine","Red wine")</f>
        <v>White wine</v>
      </c>
    </row>
    <row r="1190" spans="1:19" x14ac:dyDescent="0.3">
      <c r="A1190" s="13">
        <v>1189</v>
      </c>
      <c r="B1190" s="1">
        <v>6.7</v>
      </c>
      <c r="C1190" s="1">
        <v>0.64</v>
      </c>
      <c r="D1190" s="1">
        <v>0.23</v>
      </c>
      <c r="E1190" s="1">
        <v>2.1</v>
      </c>
      <c r="F1190" s="1">
        <v>0.08</v>
      </c>
      <c r="G1190" s="1">
        <v>11</v>
      </c>
      <c r="H1190" s="1">
        <v>119</v>
      </c>
      <c r="I1190" s="1">
        <v>0.99538000000000004</v>
      </c>
      <c r="J1190" s="1">
        <v>3.36</v>
      </c>
      <c r="K1190" s="1">
        <v>0.7</v>
      </c>
      <c r="L1190" s="1">
        <v>10.9</v>
      </c>
      <c r="M1190" s="2">
        <v>5</v>
      </c>
      <c r="N1190" s="2" t="str" cm="1">
        <f t="array" ref="N1190">_xlfn.IFS(Table1[[#This Row],[quality]]&lt;=4,"Low",Table1[[#This Row],[quality]]&lt;=6,"Medium",Table1[[#This Row],[quality]]&gt;=7,"High")</f>
        <v>Medium</v>
      </c>
      <c r="O1190" s="2" t="str">
        <f>IF(AND(Table1[[#This Row],[fixed acidity]]&gt;Sheet1!$C$4,Table1[[#This Row],[pH]]&lt;Sheet1!$K$4),"High","Normal")</f>
        <v>Normal</v>
      </c>
      <c r="P1190" s="1">
        <f>(Table1[[#This Row],[alcohol]]*2)+(Table1[[#This Row],[sulphates]]*1.5)-(Table1[[#This Row],[volatile acidity]]*2)</f>
        <v>21.57</v>
      </c>
      <c r="Q1190" s="1">
        <f>RANK(Table1[[#This Row],[Quality_score_index]],Table1[Quality_score_index],0)</f>
        <v>532</v>
      </c>
      <c r="R1190" s="1">
        <f>Table1[[#This Row],[total sulfur dioxide]]-Table1[[#This Row],[free sulfur dioxide]]</f>
        <v>108</v>
      </c>
      <c r="S1190" s="1" t="str">
        <f>IF(AND(Table1[[#This Row],[pH]]&gt;=3.2,Table1[[#This Row],[alcohol]]&gt;=10),"White wine","Red wine")</f>
        <v>White wine</v>
      </c>
    </row>
    <row r="1191" spans="1:19" x14ac:dyDescent="0.3">
      <c r="A1191" s="13">
        <v>1190</v>
      </c>
      <c r="B1191" s="1">
        <v>8.8000000000000007</v>
      </c>
      <c r="C1191" s="1">
        <v>0.95499999999999996</v>
      </c>
      <c r="D1191" s="1">
        <v>0.05</v>
      </c>
      <c r="E1191" s="1">
        <v>1.8</v>
      </c>
      <c r="F1191" s="1">
        <v>7.4999999999999997E-2</v>
      </c>
      <c r="G1191" s="1">
        <v>5</v>
      </c>
      <c r="H1191" s="1">
        <v>19</v>
      </c>
      <c r="I1191" s="1">
        <v>0.99616000000000005</v>
      </c>
      <c r="J1191" s="1">
        <v>3.3</v>
      </c>
      <c r="K1191" s="1">
        <v>0.44</v>
      </c>
      <c r="L1191" s="1">
        <v>9.6</v>
      </c>
      <c r="M1191" s="2">
        <v>4</v>
      </c>
      <c r="N1191" s="2" t="str" cm="1">
        <f t="array" ref="N1191">_xlfn.IFS(Table1[[#This Row],[quality]]&lt;=4,"Low",Table1[[#This Row],[quality]]&lt;=6,"Medium",Table1[[#This Row],[quality]]&gt;=7,"High")</f>
        <v>Low</v>
      </c>
      <c r="O1191" s="2" t="str">
        <f>IF(AND(Table1[[#This Row],[fixed acidity]]&gt;Sheet1!$C$4,Table1[[#This Row],[pH]]&lt;Sheet1!$K$4),"High","Normal")</f>
        <v>High</v>
      </c>
      <c r="P1191" s="1">
        <f>(Table1[[#This Row],[alcohol]]*2)+(Table1[[#This Row],[sulphates]]*1.5)-(Table1[[#This Row],[volatile acidity]]*2)</f>
        <v>17.95</v>
      </c>
      <c r="Q1191" s="1">
        <f>RANK(Table1[[#This Row],[Quality_score_index]],Table1[Quality_score_index],0)</f>
        <v>1528</v>
      </c>
      <c r="R1191" s="1">
        <f>Table1[[#This Row],[total sulfur dioxide]]-Table1[[#This Row],[free sulfur dioxide]]</f>
        <v>14</v>
      </c>
      <c r="S1191" s="1" t="str">
        <f>IF(AND(Table1[[#This Row],[pH]]&gt;=3.2,Table1[[#This Row],[alcohol]]&gt;=10),"White wine","Red wine")</f>
        <v>Red wine</v>
      </c>
    </row>
    <row r="1192" spans="1:19" x14ac:dyDescent="0.3">
      <c r="A1192" s="13">
        <v>1191</v>
      </c>
      <c r="B1192" s="1">
        <v>9.1</v>
      </c>
      <c r="C1192" s="1">
        <v>0.4</v>
      </c>
      <c r="D1192" s="1">
        <v>0.56999999999999995</v>
      </c>
      <c r="E1192" s="1">
        <v>4.5999999999999996</v>
      </c>
      <c r="F1192" s="1">
        <v>0.08</v>
      </c>
      <c r="G1192" s="1">
        <v>6</v>
      </c>
      <c r="H1192" s="1">
        <v>20</v>
      </c>
      <c r="I1192" s="1">
        <v>0.99651999999999996</v>
      </c>
      <c r="J1192" s="1">
        <v>3.28</v>
      </c>
      <c r="K1192" s="1">
        <v>0.56999999999999995</v>
      </c>
      <c r="L1192" s="1">
        <v>12.5</v>
      </c>
      <c r="M1192" s="2">
        <v>6</v>
      </c>
      <c r="N1192" s="2" t="str" cm="1">
        <f t="array" ref="N1192">_xlfn.IFS(Table1[[#This Row],[quality]]&lt;=4,"Low",Table1[[#This Row],[quality]]&lt;=6,"Medium",Table1[[#This Row],[quality]]&gt;=7,"High")</f>
        <v>Medium</v>
      </c>
      <c r="O1192" s="2" t="str">
        <f>IF(AND(Table1[[#This Row],[fixed acidity]]&gt;Sheet1!$C$4,Table1[[#This Row],[pH]]&lt;Sheet1!$K$4),"High","Normal")</f>
        <v>High</v>
      </c>
      <c r="P1192" s="1">
        <f>(Table1[[#This Row],[alcohol]]*2)+(Table1[[#This Row],[sulphates]]*1.5)-(Table1[[#This Row],[volatile acidity]]*2)</f>
        <v>25.055</v>
      </c>
      <c r="Q1192" s="1">
        <f>RANK(Table1[[#This Row],[Quality_score_index]],Table1[Quality_score_index],0)</f>
        <v>90</v>
      </c>
      <c r="R1192" s="1">
        <f>Table1[[#This Row],[total sulfur dioxide]]-Table1[[#This Row],[free sulfur dioxide]]</f>
        <v>14</v>
      </c>
      <c r="S1192" s="1" t="str">
        <f>IF(AND(Table1[[#This Row],[pH]]&gt;=3.2,Table1[[#This Row],[alcohol]]&gt;=10),"White wine","Red wine")</f>
        <v>White wine</v>
      </c>
    </row>
    <row r="1193" spans="1:19" x14ac:dyDescent="0.3">
      <c r="A1193" s="13">
        <v>1192</v>
      </c>
      <c r="B1193" s="1">
        <v>6.5</v>
      </c>
      <c r="C1193" s="1">
        <v>0.88500000000000001</v>
      </c>
      <c r="D1193" s="1">
        <v>0</v>
      </c>
      <c r="E1193" s="1">
        <v>2.2999999999999998</v>
      </c>
      <c r="F1193" s="1">
        <v>0.16600000000000001</v>
      </c>
      <c r="G1193" s="1">
        <v>6</v>
      </c>
      <c r="H1193" s="1">
        <v>12</v>
      </c>
      <c r="I1193" s="1">
        <v>0.99551000000000001</v>
      </c>
      <c r="J1193" s="1">
        <v>3.56</v>
      </c>
      <c r="K1193" s="1">
        <v>0.51</v>
      </c>
      <c r="L1193" s="1">
        <v>10.8</v>
      </c>
      <c r="M1193" s="2">
        <v>5</v>
      </c>
      <c r="N1193" s="2" t="str" cm="1">
        <f t="array" ref="N1193">_xlfn.IFS(Table1[[#This Row],[quality]]&lt;=4,"Low",Table1[[#This Row],[quality]]&lt;=6,"Medium",Table1[[#This Row],[quality]]&gt;=7,"High")</f>
        <v>Medium</v>
      </c>
      <c r="O1193" s="2" t="str">
        <f>IF(AND(Table1[[#This Row],[fixed acidity]]&gt;Sheet1!$C$4,Table1[[#This Row],[pH]]&lt;Sheet1!$K$4),"High","Normal")</f>
        <v>Normal</v>
      </c>
      <c r="P1193" s="1">
        <f>(Table1[[#This Row],[alcohol]]*2)+(Table1[[#This Row],[sulphates]]*1.5)-(Table1[[#This Row],[volatile acidity]]*2)</f>
        <v>20.595000000000002</v>
      </c>
      <c r="Q1193" s="1">
        <f>RANK(Table1[[#This Row],[Quality_score_index]],Table1[Quality_score_index],0)</f>
        <v>739</v>
      </c>
      <c r="R1193" s="1">
        <f>Table1[[#This Row],[total sulfur dioxide]]-Table1[[#This Row],[free sulfur dioxide]]</f>
        <v>6</v>
      </c>
      <c r="S1193" s="1" t="str">
        <f>IF(AND(Table1[[#This Row],[pH]]&gt;=3.2,Table1[[#This Row],[alcohol]]&gt;=10),"White wine","Red wine")</f>
        <v>White wine</v>
      </c>
    </row>
    <row r="1194" spans="1:19" x14ac:dyDescent="0.3">
      <c r="A1194" s="13">
        <v>1193</v>
      </c>
      <c r="B1194" s="1">
        <v>7.2</v>
      </c>
      <c r="C1194" s="1">
        <v>0.25</v>
      </c>
      <c r="D1194" s="1">
        <v>0.37</v>
      </c>
      <c r="E1194" s="1">
        <v>2.5</v>
      </c>
      <c r="F1194" s="1">
        <v>6.3E-2</v>
      </c>
      <c r="G1194" s="1">
        <v>11</v>
      </c>
      <c r="H1194" s="1">
        <v>41</v>
      </c>
      <c r="I1194" s="1">
        <v>0.99439</v>
      </c>
      <c r="J1194" s="1">
        <v>3.52</v>
      </c>
      <c r="K1194" s="1">
        <v>0.8</v>
      </c>
      <c r="L1194" s="1">
        <v>12.4</v>
      </c>
      <c r="M1194" s="2">
        <v>7</v>
      </c>
      <c r="N1194" s="2" t="str" cm="1">
        <f t="array" ref="N1194">_xlfn.IFS(Table1[[#This Row],[quality]]&lt;=4,"Low",Table1[[#This Row],[quality]]&lt;=6,"Medium",Table1[[#This Row],[quality]]&gt;=7,"High")</f>
        <v>High</v>
      </c>
      <c r="O1194" s="2" t="str">
        <f>IF(AND(Table1[[#This Row],[fixed acidity]]&gt;Sheet1!$C$4,Table1[[#This Row],[pH]]&lt;Sheet1!$K$4),"High","Normal")</f>
        <v>Normal</v>
      </c>
      <c r="P1194" s="1">
        <f>(Table1[[#This Row],[alcohol]]*2)+(Table1[[#This Row],[sulphates]]*1.5)-(Table1[[#This Row],[volatile acidity]]*2)</f>
        <v>25.5</v>
      </c>
      <c r="Q1194" s="1">
        <f>RANK(Table1[[#This Row],[Quality_score_index]],Table1[Quality_score_index],0)</f>
        <v>53</v>
      </c>
      <c r="R1194" s="1">
        <f>Table1[[#This Row],[total sulfur dioxide]]-Table1[[#This Row],[free sulfur dioxide]]</f>
        <v>30</v>
      </c>
      <c r="S1194" s="1" t="str">
        <f>IF(AND(Table1[[#This Row],[pH]]&gt;=3.2,Table1[[#This Row],[alcohol]]&gt;=10),"White wine","Red wine")</f>
        <v>White wine</v>
      </c>
    </row>
    <row r="1195" spans="1:19" x14ac:dyDescent="0.3">
      <c r="A1195" s="13">
        <v>1194</v>
      </c>
      <c r="B1195" s="1">
        <v>6.4</v>
      </c>
      <c r="C1195" s="1">
        <v>0.88500000000000001</v>
      </c>
      <c r="D1195" s="1">
        <v>0</v>
      </c>
      <c r="E1195" s="1">
        <v>2.2999999999999998</v>
      </c>
      <c r="F1195" s="1">
        <v>0.16600000000000001</v>
      </c>
      <c r="G1195" s="1">
        <v>6</v>
      </c>
      <c r="H1195" s="1">
        <v>12</v>
      </c>
      <c r="I1195" s="1">
        <v>0.99551000000000001</v>
      </c>
      <c r="J1195" s="1">
        <v>3.56</v>
      </c>
      <c r="K1195" s="1">
        <v>0.51</v>
      </c>
      <c r="L1195" s="1">
        <v>10.8</v>
      </c>
      <c r="M1195" s="2">
        <v>5</v>
      </c>
      <c r="N1195" s="2" t="str" cm="1">
        <f t="array" ref="N1195">_xlfn.IFS(Table1[[#This Row],[quality]]&lt;=4,"Low",Table1[[#This Row],[quality]]&lt;=6,"Medium",Table1[[#This Row],[quality]]&gt;=7,"High")</f>
        <v>Medium</v>
      </c>
      <c r="O1195" s="2" t="str">
        <f>IF(AND(Table1[[#This Row],[fixed acidity]]&gt;Sheet1!$C$4,Table1[[#This Row],[pH]]&lt;Sheet1!$K$4),"High","Normal")</f>
        <v>Normal</v>
      </c>
      <c r="P1195" s="1">
        <f>(Table1[[#This Row],[alcohol]]*2)+(Table1[[#This Row],[sulphates]]*1.5)-(Table1[[#This Row],[volatile acidity]]*2)</f>
        <v>20.595000000000002</v>
      </c>
      <c r="Q1195" s="1">
        <f>RANK(Table1[[#This Row],[Quality_score_index]],Table1[Quality_score_index],0)</f>
        <v>739</v>
      </c>
      <c r="R1195" s="1">
        <f>Table1[[#This Row],[total sulfur dioxide]]-Table1[[#This Row],[free sulfur dioxide]]</f>
        <v>6</v>
      </c>
      <c r="S1195" s="1" t="str">
        <f>IF(AND(Table1[[#This Row],[pH]]&gt;=3.2,Table1[[#This Row],[alcohol]]&gt;=10),"White wine","Red wine")</f>
        <v>White wine</v>
      </c>
    </row>
    <row r="1196" spans="1:19" x14ac:dyDescent="0.3">
      <c r="A1196" s="13">
        <v>1195</v>
      </c>
      <c r="B1196" s="1">
        <v>7</v>
      </c>
      <c r="C1196" s="1">
        <v>0.745</v>
      </c>
      <c r="D1196" s="1">
        <v>0.12</v>
      </c>
      <c r="E1196" s="1">
        <v>1.8</v>
      </c>
      <c r="F1196" s="1">
        <v>0.114</v>
      </c>
      <c r="G1196" s="1">
        <v>15</v>
      </c>
      <c r="H1196" s="1">
        <v>64</v>
      </c>
      <c r="I1196" s="1">
        <v>0.99587999999999999</v>
      </c>
      <c r="J1196" s="1">
        <v>3.22</v>
      </c>
      <c r="K1196" s="1">
        <v>0.59</v>
      </c>
      <c r="L1196" s="1">
        <v>9.5</v>
      </c>
      <c r="M1196" s="2">
        <v>6</v>
      </c>
      <c r="N1196" s="2" t="str" cm="1">
        <f t="array" ref="N1196">_xlfn.IFS(Table1[[#This Row],[quality]]&lt;=4,"Low",Table1[[#This Row],[quality]]&lt;=6,"Medium",Table1[[#This Row],[quality]]&gt;=7,"High")</f>
        <v>Medium</v>
      </c>
      <c r="O1196" s="2" t="str">
        <f>IF(AND(Table1[[#This Row],[fixed acidity]]&gt;Sheet1!$C$4,Table1[[#This Row],[pH]]&lt;Sheet1!$K$4),"High","Normal")</f>
        <v>Normal</v>
      </c>
      <c r="P1196" s="1">
        <f>(Table1[[#This Row],[alcohol]]*2)+(Table1[[#This Row],[sulphates]]*1.5)-(Table1[[#This Row],[volatile acidity]]*2)</f>
        <v>18.395000000000003</v>
      </c>
      <c r="Q1196" s="1">
        <f>RANK(Table1[[#This Row],[Quality_score_index]],Table1[Quality_score_index],0)</f>
        <v>1416</v>
      </c>
      <c r="R1196" s="1">
        <f>Table1[[#This Row],[total sulfur dioxide]]-Table1[[#This Row],[free sulfur dioxide]]</f>
        <v>49</v>
      </c>
      <c r="S1196" s="1" t="str">
        <f>IF(AND(Table1[[#This Row],[pH]]&gt;=3.2,Table1[[#This Row],[alcohol]]&gt;=10),"White wine","Red wine")</f>
        <v>Red wine</v>
      </c>
    </row>
    <row r="1197" spans="1:19" x14ac:dyDescent="0.3">
      <c r="A1197" s="13">
        <v>1196</v>
      </c>
      <c r="B1197" s="1">
        <v>6.2</v>
      </c>
      <c r="C1197" s="1">
        <v>0.43</v>
      </c>
      <c r="D1197" s="1">
        <v>0.22</v>
      </c>
      <c r="E1197" s="1">
        <v>1.8</v>
      </c>
      <c r="F1197" s="1">
        <v>7.8E-2</v>
      </c>
      <c r="G1197" s="1">
        <v>21</v>
      </c>
      <c r="H1197" s="1">
        <v>56</v>
      </c>
      <c r="I1197" s="1">
        <v>0.99633000000000005</v>
      </c>
      <c r="J1197" s="1">
        <v>3.52</v>
      </c>
      <c r="K1197" s="1">
        <v>0.6</v>
      </c>
      <c r="L1197" s="1">
        <v>9.5</v>
      </c>
      <c r="M1197" s="2">
        <v>6</v>
      </c>
      <c r="N1197" s="2" t="str" cm="1">
        <f t="array" ref="N1197">_xlfn.IFS(Table1[[#This Row],[quality]]&lt;=4,"Low",Table1[[#This Row],[quality]]&lt;=6,"Medium",Table1[[#This Row],[quality]]&gt;=7,"High")</f>
        <v>Medium</v>
      </c>
      <c r="O1197" s="2" t="str">
        <f>IF(AND(Table1[[#This Row],[fixed acidity]]&gt;Sheet1!$C$4,Table1[[#This Row],[pH]]&lt;Sheet1!$K$4),"High","Normal")</f>
        <v>Normal</v>
      </c>
      <c r="P1197" s="1">
        <f>(Table1[[#This Row],[alcohol]]*2)+(Table1[[#This Row],[sulphates]]*1.5)-(Table1[[#This Row],[volatile acidity]]*2)</f>
        <v>19.04</v>
      </c>
      <c r="Q1197" s="1">
        <f>RANK(Table1[[#This Row],[Quality_score_index]],Table1[Quality_score_index],0)</f>
        <v>1150</v>
      </c>
      <c r="R1197" s="1">
        <f>Table1[[#This Row],[total sulfur dioxide]]-Table1[[#This Row],[free sulfur dioxide]]</f>
        <v>35</v>
      </c>
      <c r="S1197" s="1" t="str">
        <f>IF(AND(Table1[[#This Row],[pH]]&gt;=3.2,Table1[[#This Row],[alcohol]]&gt;=10),"White wine","Red wine")</f>
        <v>Red wine</v>
      </c>
    </row>
    <row r="1198" spans="1:19" x14ac:dyDescent="0.3">
      <c r="A1198" s="13">
        <v>1197</v>
      </c>
      <c r="B1198" s="1">
        <v>7.9</v>
      </c>
      <c r="C1198" s="1">
        <v>0.57999999999999996</v>
      </c>
      <c r="D1198" s="1">
        <v>0.23</v>
      </c>
      <c r="E1198" s="1">
        <v>2.2999999999999998</v>
      </c>
      <c r="F1198" s="1">
        <v>7.5999999999999998E-2</v>
      </c>
      <c r="G1198" s="1">
        <v>23</v>
      </c>
      <c r="H1198" s="1">
        <v>94</v>
      </c>
      <c r="I1198" s="1">
        <v>0.99685999999999997</v>
      </c>
      <c r="J1198" s="1">
        <v>3.21</v>
      </c>
      <c r="K1198" s="1">
        <v>0.57999999999999996</v>
      </c>
      <c r="L1198" s="1">
        <v>9.5</v>
      </c>
      <c r="M1198" s="2">
        <v>6</v>
      </c>
      <c r="N1198" s="2" t="str" cm="1">
        <f t="array" ref="N1198">_xlfn.IFS(Table1[[#This Row],[quality]]&lt;=4,"Low",Table1[[#This Row],[quality]]&lt;=6,"Medium",Table1[[#This Row],[quality]]&gt;=7,"High")</f>
        <v>Medium</v>
      </c>
      <c r="O1198" s="2" t="str">
        <f>IF(AND(Table1[[#This Row],[fixed acidity]]&gt;Sheet1!$C$4,Table1[[#This Row],[pH]]&lt;Sheet1!$K$4),"High","Normal")</f>
        <v>Normal</v>
      </c>
      <c r="P1198" s="1">
        <f>(Table1[[#This Row],[alcohol]]*2)+(Table1[[#This Row],[sulphates]]*1.5)-(Table1[[#This Row],[volatile acidity]]*2)</f>
        <v>18.71</v>
      </c>
      <c r="Q1198" s="1">
        <f>RANK(Table1[[#This Row],[Quality_score_index]],Table1[Quality_score_index],0)</f>
        <v>1283</v>
      </c>
      <c r="R1198" s="1">
        <f>Table1[[#This Row],[total sulfur dioxide]]-Table1[[#This Row],[free sulfur dioxide]]</f>
        <v>71</v>
      </c>
      <c r="S1198" s="1" t="str">
        <f>IF(AND(Table1[[#This Row],[pH]]&gt;=3.2,Table1[[#This Row],[alcohol]]&gt;=10),"White wine","Red wine")</f>
        <v>Red wine</v>
      </c>
    </row>
    <row r="1199" spans="1:19" x14ac:dyDescent="0.3">
      <c r="A1199" s="13">
        <v>1198</v>
      </c>
      <c r="B1199" s="1">
        <v>7.7</v>
      </c>
      <c r="C1199" s="1">
        <v>0.56999999999999995</v>
      </c>
      <c r="D1199" s="1">
        <v>0.21</v>
      </c>
      <c r="E1199" s="1">
        <v>1.5</v>
      </c>
      <c r="F1199" s="1">
        <v>6.9000000000000006E-2</v>
      </c>
      <c r="G1199" s="1">
        <v>4</v>
      </c>
      <c r="H1199" s="1">
        <v>9</v>
      </c>
      <c r="I1199" s="1">
        <v>0.99458000000000002</v>
      </c>
      <c r="J1199" s="1">
        <v>3.16</v>
      </c>
      <c r="K1199" s="1">
        <v>0.54</v>
      </c>
      <c r="L1199" s="1">
        <v>9.8000000000000007</v>
      </c>
      <c r="M1199" s="2">
        <v>6</v>
      </c>
      <c r="N1199" s="2" t="str" cm="1">
        <f t="array" ref="N1199">_xlfn.IFS(Table1[[#This Row],[quality]]&lt;=4,"Low",Table1[[#This Row],[quality]]&lt;=6,"Medium",Table1[[#This Row],[quality]]&gt;=7,"High")</f>
        <v>Medium</v>
      </c>
      <c r="O1199" s="2" t="str">
        <f>IF(AND(Table1[[#This Row],[fixed acidity]]&gt;Sheet1!$C$4,Table1[[#This Row],[pH]]&lt;Sheet1!$K$4),"High","Normal")</f>
        <v>Normal</v>
      </c>
      <c r="P1199" s="1">
        <f>(Table1[[#This Row],[alcohol]]*2)+(Table1[[#This Row],[sulphates]]*1.5)-(Table1[[#This Row],[volatile acidity]]*2)</f>
        <v>19.27</v>
      </c>
      <c r="Q1199" s="1">
        <f>RANK(Table1[[#This Row],[Quality_score_index]],Table1[Quality_score_index],0)</f>
        <v>1053</v>
      </c>
      <c r="R1199" s="1">
        <f>Table1[[#This Row],[total sulfur dioxide]]-Table1[[#This Row],[free sulfur dioxide]]</f>
        <v>5</v>
      </c>
      <c r="S1199" s="1" t="str">
        <f>IF(AND(Table1[[#This Row],[pH]]&gt;=3.2,Table1[[#This Row],[alcohol]]&gt;=10),"White wine","Red wine")</f>
        <v>Red wine</v>
      </c>
    </row>
    <row r="1200" spans="1:19" x14ac:dyDescent="0.3">
      <c r="A1200" s="13">
        <v>1199</v>
      </c>
      <c r="B1200" s="1">
        <v>7.7</v>
      </c>
      <c r="C1200" s="1">
        <v>0.26</v>
      </c>
      <c r="D1200" s="1">
        <v>0.26</v>
      </c>
      <c r="E1200" s="1">
        <v>2</v>
      </c>
      <c r="F1200" s="1">
        <v>5.1999999999999998E-2</v>
      </c>
      <c r="G1200" s="1">
        <v>19</v>
      </c>
      <c r="H1200" s="1">
        <v>77</v>
      </c>
      <c r="I1200" s="1">
        <v>0.99509999999999998</v>
      </c>
      <c r="J1200" s="1">
        <v>3.15</v>
      </c>
      <c r="K1200" s="1">
        <v>0.79</v>
      </c>
      <c r="L1200" s="1">
        <v>10.9</v>
      </c>
      <c r="M1200" s="2">
        <v>6</v>
      </c>
      <c r="N1200" s="2" t="str" cm="1">
        <f t="array" ref="N1200">_xlfn.IFS(Table1[[#This Row],[quality]]&lt;=4,"Low",Table1[[#This Row],[quality]]&lt;=6,"Medium",Table1[[#This Row],[quality]]&gt;=7,"High")</f>
        <v>Medium</v>
      </c>
      <c r="O1200" s="2" t="str">
        <f>IF(AND(Table1[[#This Row],[fixed acidity]]&gt;Sheet1!$C$4,Table1[[#This Row],[pH]]&lt;Sheet1!$K$4),"High","Normal")</f>
        <v>Normal</v>
      </c>
      <c r="P1200" s="1">
        <f>(Table1[[#This Row],[alcohol]]*2)+(Table1[[#This Row],[sulphates]]*1.5)-(Table1[[#This Row],[volatile acidity]]*2)</f>
        <v>22.465</v>
      </c>
      <c r="Q1200" s="1">
        <f>RANK(Table1[[#This Row],[Quality_score_index]],Table1[Quality_score_index],0)</f>
        <v>373</v>
      </c>
      <c r="R1200" s="1">
        <f>Table1[[#This Row],[total sulfur dioxide]]-Table1[[#This Row],[free sulfur dioxide]]</f>
        <v>58</v>
      </c>
      <c r="S1200" s="1" t="str">
        <f>IF(AND(Table1[[#This Row],[pH]]&gt;=3.2,Table1[[#This Row],[alcohol]]&gt;=10),"White wine","Red wine")</f>
        <v>Red wine</v>
      </c>
    </row>
    <row r="1201" spans="1:19" x14ac:dyDescent="0.3">
      <c r="A1201" s="13">
        <v>1200</v>
      </c>
      <c r="B1201" s="1">
        <v>7.9</v>
      </c>
      <c r="C1201" s="1">
        <v>0.57999999999999996</v>
      </c>
      <c r="D1201" s="1">
        <v>0.23</v>
      </c>
      <c r="E1201" s="1">
        <v>2.2999999999999998</v>
      </c>
      <c r="F1201" s="1">
        <v>7.5999999999999998E-2</v>
      </c>
      <c r="G1201" s="1">
        <v>23</v>
      </c>
      <c r="H1201" s="1">
        <v>94</v>
      </c>
      <c r="I1201" s="1">
        <v>0.99685999999999997</v>
      </c>
      <c r="J1201" s="1">
        <v>3.21</v>
      </c>
      <c r="K1201" s="1">
        <v>0.57999999999999996</v>
      </c>
      <c r="L1201" s="1">
        <v>9.5</v>
      </c>
      <c r="M1201" s="2">
        <v>6</v>
      </c>
      <c r="N1201" s="2" t="str" cm="1">
        <f t="array" ref="N1201">_xlfn.IFS(Table1[[#This Row],[quality]]&lt;=4,"Low",Table1[[#This Row],[quality]]&lt;=6,"Medium",Table1[[#This Row],[quality]]&gt;=7,"High")</f>
        <v>Medium</v>
      </c>
      <c r="O1201" s="2" t="str">
        <f>IF(AND(Table1[[#This Row],[fixed acidity]]&gt;Sheet1!$C$4,Table1[[#This Row],[pH]]&lt;Sheet1!$K$4),"High","Normal")</f>
        <v>Normal</v>
      </c>
      <c r="P1201" s="1">
        <f>(Table1[[#This Row],[alcohol]]*2)+(Table1[[#This Row],[sulphates]]*1.5)-(Table1[[#This Row],[volatile acidity]]*2)</f>
        <v>18.71</v>
      </c>
      <c r="Q1201" s="1">
        <f>RANK(Table1[[#This Row],[Quality_score_index]],Table1[Quality_score_index],0)</f>
        <v>1283</v>
      </c>
      <c r="R1201" s="1">
        <f>Table1[[#This Row],[total sulfur dioxide]]-Table1[[#This Row],[free sulfur dioxide]]</f>
        <v>71</v>
      </c>
      <c r="S1201" s="1" t="str">
        <f>IF(AND(Table1[[#This Row],[pH]]&gt;=3.2,Table1[[#This Row],[alcohol]]&gt;=10),"White wine","Red wine")</f>
        <v>Red wine</v>
      </c>
    </row>
    <row r="1202" spans="1:19" x14ac:dyDescent="0.3">
      <c r="A1202" s="13">
        <v>1201</v>
      </c>
      <c r="B1202" s="1">
        <v>7.7</v>
      </c>
      <c r="C1202" s="1">
        <v>0.56999999999999995</v>
      </c>
      <c r="D1202" s="1">
        <v>0.21</v>
      </c>
      <c r="E1202" s="1">
        <v>1.5</v>
      </c>
      <c r="F1202" s="1">
        <v>6.9000000000000006E-2</v>
      </c>
      <c r="G1202" s="1">
        <v>4</v>
      </c>
      <c r="H1202" s="1">
        <v>9</v>
      </c>
      <c r="I1202" s="1">
        <v>0.99458000000000002</v>
      </c>
      <c r="J1202" s="1">
        <v>3.16</v>
      </c>
      <c r="K1202" s="1">
        <v>0.54</v>
      </c>
      <c r="L1202" s="1">
        <v>9.8000000000000007</v>
      </c>
      <c r="M1202" s="2">
        <v>6</v>
      </c>
      <c r="N1202" s="2" t="str" cm="1">
        <f t="array" ref="N1202">_xlfn.IFS(Table1[[#This Row],[quality]]&lt;=4,"Low",Table1[[#This Row],[quality]]&lt;=6,"Medium",Table1[[#This Row],[quality]]&gt;=7,"High")</f>
        <v>Medium</v>
      </c>
      <c r="O1202" s="2" t="str">
        <f>IF(AND(Table1[[#This Row],[fixed acidity]]&gt;Sheet1!$C$4,Table1[[#This Row],[pH]]&lt;Sheet1!$K$4),"High","Normal")</f>
        <v>Normal</v>
      </c>
      <c r="P1202" s="1">
        <f>(Table1[[#This Row],[alcohol]]*2)+(Table1[[#This Row],[sulphates]]*1.5)-(Table1[[#This Row],[volatile acidity]]*2)</f>
        <v>19.27</v>
      </c>
      <c r="Q1202" s="1">
        <f>RANK(Table1[[#This Row],[Quality_score_index]],Table1[Quality_score_index],0)</f>
        <v>1053</v>
      </c>
      <c r="R1202" s="1">
        <f>Table1[[#This Row],[total sulfur dioxide]]-Table1[[#This Row],[free sulfur dioxide]]</f>
        <v>5</v>
      </c>
      <c r="S1202" s="1" t="str">
        <f>IF(AND(Table1[[#This Row],[pH]]&gt;=3.2,Table1[[#This Row],[alcohol]]&gt;=10),"White wine","Red wine")</f>
        <v>Red wine</v>
      </c>
    </row>
    <row r="1203" spans="1:19" x14ac:dyDescent="0.3">
      <c r="A1203" s="13">
        <v>1202</v>
      </c>
      <c r="B1203" s="1">
        <v>7.9</v>
      </c>
      <c r="C1203" s="1">
        <v>0.34</v>
      </c>
      <c r="D1203" s="1">
        <v>0.36</v>
      </c>
      <c r="E1203" s="1">
        <v>1.9</v>
      </c>
      <c r="F1203" s="1">
        <v>6.5000000000000002E-2</v>
      </c>
      <c r="G1203" s="1">
        <v>5</v>
      </c>
      <c r="H1203" s="1">
        <v>10</v>
      </c>
      <c r="I1203" s="1">
        <v>0.99419000000000002</v>
      </c>
      <c r="J1203" s="1">
        <v>3.27</v>
      </c>
      <c r="K1203" s="1">
        <v>0.54</v>
      </c>
      <c r="L1203" s="1">
        <v>11.2</v>
      </c>
      <c r="M1203" s="2">
        <v>7</v>
      </c>
      <c r="N1203" s="2" t="str" cm="1">
        <f t="array" ref="N1203">_xlfn.IFS(Table1[[#This Row],[quality]]&lt;=4,"Low",Table1[[#This Row],[quality]]&lt;=6,"Medium",Table1[[#This Row],[quality]]&gt;=7,"High")</f>
        <v>High</v>
      </c>
      <c r="O1203" s="2" t="str">
        <f>IF(AND(Table1[[#This Row],[fixed acidity]]&gt;Sheet1!$C$4,Table1[[#This Row],[pH]]&lt;Sheet1!$K$4),"High","Normal")</f>
        <v>Normal</v>
      </c>
      <c r="P1203" s="1">
        <f>(Table1[[#This Row],[alcohol]]*2)+(Table1[[#This Row],[sulphates]]*1.5)-(Table1[[#This Row],[volatile acidity]]*2)</f>
        <v>22.529999999999998</v>
      </c>
      <c r="Q1203" s="1">
        <f>RANK(Table1[[#This Row],[Quality_score_index]],Table1[Quality_score_index],0)</f>
        <v>359</v>
      </c>
      <c r="R1203" s="1">
        <f>Table1[[#This Row],[total sulfur dioxide]]-Table1[[#This Row],[free sulfur dioxide]]</f>
        <v>5</v>
      </c>
      <c r="S1203" s="1" t="str">
        <f>IF(AND(Table1[[#This Row],[pH]]&gt;=3.2,Table1[[#This Row],[alcohol]]&gt;=10),"White wine","Red wine")</f>
        <v>White wine</v>
      </c>
    </row>
    <row r="1204" spans="1:19" x14ac:dyDescent="0.3">
      <c r="A1204" s="13">
        <v>1203</v>
      </c>
      <c r="B1204" s="1">
        <v>8.6</v>
      </c>
      <c r="C1204" s="1">
        <v>0.42</v>
      </c>
      <c r="D1204" s="1">
        <v>0.39</v>
      </c>
      <c r="E1204" s="1">
        <v>1.8</v>
      </c>
      <c r="F1204" s="1">
        <v>6.8000000000000005E-2</v>
      </c>
      <c r="G1204" s="1">
        <v>6</v>
      </c>
      <c r="H1204" s="1">
        <v>12</v>
      </c>
      <c r="I1204" s="1">
        <v>0.99516000000000004</v>
      </c>
      <c r="J1204" s="1">
        <v>3.35</v>
      </c>
      <c r="K1204" s="1">
        <v>0.69</v>
      </c>
      <c r="L1204" s="1">
        <v>11.7</v>
      </c>
      <c r="M1204" s="2">
        <v>8</v>
      </c>
      <c r="N1204" s="2" t="str" cm="1">
        <f t="array" ref="N1204">_xlfn.IFS(Table1[[#This Row],[quality]]&lt;=4,"Low",Table1[[#This Row],[quality]]&lt;=6,"Medium",Table1[[#This Row],[quality]]&gt;=7,"High")</f>
        <v>High</v>
      </c>
      <c r="O1204" s="2" t="str">
        <f>IF(AND(Table1[[#This Row],[fixed acidity]]&gt;Sheet1!$C$4,Table1[[#This Row],[pH]]&lt;Sheet1!$K$4),"High","Normal")</f>
        <v>Normal</v>
      </c>
      <c r="P1204" s="1">
        <f>(Table1[[#This Row],[alcohol]]*2)+(Table1[[#This Row],[sulphates]]*1.5)-(Table1[[#This Row],[volatile acidity]]*2)</f>
        <v>23.594999999999999</v>
      </c>
      <c r="Q1204" s="1">
        <f>RANK(Table1[[#This Row],[Quality_score_index]],Table1[Quality_score_index],0)</f>
        <v>208</v>
      </c>
      <c r="R1204" s="1">
        <f>Table1[[#This Row],[total sulfur dioxide]]-Table1[[#This Row],[free sulfur dioxide]]</f>
        <v>6</v>
      </c>
      <c r="S1204" s="1" t="str">
        <f>IF(AND(Table1[[#This Row],[pH]]&gt;=3.2,Table1[[#This Row],[alcohol]]&gt;=10),"White wine","Red wine")</f>
        <v>White wine</v>
      </c>
    </row>
    <row r="1205" spans="1:19" x14ac:dyDescent="0.3">
      <c r="A1205" s="13">
        <v>1204</v>
      </c>
      <c r="B1205" s="1">
        <v>9.9</v>
      </c>
      <c r="C1205" s="1">
        <v>0.74</v>
      </c>
      <c r="D1205" s="1">
        <v>0.19</v>
      </c>
      <c r="E1205" s="1">
        <v>5.8</v>
      </c>
      <c r="F1205" s="1">
        <v>0.111</v>
      </c>
      <c r="G1205" s="1">
        <v>33</v>
      </c>
      <c r="H1205" s="1">
        <v>76</v>
      </c>
      <c r="I1205" s="1">
        <v>0.99878</v>
      </c>
      <c r="J1205" s="1">
        <v>3.14</v>
      </c>
      <c r="K1205" s="1">
        <v>0.55000000000000004</v>
      </c>
      <c r="L1205" s="1">
        <v>9.4</v>
      </c>
      <c r="M1205" s="2">
        <v>5</v>
      </c>
      <c r="N1205" s="2" t="str" cm="1">
        <f t="array" ref="N1205">_xlfn.IFS(Table1[[#This Row],[quality]]&lt;=4,"Low",Table1[[#This Row],[quality]]&lt;=6,"Medium",Table1[[#This Row],[quality]]&gt;=7,"High")</f>
        <v>Medium</v>
      </c>
      <c r="O1205" s="2" t="str">
        <f>IF(AND(Table1[[#This Row],[fixed acidity]]&gt;Sheet1!$C$4,Table1[[#This Row],[pH]]&lt;Sheet1!$K$4),"High","Normal")</f>
        <v>High</v>
      </c>
      <c r="P1205" s="1">
        <f>(Table1[[#This Row],[alcohol]]*2)+(Table1[[#This Row],[sulphates]]*1.5)-(Table1[[#This Row],[volatile acidity]]*2)</f>
        <v>18.145</v>
      </c>
      <c r="Q1205" s="1">
        <f>RANK(Table1[[#This Row],[Quality_score_index]],Table1[Quality_score_index],0)</f>
        <v>1488</v>
      </c>
      <c r="R1205" s="1">
        <f>Table1[[#This Row],[total sulfur dioxide]]-Table1[[#This Row],[free sulfur dioxide]]</f>
        <v>43</v>
      </c>
      <c r="S1205" s="1" t="str">
        <f>IF(AND(Table1[[#This Row],[pH]]&gt;=3.2,Table1[[#This Row],[alcohol]]&gt;=10),"White wine","Red wine")</f>
        <v>Red wine</v>
      </c>
    </row>
    <row r="1206" spans="1:19" x14ac:dyDescent="0.3">
      <c r="A1206" s="13">
        <v>1205</v>
      </c>
      <c r="B1206" s="1">
        <v>7.2</v>
      </c>
      <c r="C1206" s="1">
        <v>0.36</v>
      </c>
      <c r="D1206" s="1">
        <v>0.46</v>
      </c>
      <c r="E1206" s="1">
        <v>2.1</v>
      </c>
      <c r="F1206" s="1">
        <v>7.3999999999999996E-2</v>
      </c>
      <c r="G1206" s="1">
        <v>24</v>
      </c>
      <c r="H1206" s="1">
        <v>44</v>
      </c>
      <c r="I1206" s="1">
        <v>0.99534</v>
      </c>
      <c r="J1206" s="1">
        <v>3.4</v>
      </c>
      <c r="K1206" s="1">
        <v>0.85</v>
      </c>
      <c r="L1206" s="1">
        <v>11</v>
      </c>
      <c r="M1206" s="2">
        <v>7</v>
      </c>
      <c r="N1206" s="2" t="str" cm="1">
        <f t="array" ref="N1206">_xlfn.IFS(Table1[[#This Row],[quality]]&lt;=4,"Low",Table1[[#This Row],[quality]]&lt;=6,"Medium",Table1[[#This Row],[quality]]&gt;=7,"High")</f>
        <v>High</v>
      </c>
      <c r="O1206" s="2" t="str">
        <f>IF(AND(Table1[[#This Row],[fixed acidity]]&gt;Sheet1!$C$4,Table1[[#This Row],[pH]]&lt;Sheet1!$K$4),"High","Normal")</f>
        <v>Normal</v>
      </c>
      <c r="P1206" s="1">
        <f>(Table1[[#This Row],[alcohol]]*2)+(Table1[[#This Row],[sulphates]]*1.5)-(Table1[[#This Row],[volatile acidity]]*2)</f>
        <v>22.555</v>
      </c>
      <c r="Q1206" s="1">
        <f>RANK(Table1[[#This Row],[Quality_score_index]],Table1[Quality_score_index],0)</f>
        <v>350</v>
      </c>
      <c r="R1206" s="1">
        <f>Table1[[#This Row],[total sulfur dioxide]]-Table1[[#This Row],[free sulfur dioxide]]</f>
        <v>20</v>
      </c>
      <c r="S1206" s="1" t="str">
        <f>IF(AND(Table1[[#This Row],[pH]]&gt;=3.2,Table1[[#This Row],[alcohol]]&gt;=10),"White wine","Red wine")</f>
        <v>White wine</v>
      </c>
    </row>
    <row r="1207" spans="1:19" x14ac:dyDescent="0.3">
      <c r="A1207" s="13">
        <v>1206</v>
      </c>
      <c r="B1207" s="1">
        <v>7.2</v>
      </c>
      <c r="C1207" s="1">
        <v>0.36</v>
      </c>
      <c r="D1207" s="1">
        <v>0.46</v>
      </c>
      <c r="E1207" s="1">
        <v>2.1</v>
      </c>
      <c r="F1207" s="1">
        <v>7.3999999999999996E-2</v>
      </c>
      <c r="G1207" s="1">
        <v>24</v>
      </c>
      <c r="H1207" s="1">
        <v>44</v>
      </c>
      <c r="I1207" s="1">
        <v>0.99534</v>
      </c>
      <c r="J1207" s="1">
        <v>3.4</v>
      </c>
      <c r="K1207" s="1">
        <v>0.85</v>
      </c>
      <c r="L1207" s="1">
        <v>11</v>
      </c>
      <c r="M1207" s="2">
        <v>7</v>
      </c>
      <c r="N1207" s="2" t="str" cm="1">
        <f t="array" ref="N1207">_xlfn.IFS(Table1[[#This Row],[quality]]&lt;=4,"Low",Table1[[#This Row],[quality]]&lt;=6,"Medium",Table1[[#This Row],[quality]]&gt;=7,"High")</f>
        <v>High</v>
      </c>
      <c r="O1207" s="2" t="str">
        <f>IF(AND(Table1[[#This Row],[fixed acidity]]&gt;Sheet1!$C$4,Table1[[#This Row],[pH]]&lt;Sheet1!$K$4),"High","Normal")</f>
        <v>Normal</v>
      </c>
      <c r="P1207" s="1">
        <f>(Table1[[#This Row],[alcohol]]*2)+(Table1[[#This Row],[sulphates]]*1.5)-(Table1[[#This Row],[volatile acidity]]*2)</f>
        <v>22.555</v>
      </c>
      <c r="Q1207" s="1">
        <f>RANK(Table1[[#This Row],[Quality_score_index]],Table1[Quality_score_index],0)</f>
        <v>350</v>
      </c>
      <c r="R1207" s="1">
        <f>Table1[[#This Row],[total sulfur dioxide]]-Table1[[#This Row],[free sulfur dioxide]]</f>
        <v>20</v>
      </c>
      <c r="S1207" s="1" t="str">
        <f>IF(AND(Table1[[#This Row],[pH]]&gt;=3.2,Table1[[#This Row],[alcohol]]&gt;=10),"White wine","Red wine")</f>
        <v>White wine</v>
      </c>
    </row>
    <row r="1208" spans="1:19" x14ac:dyDescent="0.3">
      <c r="A1208" s="13">
        <v>1207</v>
      </c>
      <c r="B1208" s="1">
        <v>7.2</v>
      </c>
      <c r="C1208" s="1">
        <v>0.36</v>
      </c>
      <c r="D1208" s="1">
        <v>0.46</v>
      </c>
      <c r="E1208" s="1">
        <v>2.1</v>
      </c>
      <c r="F1208" s="1">
        <v>7.3999999999999996E-2</v>
      </c>
      <c r="G1208" s="1">
        <v>24</v>
      </c>
      <c r="H1208" s="1">
        <v>44</v>
      </c>
      <c r="I1208" s="1">
        <v>0.99534</v>
      </c>
      <c r="J1208" s="1">
        <v>3.4</v>
      </c>
      <c r="K1208" s="1">
        <v>0.85</v>
      </c>
      <c r="L1208" s="1">
        <v>11</v>
      </c>
      <c r="M1208" s="2">
        <v>7</v>
      </c>
      <c r="N1208" s="2" t="str" cm="1">
        <f t="array" ref="N1208">_xlfn.IFS(Table1[[#This Row],[quality]]&lt;=4,"Low",Table1[[#This Row],[quality]]&lt;=6,"Medium",Table1[[#This Row],[quality]]&gt;=7,"High")</f>
        <v>High</v>
      </c>
      <c r="O1208" s="2" t="str">
        <f>IF(AND(Table1[[#This Row],[fixed acidity]]&gt;Sheet1!$C$4,Table1[[#This Row],[pH]]&lt;Sheet1!$K$4),"High","Normal")</f>
        <v>Normal</v>
      </c>
      <c r="P1208" s="1">
        <f>(Table1[[#This Row],[alcohol]]*2)+(Table1[[#This Row],[sulphates]]*1.5)-(Table1[[#This Row],[volatile acidity]]*2)</f>
        <v>22.555</v>
      </c>
      <c r="Q1208" s="1">
        <f>RANK(Table1[[#This Row],[Quality_score_index]],Table1[Quality_score_index],0)</f>
        <v>350</v>
      </c>
      <c r="R1208" s="1">
        <f>Table1[[#This Row],[total sulfur dioxide]]-Table1[[#This Row],[free sulfur dioxide]]</f>
        <v>20</v>
      </c>
      <c r="S1208" s="1" t="str">
        <f>IF(AND(Table1[[#This Row],[pH]]&gt;=3.2,Table1[[#This Row],[alcohol]]&gt;=10),"White wine","Red wine")</f>
        <v>White wine</v>
      </c>
    </row>
    <row r="1209" spans="1:19" x14ac:dyDescent="0.3">
      <c r="A1209" s="13">
        <v>1208</v>
      </c>
      <c r="B1209" s="1">
        <v>9.9</v>
      </c>
      <c r="C1209" s="1">
        <v>0.72</v>
      </c>
      <c r="D1209" s="1">
        <v>0.55000000000000004</v>
      </c>
      <c r="E1209" s="1">
        <v>1.7</v>
      </c>
      <c r="F1209" s="1">
        <v>0.13600000000000001</v>
      </c>
      <c r="G1209" s="1">
        <v>24</v>
      </c>
      <c r="H1209" s="1">
        <v>52</v>
      </c>
      <c r="I1209" s="1">
        <v>0.99751999999999996</v>
      </c>
      <c r="J1209" s="1">
        <v>3.35</v>
      </c>
      <c r="K1209" s="1">
        <v>0.94</v>
      </c>
      <c r="L1209" s="1">
        <v>10</v>
      </c>
      <c r="M1209" s="2">
        <v>5</v>
      </c>
      <c r="N1209" s="2" t="str" cm="1">
        <f t="array" ref="N1209">_xlfn.IFS(Table1[[#This Row],[quality]]&lt;=4,"Low",Table1[[#This Row],[quality]]&lt;=6,"Medium",Table1[[#This Row],[quality]]&gt;=7,"High")</f>
        <v>Medium</v>
      </c>
      <c r="O1209" s="2" t="str">
        <f>IF(AND(Table1[[#This Row],[fixed acidity]]&gt;Sheet1!$C$4,Table1[[#This Row],[pH]]&lt;Sheet1!$K$4),"High","Normal")</f>
        <v>Normal</v>
      </c>
      <c r="P1209" s="1">
        <f>(Table1[[#This Row],[alcohol]]*2)+(Table1[[#This Row],[sulphates]]*1.5)-(Table1[[#This Row],[volatile acidity]]*2)</f>
        <v>19.97</v>
      </c>
      <c r="Q1209" s="1">
        <f>RANK(Table1[[#This Row],[Quality_score_index]],Table1[Quality_score_index],0)</f>
        <v>860</v>
      </c>
      <c r="R1209" s="1">
        <f>Table1[[#This Row],[total sulfur dioxide]]-Table1[[#This Row],[free sulfur dioxide]]</f>
        <v>28</v>
      </c>
      <c r="S1209" s="1" t="str">
        <f>IF(AND(Table1[[#This Row],[pH]]&gt;=3.2,Table1[[#This Row],[alcohol]]&gt;=10),"White wine","Red wine")</f>
        <v>White wine</v>
      </c>
    </row>
    <row r="1210" spans="1:19" x14ac:dyDescent="0.3">
      <c r="A1210" s="13">
        <v>1209</v>
      </c>
      <c r="B1210" s="1">
        <v>7.2</v>
      </c>
      <c r="C1210" s="1">
        <v>0.36</v>
      </c>
      <c r="D1210" s="1">
        <v>0.46</v>
      </c>
      <c r="E1210" s="1">
        <v>2.1</v>
      </c>
      <c r="F1210" s="1">
        <v>7.3999999999999996E-2</v>
      </c>
      <c r="G1210" s="1">
        <v>24</v>
      </c>
      <c r="H1210" s="1">
        <v>44</v>
      </c>
      <c r="I1210" s="1">
        <v>0.99534</v>
      </c>
      <c r="J1210" s="1">
        <v>3.4</v>
      </c>
      <c r="K1210" s="1">
        <v>0.85</v>
      </c>
      <c r="L1210" s="1">
        <v>11</v>
      </c>
      <c r="M1210" s="2">
        <v>7</v>
      </c>
      <c r="N1210" s="2" t="str" cm="1">
        <f t="array" ref="N1210">_xlfn.IFS(Table1[[#This Row],[quality]]&lt;=4,"Low",Table1[[#This Row],[quality]]&lt;=6,"Medium",Table1[[#This Row],[quality]]&gt;=7,"High")</f>
        <v>High</v>
      </c>
      <c r="O1210" s="2" t="str">
        <f>IF(AND(Table1[[#This Row],[fixed acidity]]&gt;Sheet1!$C$4,Table1[[#This Row],[pH]]&lt;Sheet1!$K$4),"High","Normal")</f>
        <v>Normal</v>
      </c>
      <c r="P1210" s="1">
        <f>(Table1[[#This Row],[alcohol]]*2)+(Table1[[#This Row],[sulphates]]*1.5)-(Table1[[#This Row],[volatile acidity]]*2)</f>
        <v>22.555</v>
      </c>
      <c r="Q1210" s="1">
        <f>RANK(Table1[[#This Row],[Quality_score_index]],Table1[Quality_score_index],0)</f>
        <v>350</v>
      </c>
      <c r="R1210" s="1">
        <f>Table1[[#This Row],[total sulfur dioxide]]-Table1[[#This Row],[free sulfur dioxide]]</f>
        <v>20</v>
      </c>
      <c r="S1210" s="1" t="str">
        <f>IF(AND(Table1[[#This Row],[pH]]&gt;=3.2,Table1[[#This Row],[alcohol]]&gt;=10),"White wine","Red wine")</f>
        <v>White wine</v>
      </c>
    </row>
    <row r="1211" spans="1:19" x14ac:dyDescent="0.3">
      <c r="A1211" s="13">
        <v>1210</v>
      </c>
      <c r="B1211" s="1">
        <v>6.2</v>
      </c>
      <c r="C1211" s="1">
        <v>0.39</v>
      </c>
      <c r="D1211" s="1">
        <v>0.43</v>
      </c>
      <c r="E1211" s="1">
        <v>2</v>
      </c>
      <c r="F1211" s="1">
        <v>7.0999999999999994E-2</v>
      </c>
      <c r="G1211" s="1">
        <v>14</v>
      </c>
      <c r="H1211" s="1">
        <v>24</v>
      </c>
      <c r="I1211" s="1">
        <v>0.99428000000000005</v>
      </c>
      <c r="J1211" s="1">
        <v>3.45</v>
      </c>
      <c r="K1211" s="1">
        <v>0.87</v>
      </c>
      <c r="L1211" s="1">
        <v>11.2</v>
      </c>
      <c r="M1211" s="2">
        <v>7</v>
      </c>
      <c r="N1211" s="2" t="str" cm="1">
        <f t="array" ref="N1211">_xlfn.IFS(Table1[[#This Row],[quality]]&lt;=4,"Low",Table1[[#This Row],[quality]]&lt;=6,"Medium",Table1[[#This Row],[quality]]&gt;=7,"High")</f>
        <v>High</v>
      </c>
      <c r="O1211" s="2" t="str">
        <f>IF(AND(Table1[[#This Row],[fixed acidity]]&gt;Sheet1!$C$4,Table1[[#This Row],[pH]]&lt;Sheet1!$K$4),"High","Normal")</f>
        <v>Normal</v>
      </c>
      <c r="P1211" s="1">
        <f>(Table1[[#This Row],[alcohol]]*2)+(Table1[[#This Row],[sulphates]]*1.5)-(Table1[[#This Row],[volatile acidity]]*2)</f>
        <v>22.924999999999997</v>
      </c>
      <c r="Q1211" s="1">
        <f>RANK(Table1[[#This Row],[Quality_score_index]],Table1[Quality_score_index],0)</f>
        <v>286</v>
      </c>
      <c r="R1211" s="1">
        <f>Table1[[#This Row],[total sulfur dioxide]]-Table1[[#This Row],[free sulfur dioxide]]</f>
        <v>10</v>
      </c>
      <c r="S1211" s="1" t="str">
        <f>IF(AND(Table1[[#This Row],[pH]]&gt;=3.2,Table1[[#This Row],[alcohol]]&gt;=10),"White wine","Red wine")</f>
        <v>White wine</v>
      </c>
    </row>
    <row r="1212" spans="1:19" x14ac:dyDescent="0.3">
      <c r="A1212" s="13">
        <v>1211</v>
      </c>
      <c r="B1212" s="1">
        <v>6.8</v>
      </c>
      <c r="C1212" s="1">
        <v>0.65</v>
      </c>
      <c r="D1212" s="1">
        <v>0.02</v>
      </c>
      <c r="E1212" s="1">
        <v>2.1</v>
      </c>
      <c r="F1212" s="1">
        <v>7.8E-2</v>
      </c>
      <c r="G1212" s="1">
        <v>8</v>
      </c>
      <c r="H1212" s="1">
        <v>15</v>
      </c>
      <c r="I1212" s="1">
        <v>0.99497999999999998</v>
      </c>
      <c r="J1212" s="1">
        <v>3.35</v>
      </c>
      <c r="K1212" s="1">
        <v>0.62</v>
      </c>
      <c r="L1212" s="1">
        <v>10.4</v>
      </c>
      <c r="M1212" s="2">
        <v>6</v>
      </c>
      <c r="N1212" s="2" t="str" cm="1">
        <f t="array" ref="N1212">_xlfn.IFS(Table1[[#This Row],[quality]]&lt;=4,"Low",Table1[[#This Row],[quality]]&lt;=6,"Medium",Table1[[#This Row],[quality]]&gt;=7,"High")</f>
        <v>Medium</v>
      </c>
      <c r="O1212" s="2" t="str">
        <f>IF(AND(Table1[[#This Row],[fixed acidity]]&gt;Sheet1!$C$4,Table1[[#This Row],[pH]]&lt;Sheet1!$K$4),"High","Normal")</f>
        <v>Normal</v>
      </c>
      <c r="P1212" s="1">
        <f>(Table1[[#This Row],[alcohol]]*2)+(Table1[[#This Row],[sulphates]]*1.5)-(Table1[[#This Row],[volatile acidity]]*2)</f>
        <v>20.43</v>
      </c>
      <c r="Q1212" s="1">
        <f>RANK(Table1[[#This Row],[Quality_score_index]],Table1[Quality_score_index],0)</f>
        <v>764</v>
      </c>
      <c r="R1212" s="1">
        <f>Table1[[#This Row],[total sulfur dioxide]]-Table1[[#This Row],[free sulfur dioxide]]</f>
        <v>7</v>
      </c>
      <c r="S1212" s="1" t="str">
        <f>IF(AND(Table1[[#This Row],[pH]]&gt;=3.2,Table1[[#This Row],[alcohol]]&gt;=10),"White wine","Red wine")</f>
        <v>White wine</v>
      </c>
    </row>
    <row r="1213" spans="1:19" x14ac:dyDescent="0.3">
      <c r="A1213" s="13">
        <v>1212</v>
      </c>
      <c r="B1213" s="1">
        <v>6.6</v>
      </c>
      <c r="C1213" s="1">
        <v>0.44</v>
      </c>
      <c r="D1213" s="1">
        <v>0.15</v>
      </c>
      <c r="E1213" s="1">
        <v>2.1</v>
      </c>
      <c r="F1213" s="1">
        <v>7.5999999999999998E-2</v>
      </c>
      <c r="G1213" s="1">
        <v>22</v>
      </c>
      <c r="H1213" s="1">
        <v>53</v>
      </c>
      <c r="I1213" s="1">
        <v>0.99570000000000003</v>
      </c>
      <c r="J1213" s="1">
        <v>3.32</v>
      </c>
      <c r="K1213" s="1">
        <v>0.62</v>
      </c>
      <c r="L1213" s="1">
        <v>9.3000000000000007</v>
      </c>
      <c r="M1213" s="2">
        <v>5</v>
      </c>
      <c r="N1213" s="2" t="str" cm="1">
        <f t="array" ref="N1213">_xlfn.IFS(Table1[[#This Row],[quality]]&lt;=4,"Low",Table1[[#This Row],[quality]]&lt;=6,"Medium",Table1[[#This Row],[quality]]&gt;=7,"High")</f>
        <v>Medium</v>
      </c>
      <c r="O1213" s="2" t="str">
        <f>IF(AND(Table1[[#This Row],[fixed acidity]]&gt;Sheet1!$C$4,Table1[[#This Row],[pH]]&lt;Sheet1!$K$4),"High","Normal")</f>
        <v>Normal</v>
      </c>
      <c r="P1213" s="1">
        <f>(Table1[[#This Row],[alcohol]]*2)+(Table1[[#This Row],[sulphates]]*1.5)-(Table1[[#This Row],[volatile acidity]]*2)</f>
        <v>18.650000000000002</v>
      </c>
      <c r="Q1213" s="1">
        <f>RANK(Table1[[#This Row],[Quality_score_index]],Table1[Quality_score_index],0)</f>
        <v>1320</v>
      </c>
      <c r="R1213" s="1">
        <f>Table1[[#This Row],[total sulfur dioxide]]-Table1[[#This Row],[free sulfur dioxide]]</f>
        <v>31</v>
      </c>
      <c r="S1213" s="1" t="str">
        <f>IF(AND(Table1[[#This Row],[pH]]&gt;=3.2,Table1[[#This Row],[alcohol]]&gt;=10),"White wine","Red wine")</f>
        <v>Red wine</v>
      </c>
    </row>
    <row r="1214" spans="1:19" x14ac:dyDescent="0.3">
      <c r="A1214" s="13">
        <v>1213</v>
      </c>
      <c r="B1214" s="1">
        <v>6.8</v>
      </c>
      <c r="C1214" s="1">
        <v>0.65</v>
      </c>
      <c r="D1214" s="1">
        <v>0.02</v>
      </c>
      <c r="E1214" s="1">
        <v>2.1</v>
      </c>
      <c r="F1214" s="1">
        <v>7.8E-2</v>
      </c>
      <c r="G1214" s="1">
        <v>8</v>
      </c>
      <c r="H1214" s="1">
        <v>15</v>
      </c>
      <c r="I1214" s="1">
        <v>0.99497999999999998</v>
      </c>
      <c r="J1214" s="1">
        <v>3.35</v>
      </c>
      <c r="K1214" s="1">
        <v>0.62</v>
      </c>
      <c r="L1214" s="1">
        <v>10.4</v>
      </c>
      <c r="M1214" s="2">
        <v>6</v>
      </c>
      <c r="N1214" s="2" t="str" cm="1">
        <f t="array" ref="N1214">_xlfn.IFS(Table1[[#This Row],[quality]]&lt;=4,"Low",Table1[[#This Row],[quality]]&lt;=6,"Medium",Table1[[#This Row],[quality]]&gt;=7,"High")</f>
        <v>Medium</v>
      </c>
      <c r="O1214" s="2" t="str">
        <f>IF(AND(Table1[[#This Row],[fixed acidity]]&gt;Sheet1!$C$4,Table1[[#This Row],[pH]]&lt;Sheet1!$K$4),"High","Normal")</f>
        <v>Normal</v>
      </c>
      <c r="P1214" s="1">
        <f>(Table1[[#This Row],[alcohol]]*2)+(Table1[[#This Row],[sulphates]]*1.5)-(Table1[[#This Row],[volatile acidity]]*2)</f>
        <v>20.43</v>
      </c>
      <c r="Q1214" s="1">
        <f>RANK(Table1[[#This Row],[Quality_score_index]],Table1[Quality_score_index],0)</f>
        <v>764</v>
      </c>
      <c r="R1214" s="1">
        <f>Table1[[#This Row],[total sulfur dioxide]]-Table1[[#This Row],[free sulfur dioxide]]</f>
        <v>7</v>
      </c>
      <c r="S1214" s="1" t="str">
        <f>IF(AND(Table1[[#This Row],[pH]]&gt;=3.2,Table1[[#This Row],[alcohol]]&gt;=10),"White wine","Red wine")</f>
        <v>White wine</v>
      </c>
    </row>
    <row r="1215" spans="1:19" x14ac:dyDescent="0.3">
      <c r="A1215" s="13">
        <v>1214</v>
      </c>
      <c r="B1215" s="1">
        <v>9.6</v>
      </c>
      <c r="C1215" s="1">
        <v>0.38</v>
      </c>
      <c r="D1215" s="1">
        <v>0.42</v>
      </c>
      <c r="E1215" s="1">
        <v>1.9</v>
      </c>
      <c r="F1215" s="1">
        <v>7.0999999999999994E-2</v>
      </c>
      <c r="G1215" s="1">
        <v>5</v>
      </c>
      <c r="H1215" s="1">
        <v>13</v>
      </c>
      <c r="I1215" s="1">
        <v>0.99658999999999998</v>
      </c>
      <c r="J1215" s="1">
        <v>3.15</v>
      </c>
      <c r="K1215" s="1">
        <v>0.75</v>
      </c>
      <c r="L1215" s="1">
        <v>10.5</v>
      </c>
      <c r="M1215" s="2">
        <v>6</v>
      </c>
      <c r="N1215" s="2" t="str" cm="1">
        <f t="array" ref="N1215">_xlfn.IFS(Table1[[#This Row],[quality]]&lt;=4,"Low",Table1[[#This Row],[quality]]&lt;=6,"Medium",Table1[[#This Row],[quality]]&gt;=7,"High")</f>
        <v>Medium</v>
      </c>
      <c r="O1215" s="2" t="str">
        <f>IF(AND(Table1[[#This Row],[fixed acidity]]&gt;Sheet1!$C$4,Table1[[#This Row],[pH]]&lt;Sheet1!$K$4),"High","Normal")</f>
        <v>High</v>
      </c>
      <c r="P1215" s="1">
        <f>(Table1[[#This Row],[alcohol]]*2)+(Table1[[#This Row],[sulphates]]*1.5)-(Table1[[#This Row],[volatile acidity]]*2)</f>
        <v>21.364999999999998</v>
      </c>
      <c r="Q1215" s="1">
        <f>RANK(Table1[[#This Row],[Quality_score_index]],Table1[Quality_score_index],0)</f>
        <v>566</v>
      </c>
      <c r="R1215" s="1">
        <f>Table1[[#This Row],[total sulfur dioxide]]-Table1[[#This Row],[free sulfur dioxide]]</f>
        <v>8</v>
      </c>
      <c r="S1215" s="1" t="str">
        <f>IF(AND(Table1[[#This Row],[pH]]&gt;=3.2,Table1[[#This Row],[alcohol]]&gt;=10),"White wine","Red wine")</f>
        <v>Red wine</v>
      </c>
    </row>
    <row r="1216" spans="1:19" x14ac:dyDescent="0.3">
      <c r="A1216" s="13">
        <v>1215</v>
      </c>
      <c r="B1216" s="1">
        <v>10.199999999999999</v>
      </c>
      <c r="C1216" s="1">
        <v>0.33</v>
      </c>
      <c r="D1216" s="1">
        <v>0.46</v>
      </c>
      <c r="E1216" s="1">
        <v>1.9</v>
      </c>
      <c r="F1216" s="1">
        <v>8.1000000000000003E-2</v>
      </c>
      <c r="G1216" s="1">
        <v>6</v>
      </c>
      <c r="H1216" s="1">
        <v>9</v>
      </c>
      <c r="I1216" s="1">
        <v>0.99628000000000005</v>
      </c>
      <c r="J1216" s="1">
        <v>3.1</v>
      </c>
      <c r="K1216" s="1">
        <v>0.48</v>
      </c>
      <c r="L1216" s="1">
        <v>10.4</v>
      </c>
      <c r="M1216" s="2">
        <v>6</v>
      </c>
      <c r="N1216" s="2" t="str" cm="1">
        <f t="array" ref="N1216">_xlfn.IFS(Table1[[#This Row],[quality]]&lt;=4,"Low",Table1[[#This Row],[quality]]&lt;=6,"Medium",Table1[[#This Row],[quality]]&gt;=7,"High")</f>
        <v>Medium</v>
      </c>
      <c r="O1216" s="2" t="str">
        <f>IF(AND(Table1[[#This Row],[fixed acidity]]&gt;Sheet1!$C$4,Table1[[#This Row],[pH]]&lt;Sheet1!$K$4),"High","Normal")</f>
        <v>High</v>
      </c>
      <c r="P1216" s="1">
        <f>(Table1[[#This Row],[alcohol]]*2)+(Table1[[#This Row],[sulphates]]*1.5)-(Table1[[#This Row],[volatile acidity]]*2)</f>
        <v>20.86</v>
      </c>
      <c r="Q1216" s="1">
        <f>RANK(Table1[[#This Row],[Quality_score_index]],Table1[Quality_score_index],0)</f>
        <v>683</v>
      </c>
      <c r="R1216" s="1">
        <f>Table1[[#This Row],[total sulfur dioxide]]-Table1[[#This Row],[free sulfur dioxide]]</f>
        <v>3</v>
      </c>
      <c r="S1216" s="1" t="str">
        <f>IF(AND(Table1[[#This Row],[pH]]&gt;=3.2,Table1[[#This Row],[alcohol]]&gt;=10),"White wine","Red wine")</f>
        <v>Red wine</v>
      </c>
    </row>
    <row r="1217" spans="1:19" x14ac:dyDescent="0.3">
      <c r="A1217" s="13">
        <v>1216</v>
      </c>
      <c r="B1217" s="1">
        <v>8.8000000000000007</v>
      </c>
      <c r="C1217" s="1">
        <v>0.27</v>
      </c>
      <c r="D1217" s="1">
        <v>0.46</v>
      </c>
      <c r="E1217" s="1">
        <v>2.1</v>
      </c>
      <c r="F1217" s="1">
        <v>9.5000000000000001E-2</v>
      </c>
      <c r="G1217" s="1">
        <v>20</v>
      </c>
      <c r="H1217" s="1">
        <v>29</v>
      </c>
      <c r="I1217" s="1">
        <v>0.99487999999999999</v>
      </c>
      <c r="J1217" s="1">
        <v>3.26</v>
      </c>
      <c r="K1217" s="1">
        <v>0.56000000000000005</v>
      </c>
      <c r="L1217" s="1">
        <v>11.3</v>
      </c>
      <c r="M1217" s="2">
        <v>6</v>
      </c>
      <c r="N1217" s="2" t="str" cm="1">
        <f t="array" ref="N1217">_xlfn.IFS(Table1[[#This Row],[quality]]&lt;=4,"Low",Table1[[#This Row],[quality]]&lt;=6,"Medium",Table1[[#This Row],[quality]]&gt;=7,"High")</f>
        <v>Medium</v>
      </c>
      <c r="O1217" s="2" t="str">
        <f>IF(AND(Table1[[#This Row],[fixed acidity]]&gt;Sheet1!$C$4,Table1[[#This Row],[pH]]&lt;Sheet1!$K$4),"High","Normal")</f>
        <v>High</v>
      </c>
      <c r="P1217" s="1">
        <f>(Table1[[#This Row],[alcohol]]*2)+(Table1[[#This Row],[sulphates]]*1.5)-(Table1[[#This Row],[volatile acidity]]*2)</f>
        <v>22.900000000000002</v>
      </c>
      <c r="Q1217" s="1">
        <f>RANK(Table1[[#This Row],[Quality_score_index]],Table1[Quality_score_index],0)</f>
        <v>288</v>
      </c>
      <c r="R1217" s="1">
        <f>Table1[[#This Row],[total sulfur dioxide]]-Table1[[#This Row],[free sulfur dioxide]]</f>
        <v>9</v>
      </c>
      <c r="S1217" s="1" t="str">
        <f>IF(AND(Table1[[#This Row],[pH]]&gt;=3.2,Table1[[#This Row],[alcohol]]&gt;=10),"White wine","Red wine")</f>
        <v>White wine</v>
      </c>
    </row>
    <row r="1218" spans="1:19" x14ac:dyDescent="0.3">
      <c r="A1218" s="13">
        <v>1217</v>
      </c>
      <c r="B1218" s="1">
        <v>7.9</v>
      </c>
      <c r="C1218" s="1">
        <v>0.56999999999999995</v>
      </c>
      <c r="D1218" s="1">
        <v>0.31</v>
      </c>
      <c r="E1218" s="1">
        <v>2</v>
      </c>
      <c r="F1218" s="1">
        <v>7.9000000000000001E-2</v>
      </c>
      <c r="G1218" s="1">
        <v>10</v>
      </c>
      <c r="H1218" s="1">
        <v>79</v>
      </c>
      <c r="I1218" s="1">
        <v>0.99677000000000004</v>
      </c>
      <c r="J1218" s="1">
        <v>3.29</v>
      </c>
      <c r="K1218" s="1">
        <v>0.69</v>
      </c>
      <c r="L1218" s="1">
        <v>9.5</v>
      </c>
      <c r="M1218" s="2">
        <v>6</v>
      </c>
      <c r="N1218" s="2" t="str" cm="1">
        <f t="array" ref="N1218">_xlfn.IFS(Table1[[#This Row],[quality]]&lt;=4,"Low",Table1[[#This Row],[quality]]&lt;=6,"Medium",Table1[[#This Row],[quality]]&gt;=7,"High")</f>
        <v>Medium</v>
      </c>
      <c r="O1218" s="2" t="str">
        <f>IF(AND(Table1[[#This Row],[fixed acidity]]&gt;Sheet1!$C$4,Table1[[#This Row],[pH]]&lt;Sheet1!$K$4),"High","Normal")</f>
        <v>Normal</v>
      </c>
      <c r="P1218" s="1">
        <f>(Table1[[#This Row],[alcohol]]*2)+(Table1[[#This Row],[sulphates]]*1.5)-(Table1[[#This Row],[volatile acidity]]*2)</f>
        <v>18.895</v>
      </c>
      <c r="Q1218" s="1">
        <f>RANK(Table1[[#This Row],[Quality_score_index]],Table1[Quality_score_index],0)</f>
        <v>1205</v>
      </c>
      <c r="R1218" s="1">
        <f>Table1[[#This Row],[total sulfur dioxide]]-Table1[[#This Row],[free sulfur dioxide]]</f>
        <v>69</v>
      </c>
      <c r="S1218" s="1" t="str">
        <f>IF(AND(Table1[[#This Row],[pH]]&gt;=3.2,Table1[[#This Row],[alcohol]]&gt;=10),"White wine","Red wine")</f>
        <v>Red wine</v>
      </c>
    </row>
    <row r="1219" spans="1:19" x14ac:dyDescent="0.3">
      <c r="A1219" s="13">
        <v>1218</v>
      </c>
      <c r="B1219" s="1">
        <v>8.1999999999999993</v>
      </c>
      <c r="C1219" s="1">
        <v>0.34</v>
      </c>
      <c r="D1219" s="1">
        <v>0.37</v>
      </c>
      <c r="E1219" s="1">
        <v>1.9</v>
      </c>
      <c r="F1219" s="1">
        <v>5.7000000000000002E-2</v>
      </c>
      <c r="G1219" s="1">
        <v>43</v>
      </c>
      <c r="H1219" s="1">
        <v>74</v>
      </c>
      <c r="I1219" s="1">
        <v>0.99407999999999996</v>
      </c>
      <c r="J1219" s="1">
        <v>3.23</v>
      </c>
      <c r="K1219" s="1">
        <v>0.81</v>
      </c>
      <c r="L1219" s="1">
        <v>12</v>
      </c>
      <c r="M1219" s="2">
        <v>6</v>
      </c>
      <c r="N1219" s="2" t="str" cm="1">
        <f t="array" ref="N1219">_xlfn.IFS(Table1[[#This Row],[quality]]&lt;=4,"Low",Table1[[#This Row],[quality]]&lt;=6,"Medium",Table1[[#This Row],[quality]]&gt;=7,"High")</f>
        <v>Medium</v>
      </c>
      <c r="O1219" s="2" t="str">
        <f>IF(AND(Table1[[#This Row],[fixed acidity]]&gt;Sheet1!$C$4,Table1[[#This Row],[pH]]&lt;Sheet1!$K$4),"High","Normal")</f>
        <v>Normal</v>
      </c>
      <c r="P1219" s="1">
        <f>(Table1[[#This Row],[alcohol]]*2)+(Table1[[#This Row],[sulphates]]*1.5)-(Table1[[#This Row],[volatile acidity]]*2)</f>
        <v>24.535</v>
      </c>
      <c r="Q1219" s="1">
        <f>RANK(Table1[[#This Row],[Quality_score_index]],Table1[Quality_score_index],0)</f>
        <v>126</v>
      </c>
      <c r="R1219" s="1">
        <f>Table1[[#This Row],[total sulfur dioxide]]-Table1[[#This Row],[free sulfur dioxide]]</f>
        <v>31</v>
      </c>
      <c r="S1219" s="1" t="str">
        <f>IF(AND(Table1[[#This Row],[pH]]&gt;=3.2,Table1[[#This Row],[alcohol]]&gt;=10),"White wine","Red wine")</f>
        <v>White wine</v>
      </c>
    </row>
    <row r="1220" spans="1:19" x14ac:dyDescent="0.3">
      <c r="A1220" s="13">
        <v>1219</v>
      </c>
      <c r="B1220" s="1">
        <v>8.1999999999999993</v>
      </c>
      <c r="C1220" s="1">
        <v>0.4</v>
      </c>
      <c r="D1220" s="1">
        <v>0.31</v>
      </c>
      <c r="E1220" s="1">
        <v>1.9</v>
      </c>
      <c r="F1220" s="1">
        <v>8.2000000000000003E-2</v>
      </c>
      <c r="G1220" s="1">
        <v>8</v>
      </c>
      <c r="H1220" s="1">
        <v>24</v>
      </c>
      <c r="I1220" s="1">
        <v>0.996</v>
      </c>
      <c r="J1220" s="1">
        <v>3.24</v>
      </c>
      <c r="K1220" s="1">
        <v>0.69</v>
      </c>
      <c r="L1220" s="1">
        <v>10.6</v>
      </c>
      <c r="M1220" s="2">
        <v>6</v>
      </c>
      <c r="N1220" s="2" t="str" cm="1">
        <f t="array" ref="N1220">_xlfn.IFS(Table1[[#This Row],[quality]]&lt;=4,"Low",Table1[[#This Row],[quality]]&lt;=6,"Medium",Table1[[#This Row],[quality]]&gt;=7,"High")</f>
        <v>Medium</v>
      </c>
      <c r="O1220" s="2" t="str">
        <f>IF(AND(Table1[[#This Row],[fixed acidity]]&gt;Sheet1!$C$4,Table1[[#This Row],[pH]]&lt;Sheet1!$K$4),"High","Normal")</f>
        <v>Normal</v>
      </c>
      <c r="P1220" s="1">
        <f>(Table1[[#This Row],[alcohol]]*2)+(Table1[[#This Row],[sulphates]]*1.5)-(Table1[[#This Row],[volatile acidity]]*2)</f>
        <v>21.434999999999999</v>
      </c>
      <c r="Q1220" s="1">
        <f>RANK(Table1[[#This Row],[Quality_score_index]],Table1[Quality_score_index],0)</f>
        <v>554</v>
      </c>
      <c r="R1220" s="1">
        <f>Table1[[#This Row],[total sulfur dioxide]]-Table1[[#This Row],[free sulfur dioxide]]</f>
        <v>16</v>
      </c>
      <c r="S1220" s="1" t="str">
        <f>IF(AND(Table1[[#This Row],[pH]]&gt;=3.2,Table1[[#This Row],[alcohol]]&gt;=10),"White wine","Red wine")</f>
        <v>White wine</v>
      </c>
    </row>
    <row r="1221" spans="1:19" x14ac:dyDescent="0.3">
      <c r="A1221" s="13">
        <v>1220</v>
      </c>
      <c r="B1221" s="1">
        <v>9</v>
      </c>
      <c r="C1221" s="1">
        <v>0.39</v>
      </c>
      <c r="D1221" s="1">
        <v>0.4</v>
      </c>
      <c r="E1221" s="1">
        <v>1.3</v>
      </c>
      <c r="F1221" s="1">
        <v>4.3999999999999997E-2</v>
      </c>
      <c r="G1221" s="1">
        <v>25</v>
      </c>
      <c r="H1221" s="1">
        <v>50</v>
      </c>
      <c r="I1221" s="1">
        <v>0.99478</v>
      </c>
      <c r="J1221" s="1">
        <v>3.2</v>
      </c>
      <c r="K1221" s="1">
        <v>0.83</v>
      </c>
      <c r="L1221" s="1">
        <v>10.9</v>
      </c>
      <c r="M1221" s="2">
        <v>6</v>
      </c>
      <c r="N1221" s="2" t="str" cm="1">
        <f t="array" ref="N1221">_xlfn.IFS(Table1[[#This Row],[quality]]&lt;=4,"Low",Table1[[#This Row],[quality]]&lt;=6,"Medium",Table1[[#This Row],[quality]]&gt;=7,"High")</f>
        <v>Medium</v>
      </c>
      <c r="O1221" s="2" t="str">
        <f>IF(AND(Table1[[#This Row],[fixed acidity]]&gt;Sheet1!$C$4,Table1[[#This Row],[pH]]&lt;Sheet1!$K$4),"High","Normal")</f>
        <v>High</v>
      </c>
      <c r="P1221" s="1">
        <f>(Table1[[#This Row],[alcohol]]*2)+(Table1[[#This Row],[sulphates]]*1.5)-(Table1[[#This Row],[volatile acidity]]*2)</f>
        <v>22.265000000000001</v>
      </c>
      <c r="Q1221" s="1">
        <f>RANK(Table1[[#This Row],[Quality_score_index]],Table1[Quality_score_index],0)</f>
        <v>411</v>
      </c>
      <c r="R1221" s="1">
        <f>Table1[[#This Row],[total sulfur dioxide]]-Table1[[#This Row],[free sulfur dioxide]]</f>
        <v>25</v>
      </c>
      <c r="S1221" s="1" t="str">
        <f>IF(AND(Table1[[#This Row],[pH]]&gt;=3.2,Table1[[#This Row],[alcohol]]&gt;=10),"White wine","Red wine")</f>
        <v>White wine</v>
      </c>
    </row>
    <row r="1222" spans="1:19" x14ac:dyDescent="0.3">
      <c r="A1222" s="13">
        <v>1221</v>
      </c>
      <c r="B1222" s="1">
        <v>10.9</v>
      </c>
      <c r="C1222" s="1">
        <v>0.32</v>
      </c>
      <c r="D1222" s="1">
        <v>0.52</v>
      </c>
      <c r="E1222" s="1">
        <v>1.8</v>
      </c>
      <c r="F1222" s="1">
        <v>0.13200000000000001</v>
      </c>
      <c r="G1222" s="1">
        <v>17</v>
      </c>
      <c r="H1222" s="1">
        <v>44</v>
      </c>
      <c r="I1222" s="1">
        <v>0.99734</v>
      </c>
      <c r="J1222" s="1">
        <v>3.28</v>
      </c>
      <c r="K1222" s="1">
        <v>0.77</v>
      </c>
      <c r="L1222" s="1">
        <v>11.5</v>
      </c>
      <c r="M1222" s="2">
        <v>6</v>
      </c>
      <c r="N1222" s="2" t="str" cm="1">
        <f t="array" ref="N1222">_xlfn.IFS(Table1[[#This Row],[quality]]&lt;=4,"Low",Table1[[#This Row],[quality]]&lt;=6,"Medium",Table1[[#This Row],[quality]]&gt;=7,"High")</f>
        <v>Medium</v>
      </c>
      <c r="O1222" s="2" t="str">
        <f>IF(AND(Table1[[#This Row],[fixed acidity]]&gt;Sheet1!$C$4,Table1[[#This Row],[pH]]&lt;Sheet1!$K$4),"High","Normal")</f>
        <v>High</v>
      </c>
      <c r="P1222" s="1">
        <f>(Table1[[#This Row],[alcohol]]*2)+(Table1[[#This Row],[sulphates]]*1.5)-(Table1[[#This Row],[volatile acidity]]*2)</f>
        <v>23.515000000000001</v>
      </c>
      <c r="Q1222" s="1">
        <f>RANK(Table1[[#This Row],[Quality_score_index]],Table1[Quality_score_index],0)</f>
        <v>218</v>
      </c>
      <c r="R1222" s="1">
        <f>Table1[[#This Row],[total sulfur dioxide]]-Table1[[#This Row],[free sulfur dioxide]]</f>
        <v>27</v>
      </c>
      <c r="S1222" s="1" t="str">
        <f>IF(AND(Table1[[#This Row],[pH]]&gt;=3.2,Table1[[#This Row],[alcohol]]&gt;=10),"White wine","Red wine")</f>
        <v>White wine</v>
      </c>
    </row>
    <row r="1223" spans="1:19" x14ac:dyDescent="0.3">
      <c r="A1223" s="13">
        <v>1222</v>
      </c>
      <c r="B1223" s="1">
        <v>10.9</v>
      </c>
      <c r="C1223" s="1">
        <v>0.32</v>
      </c>
      <c r="D1223" s="1">
        <v>0.52</v>
      </c>
      <c r="E1223" s="1">
        <v>1.8</v>
      </c>
      <c r="F1223" s="1">
        <v>0.13200000000000001</v>
      </c>
      <c r="G1223" s="1">
        <v>17</v>
      </c>
      <c r="H1223" s="1">
        <v>44</v>
      </c>
      <c r="I1223" s="1">
        <v>0.99734</v>
      </c>
      <c r="J1223" s="1">
        <v>3.28</v>
      </c>
      <c r="K1223" s="1">
        <v>0.77</v>
      </c>
      <c r="L1223" s="1">
        <v>11.5</v>
      </c>
      <c r="M1223" s="2">
        <v>6</v>
      </c>
      <c r="N1223" s="2" t="str" cm="1">
        <f t="array" ref="N1223">_xlfn.IFS(Table1[[#This Row],[quality]]&lt;=4,"Low",Table1[[#This Row],[quality]]&lt;=6,"Medium",Table1[[#This Row],[quality]]&gt;=7,"High")</f>
        <v>Medium</v>
      </c>
      <c r="O1223" s="2" t="str">
        <f>IF(AND(Table1[[#This Row],[fixed acidity]]&gt;Sheet1!$C$4,Table1[[#This Row],[pH]]&lt;Sheet1!$K$4),"High","Normal")</f>
        <v>High</v>
      </c>
      <c r="P1223" s="1">
        <f>(Table1[[#This Row],[alcohol]]*2)+(Table1[[#This Row],[sulphates]]*1.5)-(Table1[[#This Row],[volatile acidity]]*2)</f>
        <v>23.515000000000001</v>
      </c>
      <c r="Q1223" s="1">
        <f>RANK(Table1[[#This Row],[Quality_score_index]],Table1[Quality_score_index],0)</f>
        <v>218</v>
      </c>
      <c r="R1223" s="1">
        <f>Table1[[#This Row],[total sulfur dioxide]]-Table1[[#This Row],[free sulfur dioxide]]</f>
        <v>27</v>
      </c>
      <c r="S1223" s="1" t="str">
        <f>IF(AND(Table1[[#This Row],[pH]]&gt;=3.2,Table1[[#This Row],[alcohol]]&gt;=10),"White wine","Red wine")</f>
        <v>White wine</v>
      </c>
    </row>
    <row r="1224" spans="1:19" x14ac:dyDescent="0.3">
      <c r="A1224" s="13">
        <v>1223</v>
      </c>
      <c r="B1224" s="1">
        <v>8.1</v>
      </c>
      <c r="C1224" s="1">
        <v>0.53</v>
      </c>
      <c r="D1224" s="1">
        <v>0.22</v>
      </c>
      <c r="E1224" s="1">
        <v>2.2000000000000002</v>
      </c>
      <c r="F1224" s="1">
        <v>7.8E-2</v>
      </c>
      <c r="G1224" s="1">
        <v>33</v>
      </c>
      <c r="H1224" s="1">
        <v>89</v>
      </c>
      <c r="I1224" s="1">
        <v>0.99678</v>
      </c>
      <c r="J1224" s="1">
        <v>3.26</v>
      </c>
      <c r="K1224" s="1">
        <v>0.46</v>
      </c>
      <c r="L1224" s="1">
        <v>9.6</v>
      </c>
      <c r="M1224" s="2">
        <v>6</v>
      </c>
      <c r="N1224" s="2" t="str" cm="1">
        <f t="array" ref="N1224">_xlfn.IFS(Table1[[#This Row],[quality]]&lt;=4,"Low",Table1[[#This Row],[quality]]&lt;=6,"Medium",Table1[[#This Row],[quality]]&gt;=7,"High")</f>
        <v>Medium</v>
      </c>
      <c r="O1224" s="2" t="str">
        <f>IF(AND(Table1[[#This Row],[fixed acidity]]&gt;Sheet1!$C$4,Table1[[#This Row],[pH]]&lt;Sheet1!$K$4),"High","Normal")</f>
        <v>Normal</v>
      </c>
      <c r="P1224" s="1">
        <f>(Table1[[#This Row],[alcohol]]*2)+(Table1[[#This Row],[sulphates]]*1.5)-(Table1[[#This Row],[volatile acidity]]*2)</f>
        <v>18.830000000000002</v>
      </c>
      <c r="Q1224" s="1">
        <f>RANK(Table1[[#This Row],[Quality_score_index]],Table1[Quality_score_index],0)</f>
        <v>1232</v>
      </c>
      <c r="R1224" s="1">
        <f>Table1[[#This Row],[total sulfur dioxide]]-Table1[[#This Row],[free sulfur dioxide]]</f>
        <v>56</v>
      </c>
      <c r="S1224" s="1" t="str">
        <f>IF(AND(Table1[[#This Row],[pH]]&gt;=3.2,Table1[[#This Row],[alcohol]]&gt;=10),"White wine","Red wine")</f>
        <v>Red wine</v>
      </c>
    </row>
    <row r="1225" spans="1:19" x14ac:dyDescent="0.3">
      <c r="A1225" s="13">
        <v>1224</v>
      </c>
      <c r="B1225" s="1">
        <v>10.5</v>
      </c>
      <c r="C1225" s="1">
        <v>0.36</v>
      </c>
      <c r="D1225" s="1">
        <v>0.47</v>
      </c>
      <c r="E1225" s="1">
        <v>2.2000000000000002</v>
      </c>
      <c r="F1225" s="1">
        <v>7.3999999999999996E-2</v>
      </c>
      <c r="G1225" s="1">
        <v>9</v>
      </c>
      <c r="H1225" s="1">
        <v>23</v>
      </c>
      <c r="I1225" s="1">
        <v>0.99638000000000004</v>
      </c>
      <c r="J1225" s="1">
        <v>3.23</v>
      </c>
      <c r="K1225" s="1">
        <v>0.76</v>
      </c>
      <c r="L1225" s="1">
        <v>12</v>
      </c>
      <c r="M1225" s="2">
        <v>6</v>
      </c>
      <c r="N1225" s="2" t="str" cm="1">
        <f t="array" ref="N1225">_xlfn.IFS(Table1[[#This Row],[quality]]&lt;=4,"Low",Table1[[#This Row],[quality]]&lt;=6,"Medium",Table1[[#This Row],[quality]]&gt;=7,"High")</f>
        <v>Medium</v>
      </c>
      <c r="O1225" s="2" t="str">
        <f>IF(AND(Table1[[#This Row],[fixed acidity]]&gt;Sheet1!$C$4,Table1[[#This Row],[pH]]&lt;Sheet1!$K$4),"High","Normal")</f>
        <v>High</v>
      </c>
      <c r="P1225" s="1">
        <f>(Table1[[#This Row],[alcohol]]*2)+(Table1[[#This Row],[sulphates]]*1.5)-(Table1[[#This Row],[volatile acidity]]*2)</f>
        <v>24.42</v>
      </c>
      <c r="Q1225" s="1">
        <f>RANK(Table1[[#This Row],[Quality_score_index]],Table1[Quality_score_index],0)</f>
        <v>134</v>
      </c>
      <c r="R1225" s="1">
        <f>Table1[[#This Row],[total sulfur dioxide]]-Table1[[#This Row],[free sulfur dioxide]]</f>
        <v>14</v>
      </c>
      <c r="S1225" s="1" t="str">
        <f>IF(AND(Table1[[#This Row],[pH]]&gt;=3.2,Table1[[#This Row],[alcohol]]&gt;=10),"White wine","Red wine")</f>
        <v>White wine</v>
      </c>
    </row>
    <row r="1226" spans="1:19" x14ac:dyDescent="0.3">
      <c r="A1226" s="13">
        <v>1225</v>
      </c>
      <c r="B1226" s="1">
        <v>12.6</v>
      </c>
      <c r="C1226" s="1">
        <v>0.39</v>
      </c>
      <c r="D1226" s="1">
        <v>0.49</v>
      </c>
      <c r="E1226" s="1">
        <v>2.5</v>
      </c>
      <c r="F1226" s="1">
        <v>0.08</v>
      </c>
      <c r="G1226" s="1">
        <v>8</v>
      </c>
      <c r="H1226" s="1">
        <v>20</v>
      </c>
      <c r="I1226" s="1">
        <v>0.99919999999999998</v>
      </c>
      <c r="J1226" s="1">
        <v>3.07</v>
      </c>
      <c r="K1226" s="1">
        <v>0.82</v>
      </c>
      <c r="L1226" s="1">
        <v>10.3</v>
      </c>
      <c r="M1226" s="2">
        <v>6</v>
      </c>
      <c r="N1226" s="2" t="str" cm="1">
        <f t="array" ref="N1226">_xlfn.IFS(Table1[[#This Row],[quality]]&lt;=4,"Low",Table1[[#This Row],[quality]]&lt;=6,"Medium",Table1[[#This Row],[quality]]&gt;=7,"High")</f>
        <v>Medium</v>
      </c>
      <c r="O1226" s="2" t="str">
        <f>IF(AND(Table1[[#This Row],[fixed acidity]]&gt;Sheet1!$C$4,Table1[[#This Row],[pH]]&lt;Sheet1!$K$4),"High","Normal")</f>
        <v>High</v>
      </c>
      <c r="P1226" s="1">
        <f>(Table1[[#This Row],[alcohol]]*2)+(Table1[[#This Row],[sulphates]]*1.5)-(Table1[[#This Row],[volatile acidity]]*2)</f>
        <v>21.05</v>
      </c>
      <c r="Q1226" s="1">
        <f>RANK(Table1[[#This Row],[Quality_score_index]],Table1[Quality_score_index],0)</f>
        <v>643</v>
      </c>
      <c r="R1226" s="1">
        <f>Table1[[#This Row],[total sulfur dioxide]]-Table1[[#This Row],[free sulfur dioxide]]</f>
        <v>12</v>
      </c>
      <c r="S1226" s="1" t="str">
        <f>IF(AND(Table1[[#This Row],[pH]]&gt;=3.2,Table1[[#This Row],[alcohol]]&gt;=10),"White wine","Red wine")</f>
        <v>Red wine</v>
      </c>
    </row>
    <row r="1227" spans="1:19" x14ac:dyDescent="0.3">
      <c r="A1227" s="13">
        <v>1226</v>
      </c>
      <c r="B1227" s="1">
        <v>9.1999999999999993</v>
      </c>
      <c r="C1227" s="1">
        <v>0.46</v>
      </c>
      <c r="D1227" s="1">
        <v>0.23</v>
      </c>
      <c r="E1227" s="1">
        <v>2.6</v>
      </c>
      <c r="F1227" s="1">
        <v>9.0999999999999998E-2</v>
      </c>
      <c r="G1227" s="1">
        <v>18</v>
      </c>
      <c r="H1227" s="1">
        <v>77</v>
      </c>
      <c r="I1227" s="1">
        <v>0.99922</v>
      </c>
      <c r="J1227" s="1">
        <v>3.15</v>
      </c>
      <c r="K1227" s="1">
        <v>0.51</v>
      </c>
      <c r="L1227" s="1">
        <v>9.4</v>
      </c>
      <c r="M1227" s="2">
        <v>5</v>
      </c>
      <c r="N1227" s="2" t="str" cm="1">
        <f t="array" ref="N1227">_xlfn.IFS(Table1[[#This Row],[quality]]&lt;=4,"Low",Table1[[#This Row],[quality]]&lt;=6,"Medium",Table1[[#This Row],[quality]]&gt;=7,"High")</f>
        <v>Medium</v>
      </c>
      <c r="O1227" s="2" t="str">
        <f>IF(AND(Table1[[#This Row],[fixed acidity]]&gt;Sheet1!$C$4,Table1[[#This Row],[pH]]&lt;Sheet1!$K$4),"High","Normal")</f>
        <v>High</v>
      </c>
      <c r="P1227" s="1">
        <f>(Table1[[#This Row],[alcohol]]*2)+(Table1[[#This Row],[sulphates]]*1.5)-(Table1[[#This Row],[volatile acidity]]*2)</f>
        <v>18.645</v>
      </c>
      <c r="Q1227" s="1">
        <f>RANK(Table1[[#This Row],[Quality_score_index]],Table1[Quality_score_index],0)</f>
        <v>1326</v>
      </c>
      <c r="R1227" s="1">
        <f>Table1[[#This Row],[total sulfur dioxide]]-Table1[[#This Row],[free sulfur dioxide]]</f>
        <v>59</v>
      </c>
      <c r="S1227" s="1" t="str">
        <f>IF(AND(Table1[[#This Row],[pH]]&gt;=3.2,Table1[[#This Row],[alcohol]]&gt;=10),"White wine","Red wine")</f>
        <v>Red wine</v>
      </c>
    </row>
    <row r="1228" spans="1:19" x14ac:dyDescent="0.3">
      <c r="A1228" s="13">
        <v>1227</v>
      </c>
      <c r="B1228" s="1">
        <v>7.5</v>
      </c>
      <c r="C1228" s="1">
        <v>0.57999999999999996</v>
      </c>
      <c r="D1228" s="1">
        <v>0.03</v>
      </c>
      <c r="E1228" s="1">
        <v>4.0999999999999996</v>
      </c>
      <c r="F1228" s="1">
        <v>0.08</v>
      </c>
      <c r="G1228" s="1">
        <v>27</v>
      </c>
      <c r="H1228" s="1">
        <v>46</v>
      </c>
      <c r="I1228" s="1">
        <v>0.99592000000000003</v>
      </c>
      <c r="J1228" s="1">
        <v>3.02</v>
      </c>
      <c r="K1228" s="1">
        <v>0.47</v>
      </c>
      <c r="L1228" s="1">
        <v>9.1999999999999993</v>
      </c>
      <c r="M1228" s="2">
        <v>5</v>
      </c>
      <c r="N1228" s="2" t="str" cm="1">
        <f t="array" ref="N1228">_xlfn.IFS(Table1[[#This Row],[quality]]&lt;=4,"Low",Table1[[#This Row],[quality]]&lt;=6,"Medium",Table1[[#This Row],[quality]]&gt;=7,"High")</f>
        <v>Medium</v>
      </c>
      <c r="O1228" s="2" t="str">
        <f>IF(AND(Table1[[#This Row],[fixed acidity]]&gt;Sheet1!$C$4,Table1[[#This Row],[pH]]&lt;Sheet1!$K$4),"High","Normal")</f>
        <v>Normal</v>
      </c>
      <c r="P1228" s="1">
        <f>(Table1[[#This Row],[alcohol]]*2)+(Table1[[#This Row],[sulphates]]*1.5)-(Table1[[#This Row],[volatile acidity]]*2)</f>
        <v>17.944999999999997</v>
      </c>
      <c r="Q1228" s="1">
        <f>RANK(Table1[[#This Row],[Quality_score_index]],Table1[Quality_score_index],0)</f>
        <v>1530</v>
      </c>
      <c r="R1228" s="1">
        <f>Table1[[#This Row],[total sulfur dioxide]]-Table1[[#This Row],[free sulfur dioxide]]</f>
        <v>19</v>
      </c>
      <c r="S1228" s="1" t="str">
        <f>IF(AND(Table1[[#This Row],[pH]]&gt;=3.2,Table1[[#This Row],[alcohol]]&gt;=10),"White wine","Red wine")</f>
        <v>Red wine</v>
      </c>
    </row>
    <row r="1229" spans="1:19" x14ac:dyDescent="0.3">
      <c r="A1229" s="13">
        <v>1228</v>
      </c>
      <c r="B1229" s="1">
        <v>9</v>
      </c>
      <c r="C1229" s="1">
        <v>0.57999999999999996</v>
      </c>
      <c r="D1229" s="1">
        <v>0.25</v>
      </c>
      <c r="E1229" s="1">
        <v>2</v>
      </c>
      <c r="F1229" s="1">
        <v>0.104</v>
      </c>
      <c r="G1229" s="1">
        <v>8</v>
      </c>
      <c r="H1229" s="1">
        <v>21</v>
      </c>
      <c r="I1229" s="1">
        <v>0.99768999999999997</v>
      </c>
      <c r="J1229" s="1">
        <v>3.27</v>
      </c>
      <c r="K1229" s="1">
        <v>0.72</v>
      </c>
      <c r="L1229" s="1">
        <v>9.6</v>
      </c>
      <c r="M1229" s="2">
        <v>5</v>
      </c>
      <c r="N1229" s="2" t="str" cm="1">
        <f t="array" ref="N1229">_xlfn.IFS(Table1[[#This Row],[quality]]&lt;=4,"Low",Table1[[#This Row],[quality]]&lt;=6,"Medium",Table1[[#This Row],[quality]]&gt;=7,"High")</f>
        <v>Medium</v>
      </c>
      <c r="O1229" s="2" t="str">
        <f>IF(AND(Table1[[#This Row],[fixed acidity]]&gt;Sheet1!$C$4,Table1[[#This Row],[pH]]&lt;Sheet1!$K$4),"High","Normal")</f>
        <v>High</v>
      </c>
      <c r="P1229" s="1">
        <f>(Table1[[#This Row],[alcohol]]*2)+(Table1[[#This Row],[sulphates]]*1.5)-(Table1[[#This Row],[volatile acidity]]*2)</f>
        <v>19.12</v>
      </c>
      <c r="Q1229" s="1">
        <f>RANK(Table1[[#This Row],[Quality_score_index]],Table1[Quality_score_index],0)</f>
        <v>1115</v>
      </c>
      <c r="R1229" s="1">
        <f>Table1[[#This Row],[total sulfur dioxide]]-Table1[[#This Row],[free sulfur dioxide]]</f>
        <v>13</v>
      </c>
      <c r="S1229" s="1" t="str">
        <f>IF(AND(Table1[[#This Row],[pH]]&gt;=3.2,Table1[[#This Row],[alcohol]]&gt;=10),"White wine","Red wine")</f>
        <v>Red wine</v>
      </c>
    </row>
    <row r="1230" spans="1:19" x14ac:dyDescent="0.3">
      <c r="A1230" s="13">
        <v>1229</v>
      </c>
      <c r="B1230" s="1">
        <v>5.0999999999999996</v>
      </c>
      <c r="C1230" s="1">
        <v>0.42</v>
      </c>
      <c r="D1230" s="1">
        <v>0</v>
      </c>
      <c r="E1230" s="1">
        <v>1.8</v>
      </c>
      <c r="F1230" s="1">
        <v>4.3999999999999997E-2</v>
      </c>
      <c r="G1230" s="1">
        <v>18</v>
      </c>
      <c r="H1230" s="1">
        <v>88</v>
      </c>
      <c r="I1230" s="1">
        <v>0.99156999999999995</v>
      </c>
      <c r="J1230" s="1">
        <v>3.68</v>
      </c>
      <c r="K1230" s="1">
        <v>0.73</v>
      </c>
      <c r="L1230" s="1">
        <v>13.6</v>
      </c>
      <c r="M1230" s="2">
        <v>7</v>
      </c>
      <c r="N1230" s="2" t="str" cm="1">
        <f t="array" ref="N1230">_xlfn.IFS(Table1[[#This Row],[quality]]&lt;=4,"Low",Table1[[#This Row],[quality]]&lt;=6,"Medium",Table1[[#This Row],[quality]]&gt;=7,"High")</f>
        <v>High</v>
      </c>
      <c r="O1230" s="2" t="str">
        <f>IF(AND(Table1[[#This Row],[fixed acidity]]&gt;Sheet1!$C$4,Table1[[#This Row],[pH]]&lt;Sheet1!$K$4),"High","Normal")</f>
        <v>Normal</v>
      </c>
      <c r="P1230" s="1">
        <f>(Table1[[#This Row],[alcohol]]*2)+(Table1[[#This Row],[sulphates]]*1.5)-(Table1[[#This Row],[volatile acidity]]*2)</f>
        <v>27.454999999999998</v>
      </c>
      <c r="Q1230" s="1">
        <f>RANK(Table1[[#This Row],[Quality_score_index]],Table1[Quality_score_index],0)</f>
        <v>12</v>
      </c>
      <c r="R1230" s="1">
        <f>Table1[[#This Row],[total sulfur dioxide]]-Table1[[#This Row],[free sulfur dioxide]]</f>
        <v>70</v>
      </c>
      <c r="S1230" s="1" t="str">
        <f>IF(AND(Table1[[#This Row],[pH]]&gt;=3.2,Table1[[#This Row],[alcohol]]&gt;=10),"White wine","Red wine")</f>
        <v>White wine</v>
      </c>
    </row>
    <row r="1231" spans="1:19" x14ac:dyDescent="0.3">
      <c r="A1231" s="13">
        <v>1230</v>
      </c>
      <c r="B1231" s="1">
        <v>7.6</v>
      </c>
      <c r="C1231" s="1">
        <v>0.43</v>
      </c>
      <c r="D1231" s="1">
        <v>0.28999999999999998</v>
      </c>
      <c r="E1231" s="1">
        <v>2.1</v>
      </c>
      <c r="F1231" s="1">
        <v>7.4999999999999997E-2</v>
      </c>
      <c r="G1231" s="1">
        <v>19</v>
      </c>
      <c r="H1231" s="1">
        <v>66</v>
      </c>
      <c r="I1231" s="1">
        <v>0.99717999999999996</v>
      </c>
      <c r="J1231" s="1">
        <v>3.4</v>
      </c>
      <c r="K1231" s="1">
        <v>0.64</v>
      </c>
      <c r="L1231" s="1">
        <v>9.5</v>
      </c>
      <c r="M1231" s="2">
        <v>5</v>
      </c>
      <c r="N1231" s="2" t="str" cm="1">
        <f t="array" ref="N1231">_xlfn.IFS(Table1[[#This Row],[quality]]&lt;=4,"Low",Table1[[#This Row],[quality]]&lt;=6,"Medium",Table1[[#This Row],[quality]]&gt;=7,"High")</f>
        <v>Medium</v>
      </c>
      <c r="O1231" s="2" t="str">
        <f>IF(AND(Table1[[#This Row],[fixed acidity]]&gt;Sheet1!$C$4,Table1[[#This Row],[pH]]&lt;Sheet1!$K$4),"High","Normal")</f>
        <v>Normal</v>
      </c>
      <c r="P1231" s="1">
        <f>(Table1[[#This Row],[alcohol]]*2)+(Table1[[#This Row],[sulphates]]*1.5)-(Table1[[#This Row],[volatile acidity]]*2)</f>
        <v>19.100000000000001</v>
      </c>
      <c r="Q1231" s="1">
        <f>RANK(Table1[[#This Row],[Quality_score_index]],Table1[Quality_score_index],0)</f>
        <v>1121</v>
      </c>
      <c r="R1231" s="1">
        <f>Table1[[#This Row],[total sulfur dioxide]]-Table1[[#This Row],[free sulfur dioxide]]</f>
        <v>47</v>
      </c>
      <c r="S1231" s="1" t="str">
        <f>IF(AND(Table1[[#This Row],[pH]]&gt;=3.2,Table1[[#This Row],[alcohol]]&gt;=10),"White wine","Red wine")</f>
        <v>Red wine</v>
      </c>
    </row>
    <row r="1232" spans="1:19" x14ac:dyDescent="0.3">
      <c r="A1232" s="13">
        <v>1231</v>
      </c>
      <c r="B1232" s="1">
        <v>7.7</v>
      </c>
      <c r="C1232" s="1">
        <v>0.18</v>
      </c>
      <c r="D1232" s="1">
        <v>0.34</v>
      </c>
      <c r="E1232" s="1">
        <v>2.7</v>
      </c>
      <c r="F1232" s="1">
        <v>6.6000000000000003E-2</v>
      </c>
      <c r="G1232" s="1">
        <v>15</v>
      </c>
      <c r="H1232" s="1">
        <v>58</v>
      </c>
      <c r="I1232" s="1">
        <v>0.99470000000000003</v>
      </c>
      <c r="J1232" s="1">
        <v>3.37</v>
      </c>
      <c r="K1232" s="1">
        <v>0.78</v>
      </c>
      <c r="L1232" s="1">
        <v>11.8</v>
      </c>
      <c r="M1232" s="2">
        <v>6</v>
      </c>
      <c r="N1232" s="2" t="str" cm="1">
        <f t="array" ref="N1232">_xlfn.IFS(Table1[[#This Row],[quality]]&lt;=4,"Low",Table1[[#This Row],[quality]]&lt;=6,"Medium",Table1[[#This Row],[quality]]&gt;=7,"High")</f>
        <v>Medium</v>
      </c>
      <c r="O1232" s="2" t="str">
        <f>IF(AND(Table1[[#This Row],[fixed acidity]]&gt;Sheet1!$C$4,Table1[[#This Row],[pH]]&lt;Sheet1!$K$4),"High","Normal")</f>
        <v>Normal</v>
      </c>
      <c r="P1232" s="1">
        <f>(Table1[[#This Row],[alcohol]]*2)+(Table1[[#This Row],[sulphates]]*1.5)-(Table1[[#This Row],[volatile acidity]]*2)</f>
        <v>24.410000000000004</v>
      </c>
      <c r="Q1232" s="1">
        <f>RANK(Table1[[#This Row],[Quality_score_index]],Table1[Quality_score_index],0)</f>
        <v>136</v>
      </c>
      <c r="R1232" s="1">
        <f>Table1[[#This Row],[total sulfur dioxide]]-Table1[[#This Row],[free sulfur dioxide]]</f>
        <v>43</v>
      </c>
      <c r="S1232" s="1" t="str">
        <f>IF(AND(Table1[[#This Row],[pH]]&gt;=3.2,Table1[[#This Row],[alcohol]]&gt;=10),"White wine","Red wine")</f>
        <v>White wine</v>
      </c>
    </row>
    <row r="1233" spans="1:19" x14ac:dyDescent="0.3">
      <c r="A1233" s="13">
        <v>1232</v>
      </c>
      <c r="B1233" s="1">
        <v>7.8</v>
      </c>
      <c r="C1233" s="1">
        <v>0.81499999999999995</v>
      </c>
      <c r="D1233" s="1">
        <v>0.01</v>
      </c>
      <c r="E1233" s="1">
        <v>2.6</v>
      </c>
      <c r="F1233" s="1">
        <v>7.3999999999999996E-2</v>
      </c>
      <c r="G1233" s="1">
        <v>48</v>
      </c>
      <c r="H1233" s="1">
        <v>90</v>
      </c>
      <c r="I1233" s="1">
        <v>0.99621000000000004</v>
      </c>
      <c r="J1233" s="1">
        <v>3.38</v>
      </c>
      <c r="K1233" s="1">
        <v>0.62</v>
      </c>
      <c r="L1233" s="1">
        <v>10.8</v>
      </c>
      <c r="M1233" s="2">
        <v>5</v>
      </c>
      <c r="N1233" s="2" t="str" cm="1">
        <f t="array" ref="N1233">_xlfn.IFS(Table1[[#This Row],[quality]]&lt;=4,"Low",Table1[[#This Row],[quality]]&lt;=6,"Medium",Table1[[#This Row],[quality]]&gt;=7,"High")</f>
        <v>Medium</v>
      </c>
      <c r="O1233" s="2" t="str">
        <f>IF(AND(Table1[[#This Row],[fixed acidity]]&gt;Sheet1!$C$4,Table1[[#This Row],[pH]]&lt;Sheet1!$K$4),"High","Normal")</f>
        <v>Normal</v>
      </c>
      <c r="P1233" s="1">
        <f>(Table1[[#This Row],[alcohol]]*2)+(Table1[[#This Row],[sulphates]]*1.5)-(Table1[[#This Row],[volatile acidity]]*2)</f>
        <v>20.900000000000002</v>
      </c>
      <c r="Q1233" s="1">
        <f>RANK(Table1[[#This Row],[Quality_score_index]],Table1[Quality_score_index],0)</f>
        <v>673</v>
      </c>
      <c r="R1233" s="1">
        <f>Table1[[#This Row],[total sulfur dioxide]]-Table1[[#This Row],[free sulfur dioxide]]</f>
        <v>42</v>
      </c>
      <c r="S1233" s="1" t="str">
        <f>IF(AND(Table1[[#This Row],[pH]]&gt;=3.2,Table1[[#This Row],[alcohol]]&gt;=10),"White wine","Red wine")</f>
        <v>White wine</v>
      </c>
    </row>
    <row r="1234" spans="1:19" x14ac:dyDescent="0.3">
      <c r="A1234" s="13">
        <v>1233</v>
      </c>
      <c r="B1234" s="1">
        <v>7.6</v>
      </c>
      <c r="C1234" s="1">
        <v>0.43</v>
      </c>
      <c r="D1234" s="1">
        <v>0.28999999999999998</v>
      </c>
      <c r="E1234" s="1">
        <v>2.1</v>
      </c>
      <c r="F1234" s="1">
        <v>7.4999999999999997E-2</v>
      </c>
      <c r="G1234" s="1">
        <v>19</v>
      </c>
      <c r="H1234" s="1">
        <v>66</v>
      </c>
      <c r="I1234" s="1">
        <v>0.99717999999999996</v>
      </c>
      <c r="J1234" s="1">
        <v>3.4</v>
      </c>
      <c r="K1234" s="1">
        <v>0.64</v>
      </c>
      <c r="L1234" s="1">
        <v>9.5</v>
      </c>
      <c r="M1234" s="2">
        <v>5</v>
      </c>
      <c r="N1234" s="2" t="str" cm="1">
        <f t="array" ref="N1234">_xlfn.IFS(Table1[[#This Row],[quality]]&lt;=4,"Low",Table1[[#This Row],[quality]]&lt;=6,"Medium",Table1[[#This Row],[quality]]&gt;=7,"High")</f>
        <v>Medium</v>
      </c>
      <c r="O1234" s="2" t="str">
        <f>IF(AND(Table1[[#This Row],[fixed acidity]]&gt;Sheet1!$C$4,Table1[[#This Row],[pH]]&lt;Sheet1!$K$4),"High","Normal")</f>
        <v>Normal</v>
      </c>
      <c r="P1234" s="1">
        <f>(Table1[[#This Row],[alcohol]]*2)+(Table1[[#This Row],[sulphates]]*1.5)-(Table1[[#This Row],[volatile acidity]]*2)</f>
        <v>19.100000000000001</v>
      </c>
      <c r="Q1234" s="1">
        <f>RANK(Table1[[#This Row],[Quality_score_index]],Table1[Quality_score_index],0)</f>
        <v>1121</v>
      </c>
      <c r="R1234" s="1">
        <f>Table1[[#This Row],[total sulfur dioxide]]-Table1[[#This Row],[free sulfur dioxide]]</f>
        <v>47</v>
      </c>
      <c r="S1234" s="1" t="str">
        <f>IF(AND(Table1[[#This Row],[pH]]&gt;=3.2,Table1[[#This Row],[alcohol]]&gt;=10),"White wine","Red wine")</f>
        <v>Red wine</v>
      </c>
    </row>
    <row r="1235" spans="1:19" x14ac:dyDescent="0.3">
      <c r="A1235" s="13">
        <v>1234</v>
      </c>
      <c r="B1235" s="1">
        <v>10.199999999999999</v>
      </c>
      <c r="C1235" s="1">
        <v>0.23</v>
      </c>
      <c r="D1235" s="1">
        <v>0.37</v>
      </c>
      <c r="E1235" s="1">
        <v>2.2000000000000002</v>
      </c>
      <c r="F1235" s="1">
        <v>5.7000000000000002E-2</v>
      </c>
      <c r="G1235" s="1">
        <v>14</v>
      </c>
      <c r="H1235" s="1">
        <v>36</v>
      </c>
      <c r="I1235" s="1">
        <v>0.99614000000000003</v>
      </c>
      <c r="J1235" s="1">
        <v>3.23</v>
      </c>
      <c r="K1235" s="1">
        <v>0.49</v>
      </c>
      <c r="L1235" s="1">
        <v>9.3000000000000007</v>
      </c>
      <c r="M1235" s="2">
        <v>4</v>
      </c>
      <c r="N1235" s="2" t="str" cm="1">
        <f t="array" ref="N1235">_xlfn.IFS(Table1[[#This Row],[quality]]&lt;=4,"Low",Table1[[#This Row],[quality]]&lt;=6,"Medium",Table1[[#This Row],[quality]]&gt;=7,"High")</f>
        <v>Low</v>
      </c>
      <c r="O1235" s="2" t="str">
        <f>IF(AND(Table1[[#This Row],[fixed acidity]]&gt;Sheet1!$C$4,Table1[[#This Row],[pH]]&lt;Sheet1!$K$4),"High","Normal")</f>
        <v>High</v>
      </c>
      <c r="P1235" s="1">
        <f>(Table1[[#This Row],[alcohol]]*2)+(Table1[[#This Row],[sulphates]]*1.5)-(Table1[[#This Row],[volatile acidity]]*2)</f>
        <v>18.875</v>
      </c>
      <c r="Q1235" s="1">
        <f>RANK(Table1[[#This Row],[Quality_score_index]],Table1[Quality_score_index],0)</f>
        <v>1215</v>
      </c>
      <c r="R1235" s="1">
        <f>Table1[[#This Row],[total sulfur dioxide]]-Table1[[#This Row],[free sulfur dioxide]]</f>
        <v>22</v>
      </c>
      <c r="S1235" s="1" t="str">
        <f>IF(AND(Table1[[#This Row],[pH]]&gt;=3.2,Table1[[#This Row],[alcohol]]&gt;=10),"White wine","Red wine")</f>
        <v>Red wine</v>
      </c>
    </row>
    <row r="1236" spans="1:19" x14ac:dyDescent="0.3">
      <c r="A1236" s="13">
        <v>1235</v>
      </c>
      <c r="B1236" s="1">
        <v>7.1</v>
      </c>
      <c r="C1236" s="1">
        <v>0.75</v>
      </c>
      <c r="D1236" s="1">
        <v>0.01</v>
      </c>
      <c r="E1236" s="1">
        <v>2.2000000000000002</v>
      </c>
      <c r="F1236" s="1">
        <v>5.8999999999999997E-2</v>
      </c>
      <c r="G1236" s="1">
        <v>11</v>
      </c>
      <c r="H1236" s="1">
        <v>18</v>
      </c>
      <c r="I1236" s="1">
        <v>0.99241999999999997</v>
      </c>
      <c r="J1236" s="1">
        <v>3.39</v>
      </c>
      <c r="K1236" s="1">
        <v>0.4</v>
      </c>
      <c r="L1236" s="1">
        <v>12.8</v>
      </c>
      <c r="M1236" s="2">
        <v>6</v>
      </c>
      <c r="N1236" s="2" t="str" cm="1">
        <f t="array" ref="N1236">_xlfn.IFS(Table1[[#This Row],[quality]]&lt;=4,"Low",Table1[[#This Row],[quality]]&lt;=6,"Medium",Table1[[#This Row],[quality]]&gt;=7,"High")</f>
        <v>Medium</v>
      </c>
      <c r="O1236" s="2" t="str">
        <f>IF(AND(Table1[[#This Row],[fixed acidity]]&gt;Sheet1!$C$4,Table1[[#This Row],[pH]]&lt;Sheet1!$K$4),"High","Normal")</f>
        <v>Normal</v>
      </c>
      <c r="P1236" s="1">
        <f>(Table1[[#This Row],[alcohol]]*2)+(Table1[[#This Row],[sulphates]]*1.5)-(Table1[[#This Row],[volatile acidity]]*2)</f>
        <v>24.700000000000003</v>
      </c>
      <c r="Q1236" s="1">
        <f>RANK(Table1[[#This Row],[Quality_score_index]],Table1[Quality_score_index],0)</f>
        <v>109</v>
      </c>
      <c r="R1236" s="1">
        <f>Table1[[#This Row],[total sulfur dioxide]]-Table1[[#This Row],[free sulfur dioxide]]</f>
        <v>7</v>
      </c>
      <c r="S1236" s="1" t="str">
        <f>IF(AND(Table1[[#This Row],[pH]]&gt;=3.2,Table1[[#This Row],[alcohol]]&gt;=10),"White wine","Red wine")</f>
        <v>White wine</v>
      </c>
    </row>
    <row r="1237" spans="1:19" x14ac:dyDescent="0.3">
      <c r="A1237" s="13">
        <v>1236</v>
      </c>
      <c r="B1237" s="1">
        <v>6</v>
      </c>
      <c r="C1237" s="1">
        <v>0.33</v>
      </c>
      <c r="D1237" s="1">
        <v>0.32</v>
      </c>
      <c r="E1237" s="1">
        <v>12.9</v>
      </c>
      <c r="F1237" s="1">
        <v>5.3999999999999999E-2</v>
      </c>
      <c r="G1237" s="1">
        <v>6</v>
      </c>
      <c r="H1237" s="1">
        <v>113</v>
      </c>
      <c r="I1237" s="1">
        <v>0.99572000000000005</v>
      </c>
      <c r="J1237" s="1">
        <v>3.3</v>
      </c>
      <c r="K1237" s="1">
        <v>0.56000000000000005</v>
      </c>
      <c r="L1237" s="1">
        <v>11.5</v>
      </c>
      <c r="M1237" s="2">
        <v>4</v>
      </c>
      <c r="N1237" s="2" t="str" cm="1">
        <f t="array" ref="N1237">_xlfn.IFS(Table1[[#This Row],[quality]]&lt;=4,"Low",Table1[[#This Row],[quality]]&lt;=6,"Medium",Table1[[#This Row],[quality]]&gt;=7,"High")</f>
        <v>Low</v>
      </c>
      <c r="O1237" s="2" t="str">
        <f>IF(AND(Table1[[#This Row],[fixed acidity]]&gt;Sheet1!$C$4,Table1[[#This Row],[pH]]&lt;Sheet1!$K$4),"High","Normal")</f>
        <v>Normal</v>
      </c>
      <c r="P1237" s="1">
        <f>(Table1[[#This Row],[alcohol]]*2)+(Table1[[#This Row],[sulphates]]*1.5)-(Table1[[#This Row],[volatile acidity]]*2)</f>
        <v>23.18</v>
      </c>
      <c r="Q1237" s="1">
        <f>RANK(Table1[[#This Row],[Quality_score_index]],Table1[Quality_score_index],0)</f>
        <v>248</v>
      </c>
      <c r="R1237" s="1">
        <f>Table1[[#This Row],[total sulfur dioxide]]-Table1[[#This Row],[free sulfur dioxide]]</f>
        <v>107</v>
      </c>
      <c r="S1237" s="1" t="str">
        <f>IF(AND(Table1[[#This Row],[pH]]&gt;=3.2,Table1[[#This Row],[alcohol]]&gt;=10),"White wine","Red wine")</f>
        <v>White wine</v>
      </c>
    </row>
    <row r="1238" spans="1:19" x14ac:dyDescent="0.3">
      <c r="A1238" s="13">
        <v>1237</v>
      </c>
      <c r="B1238" s="1">
        <v>7.8</v>
      </c>
      <c r="C1238" s="1">
        <v>0.55000000000000004</v>
      </c>
      <c r="D1238" s="1">
        <v>0</v>
      </c>
      <c r="E1238" s="1">
        <v>1.7</v>
      </c>
      <c r="F1238" s="1">
        <v>7.0000000000000007E-2</v>
      </c>
      <c r="G1238" s="1">
        <v>7</v>
      </c>
      <c r="H1238" s="1">
        <v>17</v>
      </c>
      <c r="I1238" s="1">
        <v>0.99658999999999998</v>
      </c>
      <c r="J1238" s="1">
        <v>3.26</v>
      </c>
      <c r="K1238" s="1">
        <v>0.64</v>
      </c>
      <c r="L1238" s="1">
        <v>9.4</v>
      </c>
      <c r="M1238" s="2">
        <v>6</v>
      </c>
      <c r="N1238" s="2" t="str" cm="1">
        <f t="array" ref="N1238">_xlfn.IFS(Table1[[#This Row],[quality]]&lt;=4,"Low",Table1[[#This Row],[quality]]&lt;=6,"Medium",Table1[[#This Row],[quality]]&gt;=7,"High")</f>
        <v>Medium</v>
      </c>
      <c r="O1238" s="2" t="str">
        <f>IF(AND(Table1[[#This Row],[fixed acidity]]&gt;Sheet1!$C$4,Table1[[#This Row],[pH]]&lt;Sheet1!$K$4),"High","Normal")</f>
        <v>Normal</v>
      </c>
      <c r="P1238" s="1">
        <f>(Table1[[#This Row],[alcohol]]*2)+(Table1[[#This Row],[sulphates]]*1.5)-(Table1[[#This Row],[volatile acidity]]*2)</f>
        <v>18.66</v>
      </c>
      <c r="Q1238" s="1">
        <f>RANK(Table1[[#This Row],[Quality_score_index]],Table1[Quality_score_index],0)</f>
        <v>1312</v>
      </c>
      <c r="R1238" s="1">
        <f>Table1[[#This Row],[total sulfur dioxide]]-Table1[[#This Row],[free sulfur dioxide]]</f>
        <v>10</v>
      </c>
      <c r="S1238" s="1" t="str">
        <f>IF(AND(Table1[[#This Row],[pH]]&gt;=3.2,Table1[[#This Row],[alcohol]]&gt;=10),"White wine","Red wine")</f>
        <v>Red wine</v>
      </c>
    </row>
    <row r="1239" spans="1:19" x14ac:dyDescent="0.3">
      <c r="A1239" s="13">
        <v>1238</v>
      </c>
      <c r="B1239" s="1">
        <v>7.1</v>
      </c>
      <c r="C1239" s="1">
        <v>0.75</v>
      </c>
      <c r="D1239" s="1">
        <v>0.01</v>
      </c>
      <c r="E1239" s="1">
        <v>2.2000000000000002</v>
      </c>
      <c r="F1239" s="1">
        <v>5.8999999999999997E-2</v>
      </c>
      <c r="G1239" s="1">
        <v>11</v>
      </c>
      <c r="H1239" s="1">
        <v>18</v>
      </c>
      <c r="I1239" s="1">
        <v>0.99241999999999997</v>
      </c>
      <c r="J1239" s="1">
        <v>3.39</v>
      </c>
      <c r="K1239" s="1">
        <v>0.4</v>
      </c>
      <c r="L1239" s="1">
        <v>12.8</v>
      </c>
      <c r="M1239" s="2">
        <v>6</v>
      </c>
      <c r="N1239" s="2" t="str" cm="1">
        <f t="array" ref="N1239">_xlfn.IFS(Table1[[#This Row],[quality]]&lt;=4,"Low",Table1[[#This Row],[quality]]&lt;=6,"Medium",Table1[[#This Row],[quality]]&gt;=7,"High")</f>
        <v>Medium</v>
      </c>
      <c r="O1239" s="2" t="str">
        <f>IF(AND(Table1[[#This Row],[fixed acidity]]&gt;Sheet1!$C$4,Table1[[#This Row],[pH]]&lt;Sheet1!$K$4),"High","Normal")</f>
        <v>Normal</v>
      </c>
      <c r="P1239" s="1">
        <f>(Table1[[#This Row],[alcohol]]*2)+(Table1[[#This Row],[sulphates]]*1.5)-(Table1[[#This Row],[volatile acidity]]*2)</f>
        <v>24.700000000000003</v>
      </c>
      <c r="Q1239" s="1">
        <f>RANK(Table1[[#This Row],[Quality_score_index]],Table1[Quality_score_index],0)</f>
        <v>109</v>
      </c>
      <c r="R1239" s="1">
        <f>Table1[[#This Row],[total sulfur dioxide]]-Table1[[#This Row],[free sulfur dioxide]]</f>
        <v>7</v>
      </c>
      <c r="S1239" s="1" t="str">
        <f>IF(AND(Table1[[#This Row],[pH]]&gt;=3.2,Table1[[#This Row],[alcohol]]&gt;=10),"White wine","Red wine")</f>
        <v>White wine</v>
      </c>
    </row>
    <row r="1240" spans="1:19" x14ac:dyDescent="0.3">
      <c r="A1240" s="13">
        <v>1239</v>
      </c>
      <c r="B1240" s="1">
        <v>8.1</v>
      </c>
      <c r="C1240" s="1">
        <v>0.73</v>
      </c>
      <c r="D1240" s="1">
        <v>0</v>
      </c>
      <c r="E1240" s="1">
        <v>2.5</v>
      </c>
      <c r="F1240" s="1">
        <v>8.1000000000000003E-2</v>
      </c>
      <c r="G1240" s="1">
        <v>12</v>
      </c>
      <c r="H1240" s="1">
        <v>24</v>
      </c>
      <c r="I1240" s="1">
        <v>0.99797999999999998</v>
      </c>
      <c r="J1240" s="1">
        <v>3.38</v>
      </c>
      <c r="K1240" s="1">
        <v>0.46</v>
      </c>
      <c r="L1240" s="1">
        <v>9.6</v>
      </c>
      <c r="M1240" s="2">
        <v>4</v>
      </c>
      <c r="N1240" s="2" t="str" cm="1">
        <f t="array" ref="N1240">_xlfn.IFS(Table1[[#This Row],[quality]]&lt;=4,"Low",Table1[[#This Row],[quality]]&lt;=6,"Medium",Table1[[#This Row],[quality]]&gt;=7,"High")</f>
        <v>Low</v>
      </c>
      <c r="O1240" s="2" t="str">
        <f>IF(AND(Table1[[#This Row],[fixed acidity]]&gt;Sheet1!$C$4,Table1[[#This Row],[pH]]&lt;Sheet1!$K$4),"High","Normal")</f>
        <v>Normal</v>
      </c>
      <c r="P1240" s="1">
        <f>(Table1[[#This Row],[alcohol]]*2)+(Table1[[#This Row],[sulphates]]*1.5)-(Table1[[#This Row],[volatile acidity]]*2)</f>
        <v>18.43</v>
      </c>
      <c r="Q1240" s="1">
        <f>RANK(Table1[[#This Row],[Quality_score_index]],Table1[Quality_score_index],0)</f>
        <v>1399</v>
      </c>
      <c r="R1240" s="1">
        <f>Table1[[#This Row],[total sulfur dioxide]]-Table1[[#This Row],[free sulfur dioxide]]</f>
        <v>12</v>
      </c>
      <c r="S1240" s="1" t="str">
        <f>IF(AND(Table1[[#This Row],[pH]]&gt;=3.2,Table1[[#This Row],[alcohol]]&gt;=10),"White wine","Red wine")</f>
        <v>Red wine</v>
      </c>
    </row>
    <row r="1241" spans="1:19" x14ac:dyDescent="0.3">
      <c r="A1241" s="13">
        <v>1240</v>
      </c>
      <c r="B1241" s="1">
        <v>6.5</v>
      </c>
      <c r="C1241" s="1">
        <v>0.67</v>
      </c>
      <c r="D1241" s="1">
        <v>0</v>
      </c>
      <c r="E1241" s="1">
        <v>4.3</v>
      </c>
      <c r="F1241" s="1">
        <v>5.7000000000000002E-2</v>
      </c>
      <c r="G1241" s="1">
        <v>11</v>
      </c>
      <c r="H1241" s="1">
        <v>20</v>
      </c>
      <c r="I1241" s="1">
        <v>0.99487999999999999</v>
      </c>
      <c r="J1241" s="1">
        <v>3.45</v>
      </c>
      <c r="K1241" s="1">
        <v>0.56000000000000005</v>
      </c>
      <c r="L1241" s="1">
        <v>11.8</v>
      </c>
      <c r="M1241" s="2">
        <v>4</v>
      </c>
      <c r="N1241" s="2" t="str" cm="1">
        <f t="array" ref="N1241">_xlfn.IFS(Table1[[#This Row],[quality]]&lt;=4,"Low",Table1[[#This Row],[quality]]&lt;=6,"Medium",Table1[[#This Row],[quality]]&gt;=7,"High")</f>
        <v>Low</v>
      </c>
      <c r="O1241" s="2" t="str">
        <f>IF(AND(Table1[[#This Row],[fixed acidity]]&gt;Sheet1!$C$4,Table1[[#This Row],[pH]]&lt;Sheet1!$K$4),"High","Normal")</f>
        <v>Normal</v>
      </c>
      <c r="P1241" s="1">
        <f>(Table1[[#This Row],[alcohol]]*2)+(Table1[[#This Row],[sulphates]]*1.5)-(Table1[[#This Row],[volatile acidity]]*2)</f>
        <v>23.1</v>
      </c>
      <c r="Q1241" s="1">
        <f>RANK(Table1[[#This Row],[Quality_score_index]],Table1[Quality_score_index],0)</f>
        <v>260</v>
      </c>
      <c r="R1241" s="1">
        <f>Table1[[#This Row],[total sulfur dioxide]]-Table1[[#This Row],[free sulfur dioxide]]</f>
        <v>9</v>
      </c>
      <c r="S1241" s="1" t="str">
        <f>IF(AND(Table1[[#This Row],[pH]]&gt;=3.2,Table1[[#This Row],[alcohol]]&gt;=10),"White wine","Red wine")</f>
        <v>White wine</v>
      </c>
    </row>
    <row r="1242" spans="1:19" x14ac:dyDescent="0.3">
      <c r="A1242" s="13">
        <v>1241</v>
      </c>
      <c r="B1242" s="1">
        <v>7.5</v>
      </c>
      <c r="C1242" s="1">
        <v>0.61</v>
      </c>
      <c r="D1242" s="1">
        <v>0.2</v>
      </c>
      <c r="E1242" s="1">
        <v>1.7</v>
      </c>
      <c r="F1242" s="1">
        <v>7.5999999999999998E-2</v>
      </c>
      <c r="G1242" s="1">
        <v>36</v>
      </c>
      <c r="H1242" s="1">
        <v>60</v>
      </c>
      <c r="I1242" s="1">
        <v>0.99494000000000005</v>
      </c>
      <c r="J1242" s="1">
        <v>3.1</v>
      </c>
      <c r="K1242" s="1">
        <v>0.4</v>
      </c>
      <c r="L1242" s="1">
        <v>9.3000000000000007</v>
      </c>
      <c r="M1242" s="2">
        <v>5</v>
      </c>
      <c r="N1242" s="2" t="str" cm="1">
        <f t="array" ref="N1242">_xlfn.IFS(Table1[[#This Row],[quality]]&lt;=4,"Low",Table1[[#This Row],[quality]]&lt;=6,"Medium",Table1[[#This Row],[quality]]&gt;=7,"High")</f>
        <v>Medium</v>
      </c>
      <c r="O1242" s="2" t="str">
        <f>IF(AND(Table1[[#This Row],[fixed acidity]]&gt;Sheet1!$C$4,Table1[[#This Row],[pH]]&lt;Sheet1!$K$4),"High","Normal")</f>
        <v>Normal</v>
      </c>
      <c r="P1242" s="1">
        <f>(Table1[[#This Row],[alcohol]]*2)+(Table1[[#This Row],[sulphates]]*1.5)-(Table1[[#This Row],[volatile acidity]]*2)</f>
        <v>17.980000000000004</v>
      </c>
      <c r="Q1242" s="1">
        <f>RANK(Table1[[#This Row],[Quality_score_index]],Table1[Quality_score_index],0)</f>
        <v>1523</v>
      </c>
      <c r="R1242" s="1">
        <f>Table1[[#This Row],[total sulfur dioxide]]-Table1[[#This Row],[free sulfur dioxide]]</f>
        <v>24</v>
      </c>
      <c r="S1242" s="1" t="str">
        <f>IF(AND(Table1[[#This Row],[pH]]&gt;=3.2,Table1[[#This Row],[alcohol]]&gt;=10),"White wine","Red wine")</f>
        <v>Red wine</v>
      </c>
    </row>
    <row r="1243" spans="1:19" x14ac:dyDescent="0.3">
      <c r="A1243" s="13">
        <v>1242</v>
      </c>
      <c r="B1243" s="1">
        <v>9.8000000000000007</v>
      </c>
      <c r="C1243" s="1">
        <v>0.37</v>
      </c>
      <c r="D1243" s="1">
        <v>0.39</v>
      </c>
      <c r="E1243" s="1">
        <v>2.5</v>
      </c>
      <c r="F1243" s="1">
        <v>7.9000000000000001E-2</v>
      </c>
      <c r="G1243" s="1">
        <v>28</v>
      </c>
      <c r="H1243" s="1">
        <v>65</v>
      </c>
      <c r="I1243" s="1">
        <v>0.99729000000000001</v>
      </c>
      <c r="J1243" s="1">
        <v>3.16</v>
      </c>
      <c r="K1243" s="1">
        <v>0.59</v>
      </c>
      <c r="L1243" s="1">
        <v>9.8000000000000007</v>
      </c>
      <c r="M1243" s="2">
        <v>5</v>
      </c>
      <c r="N1243" s="2" t="str" cm="1">
        <f t="array" ref="N1243">_xlfn.IFS(Table1[[#This Row],[quality]]&lt;=4,"Low",Table1[[#This Row],[quality]]&lt;=6,"Medium",Table1[[#This Row],[quality]]&gt;=7,"High")</f>
        <v>Medium</v>
      </c>
      <c r="O1243" s="2" t="str">
        <f>IF(AND(Table1[[#This Row],[fixed acidity]]&gt;Sheet1!$C$4,Table1[[#This Row],[pH]]&lt;Sheet1!$K$4),"High","Normal")</f>
        <v>High</v>
      </c>
      <c r="P1243" s="1">
        <f>(Table1[[#This Row],[alcohol]]*2)+(Table1[[#This Row],[sulphates]]*1.5)-(Table1[[#This Row],[volatile acidity]]*2)</f>
        <v>19.745000000000005</v>
      </c>
      <c r="Q1243" s="1">
        <f>RANK(Table1[[#This Row],[Quality_score_index]],Table1[Quality_score_index],0)</f>
        <v>916</v>
      </c>
      <c r="R1243" s="1">
        <f>Table1[[#This Row],[total sulfur dioxide]]-Table1[[#This Row],[free sulfur dioxide]]</f>
        <v>37</v>
      </c>
      <c r="S1243" s="1" t="str">
        <f>IF(AND(Table1[[#This Row],[pH]]&gt;=3.2,Table1[[#This Row],[alcohol]]&gt;=10),"White wine","Red wine")</f>
        <v>Red wine</v>
      </c>
    </row>
    <row r="1244" spans="1:19" x14ac:dyDescent="0.3">
      <c r="A1244" s="13">
        <v>1243</v>
      </c>
      <c r="B1244" s="1">
        <v>9</v>
      </c>
      <c r="C1244" s="1">
        <v>0.4</v>
      </c>
      <c r="D1244" s="1">
        <v>0.41</v>
      </c>
      <c r="E1244" s="1">
        <v>2</v>
      </c>
      <c r="F1244" s="1">
        <v>5.8000000000000003E-2</v>
      </c>
      <c r="G1244" s="1">
        <v>15</v>
      </c>
      <c r="H1244" s="1">
        <v>40</v>
      </c>
      <c r="I1244" s="1">
        <v>0.99414000000000002</v>
      </c>
      <c r="J1244" s="1">
        <v>3.22</v>
      </c>
      <c r="K1244" s="1">
        <v>0.6</v>
      </c>
      <c r="L1244" s="1">
        <v>12.2</v>
      </c>
      <c r="M1244" s="2">
        <v>6</v>
      </c>
      <c r="N1244" s="2" t="str" cm="1">
        <f t="array" ref="N1244">_xlfn.IFS(Table1[[#This Row],[quality]]&lt;=4,"Low",Table1[[#This Row],[quality]]&lt;=6,"Medium",Table1[[#This Row],[quality]]&gt;=7,"High")</f>
        <v>Medium</v>
      </c>
      <c r="O1244" s="2" t="str">
        <f>IF(AND(Table1[[#This Row],[fixed acidity]]&gt;Sheet1!$C$4,Table1[[#This Row],[pH]]&lt;Sheet1!$K$4),"High","Normal")</f>
        <v>High</v>
      </c>
      <c r="P1244" s="1">
        <f>(Table1[[#This Row],[alcohol]]*2)+(Table1[[#This Row],[sulphates]]*1.5)-(Table1[[#This Row],[volatile acidity]]*2)</f>
        <v>24.499999999999996</v>
      </c>
      <c r="Q1244" s="1">
        <f>RANK(Table1[[#This Row],[Quality_score_index]],Table1[Quality_score_index],0)</f>
        <v>128</v>
      </c>
      <c r="R1244" s="1">
        <f>Table1[[#This Row],[total sulfur dioxide]]-Table1[[#This Row],[free sulfur dioxide]]</f>
        <v>25</v>
      </c>
      <c r="S1244" s="1" t="str">
        <f>IF(AND(Table1[[#This Row],[pH]]&gt;=3.2,Table1[[#This Row],[alcohol]]&gt;=10),"White wine","Red wine")</f>
        <v>White wine</v>
      </c>
    </row>
    <row r="1245" spans="1:19" x14ac:dyDescent="0.3">
      <c r="A1245" s="13">
        <v>1244</v>
      </c>
      <c r="B1245" s="1">
        <v>8.3000000000000007</v>
      </c>
      <c r="C1245" s="1">
        <v>0.56000000000000005</v>
      </c>
      <c r="D1245" s="1">
        <v>0.22</v>
      </c>
      <c r="E1245" s="1">
        <v>2.4</v>
      </c>
      <c r="F1245" s="1">
        <v>8.2000000000000003E-2</v>
      </c>
      <c r="G1245" s="1">
        <v>10</v>
      </c>
      <c r="H1245" s="1">
        <v>86</v>
      </c>
      <c r="I1245" s="1">
        <v>0.99829999999999997</v>
      </c>
      <c r="J1245" s="1">
        <v>3.37</v>
      </c>
      <c r="K1245" s="1">
        <v>0.62</v>
      </c>
      <c r="L1245" s="1">
        <v>9.5</v>
      </c>
      <c r="M1245" s="2">
        <v>5</v>
      </c>
      <c r="N1245" s="2" t="str" cm="1">
        <f t="array" ref="N1245">_xlfn.IFS(Table1[[#This Row],[quality]]&lt;=4,"Low",Table1[[#This Row],[quality]]&lt;=6,"Medium",Table1[[#This Row],[quality]]&gt;=7,"High")</f>
        <v>Medium</v>
      </c>
      <c r="O1245" s="2" t="str">
        <f>IF(AND(Table1[[#This Row],[fixed acidity]]&gt;Sheet1!$C$4,Table1[[#This Row],[pH]]&lt;Sheet1!$K$4),"High","Normal")</f>
        <v>Normal</v>
      </c>
      <c r="P1245" s="1">
        <f>(Table1[[#This Row],[alcohol]]*2)+(Table1[[#This Row],[sulphates]]*1.5)-(Table1[[#This Row],[volatile acidity]]*2)</f>
        <v>18.809999999999999</v>
      </c>
      <c r="Q1245" s="1">
        <f>RANK(Table1[[#This Row],[Quality_score_index]],Table1[Quality_score_index],0)</f>
        <v>1244</v>
      </c>
      <c r="R1245" s="1">
        <f>Table1[[#This Row],[total sulfur dioxide]]-Table1[[#This Row],[free sulfur dioxide]]</f>
        <v>76</v>
      </c>
      <c r="S1245" s="1" t="str">
        <f>IF(AND(Table1[[#This Row],[pH]]&gt;=3.2,Table1[[#This Row],[alcohol]]&gt;=10),"White wine","Red wine")</f>
        <v>Red wine</v>
      </c>
    </row>
    <row r="1246" spans="1:19" x14ac:dyDescent="0.3">
      <c r="A1246" s="13">
        <v>1245</v>
      </c>
      <c r="B1246" s="1">
        <v>5.9</v>
      </c>
      <c r="C1246" s="1">
        <v>0.28999999999999998</v>
      </c>
      <c r="D1246" s="1">
        <v>0.25</v>
      </c>
      <c r="E1246" s="1">
        <v>13.4</v>
      </c>
      <c r="F1246" s="1">
        <v>6.7000000000000004E-2</v>
      </c>
      <c r="G1246" s="1">
        <v>72</v>
      </c>
      <c r="H1246" s="1">
        <v>160</v>
      </c>
      <c r="I1246" s="1">
        <v>0.99721000000000004</v>
      </c>
      <c r="J1246" s="1">
        <v>3.33</v>
      </c>
      <c r="K1246" s="1">
        <v>0.54</v>
      </c>
      <c r="L1246" s="1">
        <v>10.3</v>
      </c>
      <c r="M1246" s="2">
        <v>6</v>
      </c>
      <c r="N1246" s="2" t="str" cm="1">
        <f t="array" ref="N1246">_xlfn.IFS(Table1[[#This Row],[quality]]&lt;=4,"Low",Table1[[#This Row],[quality]]&lt;=6,"Medium",Table1[[#This Row],[quality]]&gt;=7,"High")</f>
        <v>Medium</v>
      </c>
      <c r="O1246" s="2" t="str">
        <f>IF(AND(Table1[[#This Row],[fixed acidity]]&gt;Sheet1!$C$4,Table1[[#This Row],[pH]]&lt;Sheet1!$K$4),"High","Normal")</f>
        <v>Normal</v>
      </c>
      <c r="P1246" s="1">
        <f>(Table1[[#This Row],[alcohol]]*2)+(Table1[[#This Row],[sulphates]]*1.5)-(Table1[[#This Row],[volatile acidity]]*2)</f>
        <v>20.830000000000002</v>
      </c>
      <c r="Q1246" s="1">
        <f>RANK(Table1[[#This Row],[Quality_score_index]],Table1[Quality_score_index],0)</f>
        <v>694</v>
      </c>
      <c r="R1246" s="1">
        <f>Table1[[#This Row],[total sulfur dioxide]]-Table1[[#This Row],[free sulfur dioxide]]</f>
        <v>88</v>
      </c>
      <c r="S1246" s="1" t="str">
        <f>IF(AND(Table1[[#This Row],[pH]]&gt;=3.2,Table1[[#This Row],[alcohol]]&gt;=10),"White wine","Red wine")</f>
        <v>White wine</v>
      </c>
    </row>
    <row r="1247" spans="1:19" x14ac:dyDescent="0.3">
      <c r="A1247" s="13">
        <v>1246</v>
      </c>
      <c r="B1247" s="1">
        <v>7.4</v>
      </c>
      <c r="C1247" s="1">
        <v>0.55000000000000004</v>
      </c>
      <c r="D1247" s="1">
        <v>0.19</v>
      </c>
      <c r="E1247" s="1">
        <v>1.8</v>
      </c>
      <c r="F1247" s="1">
        <v>8.2000000000000003E-2</v>
      </c>
      <c r="G1247" s="1">
        <v>15</v>
      </c>
      <c r="H1247" s="1">
        <v>34</v>
      </c>
      <c r="I1247" s="1">
        <v>0.99655000000000005</v>
      </c>
      <c r="J1247" s="1">
        <v>3.49</v>
      </c>
      <c r="K1247" s="1">
        <v>0.68</v>
      </c>
      <c r="L1247" s="1">
        <v>10.5</v>
      </c>
      <c r="M1247" s="2">
        <v>5</v>
      </c>
      <c r="N1247" s="2" t="str" cm="1">
        <f t="array" ref="N1247">_xlfn.IFS(Table1[[#This Row],[quality]]&lt;=4,"Low",Table1[[#This Row],[quality]]&lt;=6,"Medium",Table1[[#This Row],[quality]]&gt;=7,"High")</f>
        <v>Medium</v>
      </c>
      <c r="O1247" s="2" t="str">
        <f>IF(AND(Table1[[#This Row],[fixed acidity]]&gt;Sheet1!$C$4,Table1[[#This Row],[pH]]&lt;Sheet1!$K$4),"High","Normal")</f>
        <v>Normal</v>
      </c>
      <c r="P1247" s="1">
        <f>(Table1[[#This Row],[alcohol]]*2)+(Table1[[#This Row],[sulphates]]*1.5)-(Table1[[#This Row],[volatile acidity]]*2)</f>
        <v>20.919999999999998</v>
      </c>
      <c r="Q1247" s="1">
        <f>RANK(Table1[[#This Row],[Quality_score_index]],Table1[Quality_score_index],0)</f>
        <v>669</v>
      </c>
      <c r="R1247" s="1">
        <f>Table1[[#This Row],[total sulfur dioxide]]-Table1[[#This Row],[free sulfur dioxide]]</f>
        <v>19</v>
      </c>
      <c r="S1247" s="1" t="str">
        <f>IF(AND(Table1[[#This Row],[pH]]&gt;=3.2,Table1[[#This Row],[alcohol]]&gt;=10),"White wine","Red wine")</f>
        <v>White wine</v>
      </c>
    </row>
    <row r="1248" spans="1:19" x14ac:dyDescent="0.3">
      <c r="A1248" s="13">
        <v>1247</v>
      </c>
      <c r="B1248" s="1">
        <v>7.4</v>
      </c>
      <c r="C1248" s="1">
        <v>0.74</v>
      </c>
      <c r="D1248" s="1">
        <v>7.0000000000000007E-2</v>
      </c>
      <c r="E1248" s="1">
        <v>1.7</v>
      </c>
      <c r="F1248" s="1">
        <v>8.5999999999999993E-2</v>
      </c>
      <c r="G1248" s="1">
        <v>15</v>
      </c>
      <c r="H1248" s="1">
        <v>48</v>
      </c>
      <c r="I1248" s="1">
        <v>0.99502000000000002</v>
      </c>
      <c r="J1248" s="1">
        <v>3.12</v>
      </c>
      <c r="K1248" s="1">
        <v>0.48</v>
      </c>
      <c r="L1248" s="1">
        <v>10</v>
      </c>
      <c r="M1248" s="2">
        <v>5</v>
      </c>
      <c r="N1248" s="2" t="str" cm="1">
        <f t="array" ref="N1248">_xlfn.IFS(Table1[[#This Row],[quality]]&lt;=4,"Low",Table1[[#This Row],[quality]]&lt;=6,"Medium",Table1[[#This Row],[quality]]&gt;=7,"High")</f>
        <v>Medium</v>
      </c>
      <c r="O1248" s="2" t="str">
        <f>IF(AND(Table1[[#This Row],[fixed acidity]]&gt;Sheet1!$C$4,Table1[[#This Row],[pH]]&lt;Sheet1!$K$4),"High","Normal")</f>
        <v>Normal</v>
      </c>
      <c r="P1248" s="1">
        <f>(Table1[[#This Row],[alcohol]]*2)+(Table1[[#This Row],[sulphates]]*1.5)-(Table1[[#This Row],[volatile acidity]]*2)</f>
        <v>19.239999999999998</v>
      </c>
      <c r="Q1248" s="1">
        <f>RANK(Table1[[#This Row],[Quality_score_index]],Table1[Quality_score_index],0)</f>
        <v>1062</v>
      </c>
      <c r="R1248" s="1">
        <f>Table1[[#This Row],[total sulfur dioxide]]-Table1[[#This Row],[free sulfur dioxide]]</f>
        <v>33</v>
      </c>
      <c r="S1248" s="1" t="str">
        <f>IF(AND(Table1[[#This Row],[pH]]&gt;=3.2,Table1[[#This Row],[alcohol]]&gt;=10),"White wine","Red wine")</f>
        <v>Red wine</v>
      </c>
    </row>
    <row r="1249" spans="1:19" x14ac:dyDescent="0.3">
      <c r="A1249" s="13">
        <v>1248</v>
      </c>
      <c r="B1249" s="1">
        <v>7.4</v>
      </c>
      <c r="C1249" s="1">
        <v>0.55000000000000004</v>
      </c>
      <c r="D1249" s="1">
        <v>0.19</v>
      </c>
      <c r="E1249" s="1">
        <v>1.8</v>
      </c>
      <c r="F1249" s="1">
        <v>8.2000000000000003E-2</v>
      </c>
      <c r="G1249" s="1">
        <v>15</v>
      </c>
      <c r="H1249" s="1">
        <v>34</v>
      </c>
      <c r="I1249" s="1">
        <v>0.99655000000000005</v>
      </c>
      <c r="J1249" s="1">
        <v>3.49</v>
      </c>
      <c r="K1249" s="1">
        <v>0.68</v>
      </c>
      <c r="L1249" s="1">
        <v>10.5</v>
      </c>
      <c r="M1249" s="2">
        <v>5</v>
      </c>
      <c r="N1249" s="2" t="str" cm="1">
        <f t="array" ref="N1249">_xlfn.IFS(Table1[[#This Row],[quality]]&lt;=4,"Low",Table1[[#This Row],[quality]]&lt;=6,"Medium",Table1[[#This Row],[quality]]&gt;=7,"High")</f>
        <v>Medium</v>
      </c>
      <c r="O1249" s="2" t="str">
        <f>IF(AND(Table1[[#This Row],[fixed acidity]]&gt;Sheet1!$C$4,Table1[[#This Row],[pH]]&lt;Sheet1!$K$4),"High","Normal")</f>
        <v>Normal</v>
      </c>
      <c r="P1249" s="1">
        <f>(Table1[[#This Row],[alcohol]]*2)+(Table1[[#This Row],[sulphates]]*1.5)-(Table1[[#This Row],[volatile acidity]]*2)</f>
        <v>20.919999999999998</v>
      </c>
      <c r="Q1249" s="1">
        <f>RANK(Table1[[#This Row],[Quality_score_index]],Table1[Quality_score_index],0)</f>
        <v>669</v>
      </c>
      <c r="R1249" s="1">
        <f>Table1[[#This Row],[total sulfur dioxide]]-Table1[[#This Row],[free sulfur dioxide]]</f>
        <v>19</v>
      </c>
      <c r="S1249" s="1" t="str">
        <f>IF(AND(Table1[[#This Row],[pH]]&gt;=3.2,Table1[[#This Row],[alcohol]]&gt;=10),"White wine","Red wine")</f>
        <v>White wine</v>
      </c>
    </row>
    <row r="1250" spans="1:19" x14ac:dyDescent="0.3">
      <c r="A1250" s="13">
        <v>1249</v>
      </c>
      <c r="B1250" s="1">
        <v>6.9</v>
      </c>
      <c r="C1250" s="1">
        <v>0.41</v>
      </c>
      <c r="D1250" s="1">
        <v>0.33</v>
      </c>
      <c r="E1250" s="1">
        <v>2.2000000000000002</v>
      </c>
      <c r="F1250" s="1">
        <v>8.1000000000000003E-2</v>
      </c>
      <c r="G1250" s="1">
        <v>22</v>
      </c>
      <c r="H1250" s="1">
        <v>36</v>
      </c>
      <c r="I1250" s="1">
        <v>0.99490000000000001</v>
      </c>
      <c r="J1250" s="1">
        <v>3.41</v>
      </c>
      <c r="K1250" s="1">
        <v>0.75</v>
      </c>
      <c r="L1250" s="1">
        <v>11.1</v>
      </c>
      <c r="M1250" s="2">
        <v>6</v>
      </c>
      <c r="N1250" s="2" t="str" cm="1">
        <f t="array" ref="N1250">_xlfn.IFS(Table1[[#This Row],[quality]]&lt;=4,"Low",Table1[[#This Row],[quality]]&lt;=6,"Medium",Table1[[#This Row],[quality]]&gt;=7,"High")</f>
        <v>Medium</v>
      </c>
      <c r="O1250" s="2" t="str">
        <f>IF(AND(Table1[[#This Row],[fixed acidity]]&gt;Sheet1!$C$4,Table1[[#This Row],[pH]]&lt;Sheet1!$K$4),"High","Normal")</f>
        <v>Normal</v>
      </c>
      <c r="P1250" s="1">
        <f>(Table1[[#This Row],[alcohol]]*2)+(Table1[[#This Row],[sulphates]]*1.5)-(Table1[[#This Row],[volatile acidity]]*2)</f>
        <v>22.504999999999999</v>
      </c>
      <c r="Q1250" s="1">
        <f>RANK(Table1[[#This Row],[Quality_score_index]],Table1[Quality_score_index],0)</f>
        <v>368</v>
      </c>
      <c r="R1250" s="1">
        <f>Table1[[#This Row],[total sulfur dioxide]]-Table1[[#This Row],[free sulfur dioxide]]</f>
        <v>14</v>
      </c>
      <c r="S1250" s="1" t="str">
        <f>IF(AND(Table1[[#This Row],[pH]]&gt;=3.2,Table1[[#This Row],[alcohol]]&gt;=10),"White wine","Red wine")</f>
        <v>White wine</v>
      </c>
    </row>
    <row r="1251" spans="1:19" x14ac:dyDescent="0.3">
      <c r="A1251" s="13">
        <v>1250</v>
      </c>
      <c r="B1251" s="1">
        <v>7.1</v>
      </c>
      <c r="C1251" s="1">
        <v>0.6</v>
      </c>
      <c r="D1251" s="1">
        <v>0.01</v>
      </c>
      <c r="E1251" s="1">
        <v>2.2999999999999998</v>
      </c>
      <c r="F1251" s="1">
        <v>7.9000000000000001E-2</v>
      </c>
      <c r="G1251" s="1">
        <v>24</v>
      </c>
      <c r="H1251" s="1">
        <v>37</v>
      </c>
      <c r="I1251" s="1">
        <v>0.99514000000000002</v>
      </c>
      <c r="J1251" s="1">
        <v>3.4</v>
      </c>
      <c r="K1251" s="1">
        <v>0.61</v>
      </c>
      <c r="L1251" s="1">
        <v>10.9</v>
      </c>
      <c r="M1251" s="2">
        <v>6</v>
      </c>
      <c r="N1251" s="2" t="str" cm="1">
        <f t="array" ref="N1251">_xlfn.IFS(Table1[[#This Row],[quality]]&lt;=4,"Low",Table1[[#This Row],[quality]]&lt;=6,"Medium",Table1[[#This Row],[quality]]&gt;=7,"High")</f>
        <v>Medium</v>
      </c>
      <c r="O1251" s="2" t="str">
        <f>IF(AND(Table1[[#This Row],[fixed acidity]]&gt;Sheet1!$C$4,Table1[[#This Row],[pH]]&lt;Sheet1!$K$4),"High","Normal")</f>
        <v>Normal</v>
      </c>
      <c r="P1251" s="1">
        <f>(Table1[[#This Row],[alcohol]]*2)+(Table1[[#This Row],[sulphates]]*1.5)-(Table1[[#This Row],[volatile acidity]]*2)</f>
        <v>21.515000000000001</v>
      </c>
      <c r="Q1251" s="1">
        <f>RANK(Table1[[#This Row],[Quality_score_index]],Table1[Quality_score_index],0)</f>
        <v>540</v>
      </c>
      <c r="R1251" s="1">
        <f>Table1[[#This Row],[total sulfur dioxide]]-Table1[[#This Row],[free sulfur dioxide]]</f>
        <v>13</v>
      </c>
      <c r="S1251" s="1" t="str">
        <f>IF(AND(Table1[[#This Row],[pH]]&gt;=3.2,Table1[[#This Row],[alcohol]]&gt;=10),"White wine","Red wine")</f>
        <v>White wine</v>
      </c>
    </row>
    <row r="1252" spans="1:19" x14ac:dyDescent="0.3">
      <c r="A1252" s="13">
        <v>1251</v>
      </c>
      <c r="B1252" s="1">
        <v>7.1</v>
      </c>
      <c r="C1252" s="1">
        <v>0.6</v>
      </c>
      <c r="D1252" s="1">
        <v>0.01</v>
      </c>
      <c r="E1252" s="1">
        <v>2.2999999999999998</v>
      </c>
      <c r="F1252" s="1">
        <v>7.9000000000000001E-2</v>
      </c>
      <c r="G1252" s="1">
        <v>24</v>
      </c>
      <c r="H1252" s="1">
        <v>37</v>
      </c>
      <c r="I1252" s="1">
        <v>0.99514000000000002</v>
      </c>
      <c r="J1252" s="1">
        <v>3.4</v>
      </c>
      <c r="K1252" s="1">
        <v>0.61</v>
      </c>
      <c r="L1252" s="1">
        <v>10.9</v>
      </c>
      <c r="M1252" s="2">
        <v>6</v>
      </c>
      <c r="N1252" s="2" t="str" cm="1">
        <f t="array" ref="N1252">_xlfn.IFS(Table1[[#This Row],[quality]]&lt;=4,"Low",Table1[[#This Row],[quality]]&lt;=6,"Medium",Table1[[#This Row],[quality]]&gt;=7,"High")</f>
        <v>Medium</v>
      </c>
      <c r="O1252" s="2" t="str">
        <f>IF(AND(Table1[[#This Row],[fixed acidity]]&gt;Sheet1!$C$4,Table1[[#This Row],[pH]]&lt;Sheet1!$K$4),"High","Normal")</f>
        <v>Normal</v>
      </c>
      <c r="P1252" s="1">
        <f>(Table1[[#This Row],[alcohol]]*2)+(Table1[[#This Row],[sulphates]]*1.5)-(Table1[[#This Row],[volatile acidity]]*2)</f>
        <v>21.515000000000001</v>
      </c>
      <c r="Q1252" s="1">
        <f>RANK(Table1[[#This Row],[Quality_score_index]],Table1[Quality_score_index],0)</f>
        <v>540</v>
      </c>
      <c r="R1252" s="1">
        <f>Table1[[#This Row],[total sulfur dioxide]]-Table1[[#This Row],[free sulfur dioxide]]</f>
        <v>13</v>
      </c>
      <c r="S1252" s="1" t="str">
        <f>IF(AND(Table1[[#This Row],[pH]]&gt;=3.2,Table1[[#This Row],[alcohol]]&gt;=10),"White wine","Red wine")</f>
        <v>White wine</v>
      </c>
    </row>
    <row r="1253" spans="1:19" x14ac:dyDescent="0.3">
      <c r="A1253" s="13">
        <v>1252</v>
      </c>
      <c r="B1253" s="1">
        <v>7.5</v>
      </c>
      <c r="C1253" s="1">
        <v>0.57999999999999996</v>
      </c>
      <c r="D1253" s="1">
        <v>0.14000000000000001</v>
      </c>
      <c r="E1253" s="1">
        <v>2.2000000000000002</v>
      </c>
      <c r="F1253" s="1">
        <v>7.6999999999999999E-2</v>
      </c>
      <c r="G1253" s="1">
        <v>27</v>
      </c>
      <c r="H1253" s="1">
        <v>60</v>
      </c>
      <c r="I1253" s="1">
        <v>0.99629999999999996</v>
      </c>
      <c r="J1253" s="1">
        <v>3.28</v>
      </c>
      <c r="K1253" s="1">
        <v>0.59</v>
      </c>
      <c r="L1253" s="1">
        <v>9.8000000000000007</v>
      </c>
      <c r="M1253" s="2">
        <v>5</v>
      </c>
      <c r="N1253" s="2" t="str" cm="1">
        <f t="array" ref="N1253">_xlfn.IFS(Table1[[#This Row],[quality]]&lt;=4,"Low",Table1[[#This Row],[quality]]&lt;=6,"Medium",Table1[[#This Row],[quality]]&gt;=7,"High")</f>
        <v>Medium</v>
      </c>
      <c r="O1253" s="2" t="str">
        <f>IF(AND(Table1[[#This Row],[fixed acidity]]&gt;Sheet1!$C$4,Table1[[#This Row],[pH]]&lt;Sheet1!$K$4),"High","Normal")</f>
        <v>Normal</v>
      </c>
      <c r="P1253" s="1">
        <f>(Table1[[#This Row],[alcohol]]*2)+(Table1[[#This Row],[sulphates]]*1.5)-(Table1[[#This Row],[volatile acidity]]*2)</f>
        <v>19.325000000000003</v>
      </c>
      <c r="Q1253" s="1">
        <f>RANK(Table1[[#This Row],[Quality_score_index]],Table1[Quality_score_index],0)</f>
        <v>1033</v>
      </c>
      <c r="R1253" s="1">
        <f>Table1[[#This Row],[total sulfur dioxide]]-Table1[[#This Row],[free sulfur dioxide]]</f>
        <v>33</v>
      </c>
      <c r="S1253" s="1" t="str">
        <f>IF(AND(Table1[[#This Row],[pH]]&gt;=3.2,Table1[[#This Row],[alcohol]]&gt;=10),"White wine","Red wine")</f>
        <v>Red wine</v>
      </c>
    </row>
    <row r="1254" spans="1:19" x14ac:dyDescent="0.3">
      <c r="A1254" s="13">
        <v>1253</v>
      </c>
      <c r="B1254" s="1">
        <v>7.1</v>
      </c>
      <c r="C1254" s="1">
        <v>0.72</v>
      </c>
      <c r="D1254" s="1">
        <v>0</v>
      </c>
      <c r="E1254" s="1">
        <v>1.8</v>
      </c>
      <c r="F1254" s="1">
        <v>0.123</v>
      </c>
      <c r="G1254" s="1">
        <v>6</v>
      </c>
      <c r="H1254" s="1">
        <v>14</v>
      </c>
      <c r="I1254" s="1">
        <v>0.99626999999999999</v>
      </c>
      <c r="J1254" s="1">
        <v>3.45</v>
      </c>
      <c r="K1254" s="1">
        <v>0.57999999999999996</v>
      </c>
      <c r="L1254" s="1">
        <v>9.8000000000000007</v>
      </c>
      <c r="M1254" s="2">
        <v>5</v>
      </c>
      <c r="N1254" s="2" t="str" cm="1">
        <f t="array" ref="N1254">_xlfn.IFS(Table1[[#This Row],[quality]]&lt;=4,"Low",Table1[[#This Row],[quality]]&lt;=6,"Medium",Table1[[#This Row],[quality]]&gt;=7,"High")</f>
        <v>Medium</v>
      </c>
      <c r="O1254" s="2" t="str">
        <f>IF(AND(Table1[[#This Row],[fixed acidity]]&gt;Sheet1!$C$4,Table1[[#This Row],[pH]]&lt;Sheet1!$K$4),"High","Normal")</f>
        <v>Normal</v>
      </c>
      <c r="P1254" s="1">
        <f>(Table1[[#This Row],[alcohol]]*2)+(Table1[[#This Row],[sulphates]]*1.5)-(Table1[[#This Row],[volatile acidity]]*2)</f>
        <v>19.03</v>
      </c>
      <c r="Q1254" s="1">
        <f>RANK(Table1[[#This Row],[Quality_score_index]],Table1[Quality_score_index],0)</f>
        <v>1152</v>
      </c>
      <c r="R1254" s="1">
        <f>Table1[[#This Row],[total sulfur dioxide]]-Table1[[#This Row],[free sulfur dioxide]]</f>
        <v>8</v>
      </c>
      <c r="S1254" s="1" t="str">
        <f>IF(AND(Table1[[#This Row],[pH]]&gt;=3.2,Table1[[#This Row],[alcohol]]&gt;=10),"White wine","Red wine")</f>
        <v>Red wine</v>
      </c>
    </row>
    <row r="1255" spans="1:19" x14ac:dyDescent="0.3">
      <c r="A1255" s="13">
        <v>1254</v>
      </c>
      <c r="B1255" s="1">
        <v>7.9</v>
      </c>
      <c r="C1255" s="1">
        <v>0.66</v>
      </c>
      <c r="D1255" s="1">
        <v>0</v>
      </c>
      <c r="E1255" s="1">
        <v>1.4</v>
      </c>
      <c r="F1255" s="1">
        <v>9.6000000000000002E-2</v>
      </c>
      <c r="G1255" s="1">
        <v>6</v>
      </c>
      <c r="H1255" s="1">
        <v>13</v>
      </c>
      <c r="I1255" s="1">
        <v>0.99568999999999996</v>
      </c>
      <c r="J1255" s="1">
        <v>3.43</v>
      </c>
      <c r="K1255" s="1">
        <v>0.57999999999999996</v>
      </c>
      <c r="L1255" s="1">
        <v>9.5</v>
      </c>
      <c r="M1255" s="2">
        <v>5</v>
      </c>
      <c r="N1255" s="2" t="str" cm="1">
        <f t="array" ref="N1255">_xlfn.IFS(Table1[[#This Row],[quality]]&lt;=4,"Low",Table1[[#This Row],[quality]]&lt;=6,"Medium",Table1[[#This Row],[quality]]&gt;=7,"High")</f>
        <v>Medium</v>
      </c>
      <c r="O1255" s="2" t="str">
        <f>IF(AND(Table1[[#This Row],[fixed acidity]]&gt;Sheet1!$C$4,Table1[[#This Row],[pH]]&lt;Sheet1!$K$4),"High","Normal")</f>
        <v>Normal</v>
      </c>
      <c r="P1255" s="1">
        <f>(Table1[[#This Row],[alcohol]]*2)+(Table1[[#This Row],[sulphates]]*1.5)-(Table1[[#This Row],[volatile acidity]]*2)</f>
        <v>18.55</v>
      </c>
      <c r="Q1255" s="1">
        <f>RANK(Table1[[#This Row],[Quality_score_index]],Table1[Quality_score_index],0)</f>
        <v>1359</v>
      </c>
      <c r="R1255" s="1">
        <f>Table1[[#This Row],[total sulfur dioxide]]-Table1[[#This Row],[free sulfur dioxide]]</f>
        <v>7</v>
      </c>
      <c r="S1255" s="1" t="str">
        <f>IF(AND(Table1[[#This Row],[pH]]&gt;=3.2,Table1[[#This Row],[alcohol]]&gt;=10),"White wine","Red wine")</f>
        <v>Red wine</v>
      </c>
    </row>
    <row r="1256" spans="1:19" x14ac:dyDescent="0.3">
      <c r="A1256" s="13">
        <v>1255</v>
      </c>
      <c r="B1256" s="1">
        <v>7.8</v>
      </c>
      <c r="C1256" s="1">
        <v>0.7</v>
      </c>
      <c r="D1256" s="1">
        <v>0.06</v>
      </c>
      <c r="E1256" s="1">
        <v>1.9</v>
      </c>
      <c r="F1256" s="1">
        <v>7.9000000000000001E-2</v>
      </c>
      <c r="G1256" s="1">
        <v>20</v>
      </c>
      <c r="H1256" s="1">
        <v>35</v>
      </c>
      <c r="I1256" s="1">
        <v>0.99628000000000005</v>
      </c>
      <c r="J1256" s="1">
        <v>3.4</v>
      </c>
      <c r="K1256" s="1">
        <v>0.69</v>
      </c>
      <c r="L1256" s="1">
        <v>10.9</v>
      </c>
      <c r="M1256" s="2">
        <v>5</v>
      </c>
      <c r="N1256" s="2" t="str" cm="1">
        <f t="array" ref="N1256">_xlfn.IFS(Table1[[#This Row],[quality]]&lt;=4,"Low",Table1[[#This Row],[quality]]&lt;=6,"Medium",Table1[[#This Row],[quality]]&gt;=7,"High")</f>
        <v>Medium</v>
      </c>
      <c r="O1256" s="2" t="str">
        <f>IF(AND(Table1[[#This Row],[fixed acidity]]&gt;Sheet1!$C$4,Table1[[#This Row],[pH]]&lt;Sheet1!$K$4),"High","Normal")</f>
        <v>Normal</v>
      </c>
      <c r="P1256" s="1">
        <f>(Table1[[#This Row],[alcohol]]*2)+(Table1[[#This Row],[sulphates]]*1.5)-(Table1[[#This Row],[volatile acidity]]*2)</f>
        <v>21.435000000000002</v>
      </c>
      <c r="Q1256" s="1">
        <f>RANK(Table1[[#This Row],[Quality_score_index]],Table1[Quality_score_index],0)</f>
        <v>552</v>
      </c>
      <c r="R1256" s="1">
        <f>Table1[[#This Row],[total sulfur dioxide]]-Table1[[#This Row],[free sulfur dioxide]]</f>
        <v>15</v>
      </c>
      <c r="S1256" s="1" t="str">
        <f>IF(AND(Table1[[#This Row],[pH]]&gt;=3.2,Table1[[#This Row],[alcohol]]&gt;=10),"White wine","Red wine")</f>
        <v>White wine</v>
      </c>
    </row>
    <row r="1257" spans="1:19" x14ac:dyDescent="0.3">
      <c r="A1257" s="13">
        <v>1256</v>
      </c>
      <c r="B1257" s="1">
        <v>6.1</v>
      </c>
      <c r="C1257" s="1">
        <v>0.64</v>
      </c>
      <c r="D1257" s="1">
        <v>0.02</v>
      </c>
      <c r="E1257" s="1">
        <v>2.4</v>
      </c>
      <c r="F1257" s="1">
        <v>6.9000000000000006E-2</v>
      </c>
      <c r="G1257" s="1">
        <v>26</v>
      </c>
      <c r="H1257" s="1">
        <v>46</v>
      </c>
      <c r="I1257" s="1">
        <v>0.99358000000000002</v>
      </c>
      <c r="J1257" s="1">
        <v>3.47</v>
      </c>
      <c r="K1257" s="1">
        <v>0.45</v>
      </c>
      <c r="L1257" s="1">
        <v>11</v>
      </c>
      <c r="M1257" s="2">
        <v>5</v>
      </c>
      <c r="N1257" s="2" t="str" cm="1">
        <f t="array" ref="N1257">_xlfn.IFS(Table1[[#This Row],[quality]]&lt;=4,"Low",Table1[[#This Row],[quality]]&lt;=6,"Medium",Table1[[#This Row],[quality]]&gt;=7,"High")</f>
        <v>Medium</v>
      </c>
      <c r="O1257" s="2" t="str">
        <f>IF(AND(Table1[[#This Row],[fixed acidity]]&gt;Sheet1!$C$4,Table1[[#This Row],[pH]]&lt;Sheet1!$K$4),"High","Normal")</f>
        <v>Normal</v>
      </c>
      <c r="P1257" s="1">
        <f>(Table1[[#This Row],[alcohol]]*2)+(Table1[[#This Row],[sulphates]]*1.5)-(Table1[[#This Row],[volatile acidity]]*2)</f>
        <v>21.395</v>
      </c>
      <c r="Q1257" s="1">
        <f>RANK(Table1[[#This Row],[Quality_score_index]],Table1[Quality_score_index],0)</f>
        <v>557</v>
      </c>
      <c r="R1257" s="1">
        <f>Table1[[#This Row],[total sulfur dioxide]]-Table1[[#This Row],[free sulfur dioxide]]</f>
        <v>20</v>
      </c>
      <c r="S1257" s="1" t="str">
        <f>IF(AND(Table1[[#This Row],[pH]]&gt;=3.2,Table1[[#This Row],[alcohol]]&gt;=10),"White wine","Red wine")</f>
        <v>White wine</v>
      </c>
    </row>
    <row r="1258" spans="1:19" x14ac:dyDescent="0.3">
      <c r="A1258" s="13">
        <v>1257</v>
      </c>
      <c r="B1258" s="1">
        <v>7.5</v>
      </c>
      <c r="C1258" s="1">
        <v>0.59</v>
      </c>
      <c r="D1258" s="1">
        <v>0.22</v>
      </c>
      <c r="E1258" s="1">
        <v>1.8</v>
      </c>
      <c r="F1258" s="1">
        <v>8.2000000000000003E-2</v>
      </c>
      <c r="G1258" s="1">
        <v>43</v>
      </c>
      <c r="H1258" s="1">
        <v>60</v>
      </c>
      <c r="I1258" s="1">
        <v>0.99499000000000004</v>
      </c>
      <c r="J1258" s="1">
        <v>3.1</v>
      </c>
      <c r="K1258" s="1">
        <v>0.42</v>
      </c>
      <c r="L1258" s="1">
        <v>9.1999999999999993</v>
      </c>
      <c r="M1258" s="2">
        <v>5</v>
      </c>
      <c r="N1258" s="2" t="str" cm="1">
        <f t="array" ref="N1258">_xlfn.IFS(Table1[[#This Row],[quality]]&lt;=4,"Low",Table1[[#This Row],[quality]]&lt;=6,"Medium",Table1[[#This Row],[quality]]&gt;=7,"High")</f>
        <v>Medium</v>
      </c>
      <c r="O1258" s="2" t="str">
        <f>IF(AND(Table1[[#This Row],[fixed acidity]]&gt;Sheet1!$C$4,Table1[[#This Row],[pH]]&lt;Sheet1!$K$4),"High","Normal")</f>
        <v>Normal</v>
      </c>
      <c r="P1258" s="1">
        <f>(Table1[[#This Row],[alcohol]]*2)+(Table1[[#This Row],[sulphates]]*1.5)-(Table1[[#This Row],[volatile acidity]]*2)</f>
        <v>17.849999999999998</v>
      </c>
      <c r="Q1258" s="1">
        <f>RANK(Table1[[#This Row],[Quality_score_index]],Table1[Quality_score_index],0)</f>
        <v>1544</v>
      </c>
      <c r="R1258" s="1">
        <f>Table1[[#This Row],[total sulfur dioxide]]-Table1[[#This Row],[free sulfur dioxide]]</f>
        <v>17</v>
      </c>
      <c r="S1258" s="1" t="str">
        <f>IF(AND(Table1[[#This Row],[pH]]&gt;=3.2,Table1[[#This Row],[alcohol]]&gt;=10),"White wine","Red wine")</f>
        <v>Red wine</v>
      </c>
    </row>
    <row r="1259" spans="1:19" x14ac:dyDescent="0.3">
      <c r="A1259" s="13">
        <v>1258</v>
      </c>
      <c r="B1259" s="1">
        <v>7</v>
      </c>
      <c r="C1259" s="1">
        <v>0.57999999999999996</v>
      </c>
      <c r="D1259" s="1">
        <v>0.28000000000000003</v>
      </c>
      <c r="E1259" s="1">
        <v>4.8</v>
      </c>
      <c r="F1259" s="1">
        <v>8.5000000000000006E-2</v>
      </c>
      <c r="G1259" s="1">
        <v>12</v>
      </c>
      <c r="H1259" s="1">
        <v>69</v>
      </c>
      <c r="I1259" s="1">
        <v>0.99633000000000005</v>
      </c>
      <c r="J1259" s="1">
        <v>3.32</v>
      </c>
      <c r="K1259" s="1">
        <v>0.7</v>
      </c>
      <c r="L1259" s="1">
        <v>11</v>
      </c>
      <c r="M1259" s="2">
        <v>6</v>
      </c>
      <c r="N1259" s="2" t="str" cm="1">
        <f t="array" ref="N1259">_xlfn.IFS(Table1[[#This Row],[quality]]&lt;=4,"Low",Table1[[#This Row],[quality]]&lt;=6,"Medium",Table1[[#This Row],[quality]]&gt;=7,"High")</f>
        <v>Medium</v>
      </c>
      <c r="O1259" s="2" t="str">
        <f>IF(AND(Table1[[#This Row],[fixed acidity]]&gt;Sheet1!$C$4,Table1[[#This Row],[pH]]&lt;Sheet1!$K$4),"High","Normal")</f>
        <v>Normal</v>
      </c>
      <c r="P1259" s="1">
        <f>(Table1[[#This Row],[alcohol]]*2)+(Table1[[#This Row],[sulphates]]*1.5)-(Table1[[#This Row],[volatile acidity]]*2)</f>
        <v>21.89</v>
      </c>
      <c r="Q1259" s="1">
        <f>RANK(Table1[[#This Row],[Quality_score_index]],Table1[Quality_score_index],0)</f>
        <v>467</v>
      </c>
      <c r="R1259" s="1">
        <f>Table1[[#This Row],[total sulfur dioxide]]-Table1[[#This Row],[free sulfur dioxide]]</f>
        <v>57</v>
      </c>
      <c r="S1259" s="1" t="str">
        <f>IF(AND(Table1[[#This Row],[pH]]&gt;=3.2,Table1[[#This Row],[alcohol]]&gt;=10),"White wine","Red wine")</f>
        <v>White wine</v>
      </c>
    </row>
    <row r="1260" spans="1:19" x14ac:dyDescent="0.3">
      <c r="A1260" s="13">
        <v>1259</v>
      </c>
      <c r="B1260" s="1">
        <v>6.8</v>
      </c>
      <c r="C1260" s="1">
        <v>0.64</v>
      </c>
      <c r="D1260" s="1">
        <v>0</v>
      </c>
      <c r="E1260" s="1">
        <v>2.7</v>
      </c>
      <c r="F1260" s="1">
        <v>0.123</v>
      </c>
      <c r="G1260" s="1">
        <v>15</v>
      </c>
      <c r="H1260" s="1">
        <v>33</v>
      </c>
      <c r="I1260" s="1">
        <v>0.99538000000000004</v>
      </c>
      <c r="J1260" s="1">
        <v>3.44</v>
      </c>
      <c r="K1260" s="1">
        <v>0.63</v>
      </c>
      <c r="L1260" s="1">
        <v>11.3</v>
      </c>
      <c r="M1260" s="2">
        <v>6</v>
      </c>
      <c r="N1260" s="2" t="str" cm="1">
        <f t="array" ref="N1260">_xlfn.IFS(Table1[[#This Row],[quality]]&lt;=4,"Low",Table1[[#This Row],[quality]]&lt;=6,"Medium",Table1[[#This Row],[quality]]&gt;=7,"High")</f>
        <v>Medium</v>
      </c>
      <c r="O1260" s="2" t="str">
        <f>IF(AND(Table1[[#This Row],[fixed acidity]]&gt;Sheet1!$C$4,Table1[[#This Row],[pH]]&lt;Sheet1!$K$4),"High","Normal")</f>
        <v>Normal</v>
      </c>
      <c r="P1260" s="1">
        <f>(Table1[[#This Row],[alcohol]]*2)+(Table1[[#This Row],[sulphates]]*1.5)-(Table1[[#This Row],[volatile acidity]]*2)</f>
        <v>22.265000000000001</v>
      </c>
      <c r="Q1260" s="1">
        <f>RANK(Table1[[#This Row],[Quality_score_index]],Table1[Quality_score_index],0)</f>
        <v>411</v>
      </c>
      <c r="R1260" s="1">
        <f>Table1[[#This Row],[total sulfur dioxide]]-Table1[[#This Row],[free sulfur dioxide]]</f>
        <v>18</v>
      </c>
      <c r="S1260" s="1" t="str">
        <f>IF(AND(Table1[[#This Row],[pH]]&gt;=3.2,Table1[[#This Row],[alcohol]]&gt;=10),"White wine","Red wine")</f>
        <v>White wine</v>
      </c>
    </row>
    <row r="1261" spans="1:19" x14ac:dyDescent="0.3">
      <c r="A1261" s="13">
        <v>1260</v>
      </c>
      <c r="B1261" s="1">
        <v>6.8</v>
      </c>
      <c r="C1261" s="1">
        <v>0.64</v>
      </c>
      <c r="D1261" s="1">
        <v>0</v>
      </c>
      <c r="E1261" s="1">
        <v>2.7</v>
      </c>
      <c r="F1261" s="1">
        <v>0.123</v>
      </c>
      <c r="G1261" s="1">
        <v>15</v>
      </c>
      <c r="H1261" s="1">
        <v>33</v>
      </c>
      <c r="I1261" s="1">
        <v>0.99538000000000004</v>
      </c>
      <c r="J1261" s="1">
        <v>3.44</v>
      </c>
      <c r="K1261" s="1">
        <v>0.63</v>
      </c>
      <c r="L1261" s="1">
        <v>11.3</v>
      </c>
      <c r="M1261" s="2">
        <v>6</v>
      </c>
      <c r="N1261" s="2" t="str" cm="1">
        <f t="array" ref="N1261">_xlfn.IFS(Table1[[#This Row],[quality]]&lt;=4,"Low",Table1[[#This Row],[quality]]&lt;=6,"Medium",Table1[[#This Row],[quality]]&gt;=7,"High")</f>
        <v>Medium</v>
      </c>
      <c r="O1261" s="2" t="str">
        <f>IF(AND(Table1[[#This Row],[fixed acidity]]&gt;Sheet1!$C$4,Table1[[#This Row],[pH]]&lt;Sheet1!$K$4),"High","Normal")</f>
        <v>Normal</v>
      </c>
      <c r="P1261" s="1">
        <f>(Table1[[#This Row],[alcohol]]*2)+(Table1[[#This Row],[sulphates]]*1.5)-(Table1[[#This Row],[volatile acidity]]*2)</f>
        <v>22.265000000000001</v>
      </c>
      <c r="Q1261" s="1">
        <f>RANK(Table1[[#This Row],[Quality_score_index]],Table1[Quality_score_index],0)</f>
        <v>411</v>
      </c>
      <c r="R1261" s="1">
        <f>Table1[[#This Row],[total sulfur dioxide]]-Table1[[#This Row],[free sulfur dioxide]]</f>
        <v>18</v>
      </c>
      <c r="S1261" s="1" t="str">
        <f>IF(AND(Table1[[#This Row],[pH]]&gt;=3.2,Table1[[#This Row],[alcohol]]&gt;=10),"White wine","Red wine")</f>
        <v>White wine</v>
      </c>
    </row>
    <row r="1262" spans="1:19" x14ac:dyDescent="0.3">
      <c r="A1262" s="13">
        <v>1261</v>
      </c>
      <c r="B1262" s="1">
        <v>8.6</v>
      </c>
      <c r="C1262" s="1">
        <v>0.63500000000000001</v>
      </c>
      <c r="D1262" s="1">
        <v>0.68</v>
      </c>
      <c r="E1262" s="1">
        <v>1.8</v>
      </c>
      <c r="F1262" s="1">
        <v>0.40300000000000002</v>
      </c>
      <c r="G1262" s="1">
        <v>19</v>
      </c>
      <c r="H1262" s="1">
        <v>56</v>
      </c>
      <c r="I1262" s="1">
        <v>0.99631999999999998</v>
      </c>
      <c r="J1262" s="1">
        <v>3.02</v>
      </c>
      <c r="K1262" s="1">
        <v>1.1499999999999999</v>
      </c>
      <c r="L1262" s="1">
        <v>9.3000000000000007</v>
      </c>
      <c r="M1262" s="2">
        <v>5</v>
      </c>
      <c r="N1262" s="2" t="str" cm="1">
        <f t="array" ref="N1262">_xlfn.IFS(Table1[[#This Row],[quality]]&lt;=4,"Low",Table1[[#This Row],[quality]]&lt;=6,"Medium",Table1[[#This Row],[quality]]&gt;=7,"High")</f>
        <v>Medium</v>
      </c>
      <c r="O1262" s="2" t="str">
        <f>IF(AND(Table1[[#This Row],[fixed acidity]]&gt;Sheet1!$C$4,Table1[[#This Row],[pH]]&lt;Sheet1!$K$4),"High","Normal")</f>
        <v>High</v>
      </c>
      <c r="P1262" s="1">
        <f>(Table1[[#This Row],[alcohol]]*2)+(Table1[[#This Row],[sulphates]]*1.5)-(Table1[[#This Row],[volatile acidity]]*2)</f>
        <v>19.055000000000003</v>
      </c>
      <c r="Q1262" s="1">
        <f>RANK(Table1[[#This Row],[Quality_score_index]],Table1[Quality_score_index],0)</f>
        <v>1143</v>
      </c>
      <c r="R1262" s="1">
        <f>Table1[[#This Row],[total sulfur dioxide]]-Table1[[#This Row],[free sulfur dioxide]]</f>
        <v>37</v>
      </c>
      <c r="S1262" s="1" t="str">
        <f>IF(AND(Table1[[#This Row],[pH]]&gt;=3.2,Table1[[#This Row],[alcohol]]&gt;=10),"White wine","Red wine")</f>
        <v>Red wine</v>
      </c>
    </row>
    <row r="1263" spans="1:19" x14ac:dyDescent="0.3">
      <c r="A1263" s="13">
        <v>1262</v>
      </c>
      <c r="B1263" s="1">
        <v>6.3</v>
      </c>
      <c r="C1263" s="1">
        <v>1.02</v>
      </c>
      <c r="D1263" s="1">
        <v>0</v>
      </c>
      <c r="E1263" s="1">
        <v>2</v>
      </c>
      <c r="F1263" s="1">
        <v>8.3000000000000004E-2</v>
      </c>
      <c r="G1263" s="1">
        <v>17</v>
      </c>
      <c r="H1263" s="1">
        <v>24</v>
      </c>
      <c r="I1263" s="1">
        <v>0.99436999999999998</v>
      </c>
      <c r="J1263" s="1">
        <v>3.59</v>
      </c>
      <c r="K1263" s="1">
        <v>0.55000000000000004</v>
      </c>
      <c r="L1263" s="1">
        <v>11.2</v>
      </c>
      <c r="M1263" s="2">
        <v>4</v>
      </c>
      <c r="N1263" s="2" t="str" cm="1">
        <f t="array" ref="N1263">_xlfn.IFS(Table1[[#This Row],[quality]]&lt;=4,"Low",Table1[[#This Row],[quality]]&lt;=6,"Medium",Table1[[#This Row],[quality]]&gt;=7,"High")</f>
        <v>Low</v>
      </c>
      <c r="O1263" s="2" t="str">
        <f>IF(AND(Table1[[#This Row],[fixed acidity]]&gt;Sheet1!$C$4,Table1[[#This Row],[pH]]&lt;Sheet1!$K$4),"High","Normal")</f>
        <v>Normal</v>
      </c>
      <c r="P1263" s="1">
        <f>(Table1[[#This Row],[alcohol]]*2)+(Table1[[#This Row],[sulphates]]*1.5)-(Table1[[#This Row],[volatile acidity]]*2)</f>
        <v>21.184999999999999</v>
      </c>
      <c r="Q1263" s="1">
        <f>RANK(Table1[[#This Row],[Quality_score_index]],Table1[Quality_score_index],0)</f>
        <v>609</v>
      </c>
      <c r="R1263" s="1">
        <f>Table1[[#This Row],[total sulfur dioxide]]-Table1[[#This Row],[free sulfur dioxide]]</f>
        <v>7</v>
      </c>
      <c r="S1263" s="1" t="str">
        <f>IF(AND(Table1[[#This Row],[pH]]&gt;=3.2,Table1[[#This Row],[alcohol]]&gt;=10),"White wine","Red wine")</f>
        <v>White wine</v>
      </c>
    </row>
    <row r="1264" spans="1:19" x14ac:dyDescent="0.3">
      <c r="A1264" s="13">
        <v>1263</v>
      </c>
      <c r="B1264" s="1">
        <v>9.8000000000000007</v>
      </c>
      <c r="C1264" s="1">
        <v>0.45</v>
      </c>
      <c r="D1264" s="1">
        <v>0.38</v>
      </c>
      <c r="E1264" s="1">
        <v>2.5</v>
      </c>
      <c r="F1264" s="1">
        <v>8.1000000000000003E-2</v>
      </c>
      <c r="G1264" s="1">
        <v>34</v>
      </c>
      <c r="H1264" s="1">
        <v>66</v>
      </c>
      <c r="I1264" s="1">
        <v>0.99726000000000004</v>
      </c>
      <c r="J1264" s="1">
        <v>3.15</v>
      </c>
      <c r="K1264" s="1">
        <v>0.57999999999999996</v>
      </c>
      <c r="L1264" s="1">
        <v>9.8000000000000007</v>
      </c>
      <c r="M1264" s="2">
        <v>5</v>
      </c>
      <c r="N1264" s="2" t="str" cm="1">
        <f t="array" ref="N1264">_xlfn.IFS(Table1[[#This Row],[quality]]&lt;=4,"Low",Table1[[#This Row],[quality]]&lt;=6,"Medium",Table1[[#This Row],[quality]]&gt;=7,"High")</f>
        <v>Medium</v>
      </c>
      <c r="O1264" s="2" t="str">
        <f>IF(AND(Table1[[#This Row],[fixed acidity]]&gt;Sheet1!$C$4,Table1[[#This Row],[pH]]&lt;Sheet1!$K$4),"High","Normal")</f>
        <v>High</v>
      </c>
      <c r="P1264" s="1">
        <f>(Table1[[#This Row],[alcohol]]*2)+(Table1[[#This Row],[sulphates]]*1.5)-(Table1[[#This Row],[volatile acidity]]*2)</f>
        <v>19.570000000000004</v>
      </c>
      <c r="Q1264" s="1">
        <f>RANK(Table1[[#This Row],[Quality_score_index]],Table1[Quality_score_index],0)</f>
        <v>958</v>
      </c>
      <c r="R1264" s="1">
        <f>Table1[[#This Row],[total sulfur dioxide]]-Table1[[#This Row],[free sulfur dioxide]]</f>
        <v>32</v>
      </c>
      <c r="S1264" s="1" t="str">
        <f>IF(AND(Table1[[#This Row],[pH]]&gt;=3.2,Table1[[#This Row],[alcohol]]&gt;=10),"White wine","Red wine")</f>
        <v>Red wine</v>
      </c>
    </row>
    <row r="1265" spans="1:19" x14ac:dyDescent="0.3">
      <c r="A1265" s="13">
        <v>1264</v>
      </c>
      <c r="B1265" s="1">
        <v>8.1999999999999993</v>
      </c>
      <c r="C1265" s="1">
        <v>0.78</v>
      </c>
      <c r="D1265" s="1">
        <v>0</v>
      </c>
      <c r="E1265" s="1">
        <v>2.2000000000000002</v>
      </c>
      <c r="F1265" s="1">
        <v>8.8999999999999996E-2</v>
      </c>
      <c r="G1265" s="1">
        <v>13</v>
      </c>
      <c r="H1265" s="1">
        <v>26</v>
      </c>
      <c r="I1265" s="1">
        <v>0.99780000000000002</v>
      </c>
      <c r="J1265" s="1">
        <v>3.37</v>
      </c>
      <c r="K1265" s="1">
        <v>0.46</v>
      </c>
      <c r="L1265" s="1">
        <v>9.6</v>
      </c>
      <c r="M1265" s="2">
        <v>4</v>
      </c>
      <c r="N1265" s="2" t="str" cm="1">
        <f t="array" ref="N1265">_xlfn.IFS(Table1[[#This Row],[quality]]&lt;=4,"Low",Table1[[#This Row],[quality]]&lt;=6,"Medium",Table1[[#This Row],[quality]]&gt;=7,"High")</f>
        <v>Low</v>
      </c>
      <c r="O1265" s="2" t="str">
        <f>IF(AND(Table1[[#This Row],[fixed acidity]]&gt;Sheet1!$C$4,Table1[[#This Row],[pH]]&lt;Sheet1!$K$4),"High","Normal")</f>
        <v>Normal</v>
      </c>
      <c r="P1265" s="1">
        <f>(Table1[[#This Row],[alcohol]]*2)+(Table1[[#This Row],[sulphates]]*1.5)-(Table1[[#This Row],[volatile acidity]]*2)</f>
        <v>18.330000000000002</v>
      </c>
      <c r="Q1265" s="1">
        <f>RANK(Table1[[#This Row],[Quality_score_index]],Table1[Quality_score_index],0)</f>
        <v>1446</v>
      </c>
      <c r="R1265" s="1">
        <f>Table1[[#This Row],[total sulfur dioxide]]-Table1[[#This Row],[free sulfur dioxide]]</f>
        <v>13</v>
      </c>
      <c r="S1265" s="1" t="str">
        <f>IF(AND(Table1[[#This Row],[pH]]&gt;=3.2,Table1[[#This Row],[alcohol]]&gt;=10),"White wine","Red wine")</f>
        <v>Red wine</v>
      </c>
    </row>
    <row r="1266" spans="1:19" x14ac:dyDescent="0.3">
      <c r="A1266" s="13">
        <v>1265</v>
      </c>
      <c r="B1266" s="1">
        <v>8.5</v>
      </c>
      <c r="C1266" s="1">
        <v>0.37</v>
      </c>
      <c r="D1266" s="1">
        <v>0.32</v>
      </c>
      <c r="E1266" s="1">
        <v>1.8</v>
      </c>
      <c r="F1266" s="1">
        <v>6.6000000000000003E-2</v>
      </c>
      <c r="G1266" s="1">
        <v>26</v>
      </c>
      <c r="H1266" s="1">
        <v>51</v>
      </c>
      <c r="I1266" s="1">
        <v>0.99456</v>
      </c>
      <c r="J1266" s="1">
        <v>3.38</v>
      </c>
      <c r="K1266" s="1">
        <v>0.72</v>
      </c>
      <c r="L1266" s="1">
        <v>11.8</v>
      </c>
      <c r="M1266" s="2">
        <v>6</v>
      </c>
      <c r="N1266" s="2" t="str" cm="1">
        <f t="array" ref="N1266">_xlfn.IFS(Table1[[#This Row],[quality]]&lt;=4,"Low",Table1[[#This Row],[quality]]&lt;=6,"Medium",Table1[[#This Row],[quality]]&gt;=7,"High")</f>
        <v>Medium</v>
      </c>
      <c r="O1266" s="2" t="str">
        <f>IF(AND(Table1[[#This Row],[fixed acidity]]&gt;Sheet1!$C$4,Table1[[#This Row],[pH]]&lt;Sheet1!$K$4),"High","Normal")</f>
        <v>Normal</v>
      </c>
      <c r="P1266" s="1">
        <f>(Table1[[#This Row],[alcohol]]*2)+(Table1[[#This Row],[sulphates]]*1.5)-(Table1[[#This Row],[volatile acidity]]*2)</f>
        <v>23.94</v>
      </c>
      <c r="Q1266" s="1">
        <f>RANK(Table1[[#This Row],[Quality_score_index]],Table1[Quality_score_index],0)</f>
        <v>187</v>
      </c>
      <c r="R1266" s="1">
        <f>Table1[[#This Row],[total sulfur dioxide]]-Table1[[#This Row],[free sulfur dioxide]]</f>
        <v>25</v>
      </c>
      <c r="S1266" s="1" t="str">
        <f>IF(AND(Table1[[#This Row],[pH]]&gt;=3.2,Table1[[#This Row],[alcohol]]&gt;=10),"White wine","Red wine")</f>
        <v>White wine</v>
      </c>
    </row>
    <row r="1267" spans="1:19" x14ac:dyDescent="0.3">
      <c r="A1267" s="13">
        <v>1266</v>
      </c>
      <c r="B1267" s="1">
        <v>7.2</v>
      </c>
      <c r="C1267" s="1">
        <v>0.56999999999999995</v>
      </c>
      <c r="D1267" s="1">
        <v>0.05</v>
      </c>
      <c r="E1267" s="1">
        <v>2.2999999999999998</v>
      </c>
      <c r="F1267" s="1">
        <v>8.1000000000000003E-2</v>
      </c>
      <c r="G1267" s="1">
        <v>16</v>
      </c>
      <c r="H1267" s="1">
        <v>36</v>
      </c>
      <c r="I1267" s="1">
        <v>0.99563999999999997</v>
      </c>
      <c r="J1267" s="1">
        <v>3.38</v>
      </c>
      <c r="K1267" s="1">
        <v>0.6</v>
      </c>
      <c r="L1267" s="1">
        <v>10.3</v>
      </c>
      <c r="M1267" s="2">
        <v>6</v>
      </c>
      <c r="N1267" s="2" t="str" cm="1">
        <f t="array" ref="N1267">_xlfn.IFS(Table1[[#This Row],[quality]]&lt;=4,"Low",Table1[[#This Row],[quality]]&lt;=6,"Medium",Table1[[#This Row],[quality]]&gt;=7,"High")</f>
        <v>Medium</v>
      </c>
      <c r="O1267" s="2" t="str">
        <f>IF(AND(Table1[[#This Row],[fixed acidity]]&gt;Sheet1!$C$4,Table1[[#This Row],[pH]]&lt;Sheet1!$K$4),"High","Normal")</f>
        <v>Normal</v>
      </c>
      <c r="P1267" s="1">
        <f>(Table1[[#This Row],[alcohol]]*2)+(Table1[[#This Row],[sulphates]]*1.5)-(Table1[[#This Row],[volatile acidity]]*2)</f>
        <v>20.36</v>
      </c>
      <c r="Q1267" s="1">
        <f>RANK(Table1[[#This Row],[Quality_score_index]],Table1[Quality_score_index],0)</f>
        <v>780</v>
      </c>
      <c r="R1267" s="1">
        <f>Table1[[#This Row],[total sulfur dioxide]]-Table1[[#This Row],[free sulfur dioxide]]</f>
        <v>20</v>
      </c>
      <c r="S1267" s="1" t="str">
        <f>IF(AND(Table1[[#This Row],[pH]]&gt;=3.2,Table1[[#This Row],[alcohol]]&gt;=10),"White wine","Red wine")</f>
        <v>White wine</v>
      </c>
    </row>
    <row r="1268" spans="1:19" x14ac:dyDescent="0.3">
      <c r="A1268" s="13">
        <v>1267</v>
      </c>
      <c r="B1268" s="1">
        <v>7.2</v>
      </c>
      <c r="C1268" s="1">
        <v>0.56999999999999995</v>
      </c>
      <c r="D1268" s="1">
        <v>0.05</v>
      </c>
      <c r="E1268" s="1">
        <v>2.2999999999999998</v>
      </c>
      <c r="F1268" s="1">
        <v>8.1000000000000003E-2</v>
      </c>
      <c r="G1268" s="1">
        <v>16</v>
      </c>
      <c r="H1268" s="1">
        <v>36</v>
      </c>
      <c r="I1268" s="1">
        <v>0.99563999999999997</v>
      </c>
      <c r="J1268" s="1">
        <v>3.38</v>
      </c>
      <c r="K1268" s="1">
        <v>0.6</v>
      </c>
      <c r="L1268" s="1">
        <v>10.3</v>
      </c>
      <c r="M1268" s="2">
        <v>6</v>
      </c>
      <c r="N1268" s="2" t="str" cm="1">
        <f t="array" ref="N1268">_xlfn.IFS(Table1[[#This Row],[quality]]&lt;=4,"Low",Table1[[#This Row],[quality]]&lt;=6,"Medium",Table1[[#This Row],[quality]]&gt;=7,"High")</f>
        <v>Medium</v>
      </c>
      <c r="O1268" s="2" t="str">
        <f>IF(AND(Table1[[#This Row],[fixed acidity]]&gt;Sheet1!$C$4,Table1[[#This Row],[pH]]&lt;Sheet1!$K$4),"High","Normal")</f>
        <v>Normal</v>
      </c>
      <c r="P1268" s="1">
        <f>(Table1[[#This Row],[alcohol]]*2)+(Table1[[#This Row],[sulphates]]*1.5)-(Table1[[#This Row],[volatile acidity]]*2)</f>
        <v>20.36</v>
      </c>
      <c r="Q1268" s="1">
        <f>RANK(Table1[[#This Row],[Quality_score_index]],Table1[Quality_score_index],0)</f>
        <v>780</v>
      </c>
      <c r="R1268" s="1">
        <f>Table1[[#This Row],[total sulfur dioxide]]-Table1[[#This Row],[free sulfur dioxide]]</f>
        <v>20</v>
      </c>
      <c r="S1268" s="1" t="str">
        <f>IF(AND(Table1[[#This Row],[pH]]&gt;=3.2,Table1[[#This Row],[alcohol]]&gt;=10),"White wine","Red wine")</f>
        <v>White wine</v>
      </c>
    </row>
    <row r="1269" spans="1:19" x14ac:dyDescent="0.3">
      <c r="A1269" s="13">
        <v>1268</v>
      </c>
      <c r="B1269" s="1">
        <v>10.4</v>
      </c>
      <c r="C1269" s="1">
        <v>0.43</v>
      </c>
      <c r="D1269" s="1">
        <v>0.5</v>
      </c>
      <c r="E1269" s="1">
        <v>2.2999999999999998</v>
      </c>
      <c r="F1269" s="1">
        <v>6.8000000000000005E-2</v>
      </c>
      <c r="G1269" s="1">
        <v>13</v>
      </c>
      <c r="H1269" s="1">
        <v>19</v>
      </c>
      <c r="I1269" s="1">
        <v>0.996</v>
      </c>
      <c r="J1269" s="1">
        <v>3.1</v>
      </c>
      <c r="K1269" s="1">
        <v>0.87</v>
      </c>
      <c r="L1269" s="1">
        <v>11.4</v>
      </c>
      <c r="M1269" s="2">
        <v>6</v>
      </c>
      <c r="N1269" s="2" t="str" cm="1">
        <f t="array" ref="N1269">_xlfn.IFS(Table1[[#This Row],[quality]]&lt;=4,"Low",Table1[[#This Row],[quality]]&lt;=6,"Medium",Table1[[#This Row],[quality]]&gt;=7,"High")</f>
        <v>Medium</v>
      </c>
      <c r="O1269" s="2" t="str">
        <f>IF(AND(Table1[[#This Row],[fixed acidity]]&gt;Sheet1!$C$4,Table1[[#This Row],[pH]]&lt;Sheet1!$K$4),"High","Normal")</f>
        <v>High</v>
      </c>
      <c r="P1269" s="1">
        <f>(Table1[[#This Row],[alcohol]]*2)+(Table1[[#This Row],[sulphates]]*1.5)-(Table1[[#This Row],[volatile acidity]]*2)</f>
        <v>23.245000000000001</v>
      </c>
      <c r="Q1269" s="1">
        <f>RANK(Table1[[#This Row],[Quality_score_index]],Table1[Quality_score_index],0)</f>
        <v>241</v>
      </c>
      <c r="R1269" s="1">
        <f>Table1[[#This Row],[total sulfur dioxide]]-Table1[[#This Row],[free sulfur dioxide]]</f>
        <v>6</v>
      </c>
      <c r="S1269" s="1" t="str">
        <f>IF(AND(Table1[[#This Row],[pH]]&gt;=3.2,Table1[[#This Row],[alcohol]]&gt;=10),"White wine","Red wine")</f>
        <v>Red wine</v>
      </c>
    </row>
    <row r="1270" spans="1:19" x14ac:dyDescent="0.3">
      <c r="A1270" s="13">
        <v>1269</v>
      </c>
      <c r="B1270" s="1">
        <v>6.9</v>
      </c>
      <c r="C1270" s="1">
        <v>0.41</v>
      </c>
      <c r="D1270" s="1">
        <v>0.31</v>
      </c>
      <c r="E1270" s="1">
        <v>2</v>
      </c>
      <c r="F1270" s="1">
        <v>7.9000000000000001E-2</v>
      </c>
      <c r="G1270" s="1">
        <v>21</v>
      </c>
      <c r="H1270" s="1">
        <v>51</v>
      </c>
      <c r="I1270" s="1">
        <v>0.99668000000000001</v>
      </c>
      <c r="J1270" s="1">
        <v>3.47</v>
      </c>
      <c r="K1270" s="1">
        <v>0.55000000000000004</v>
      </c>
      <c r="L1270" s="1">
        <v>9.5</v>
      </c>
      <c r="M1270" s="2">
        <v>6</v>
      </c>
      <c r="N1270" s="2" t="str" cm="1">
        <f t="array" ref="N1270">_xlfn.IFS(Table1[[#This Row],[quality]]&lt;=4,"Low",Table1[[#This Row],[quality]]&lt;=6,"Medium",Table1[[#This Row],[quality]]&gt;=7,"High")</f>
        <v>Medium</v>
      </c>
      <c r="O1270" s="2" t="str">
        <f>IF(AND(Table1[[#This Row],[fixed acidity]]&gt;Sheet1!$C$4,Table1[[#This Row],[pH]]&lt;Sheet1!$K$4),"High","Normal")</f>
        <v>Normal</v>
      </c>
      <c r="P1270" s="1">
        <f>(Table1[[#This Row],[alcohol]]*2)+(Table1[[#This Row],[sulphates]]*1.5)-(Table1[[#This Row],[volatile acidity]]*2)</f>
        <v>19.004999999999999</v>
      </c>
      <c r="Q1270" s="1">
        <f>RANK(Table1[[#This Row],[Quality_score_index]],Table1[Quality_score_index],0)</f>
        <v>1164</v>
      </c>
      <c r="R1270" s="1">
        <f>Table1[[#This Row],[total sulfur dioxide]]-Table1[[#This Row],[free sulfur dioxide]]</f>
        <v>30</v>
      </c>
      <c r="S1270" s="1" t="str">
        <f>IF(AND(Table1[[#This Row],[pH]]&gt;=3.2,Table1[[#This Row],[alcohol]]&gt;=10),"White wine","Red wine")</f>
        <v>Red wine</v>
      </c>
    </row>
    <row r="1271" spans="1:19" x14ac:dyDescent="0.3">
      <c r="A1271" s="13">
        <v>1270</v>
      </c>
      <c r="B1271" s="1">
        <v>5.5</v>
      </c>
      <c r="C1271" s="1">
        <v>0.49</v>
      </c>
      <c r="D1271" s="1">
        <v>0.03</v>
      </c>
      <c r="E1271" s="1">
        <v>1.8</v>
      </c>
      <c r="F1271" s="1">
        <v>4.3999999999999997E-2</v>
      </c>
      <c r="G1271" s="1">
        <v>28</v>
      </c>
      <c r="H1271" s="1">
        <v>87</v>
      </c>
      <c r="I1271" s="1">
        <v>0.99080000000000001</v>
      </c>
      <c r="J1271" s="1">
        <v>3.5</v>
      </c>
      <c r="K1271" s="1">
        <v>0.82</v>
      </c>
      <c r="L1271" s="1">
        <v>14</v>
      </c>
      <c r="M1271" s="2">
        <v>8</v>
      </c>
      <c r="N1271" s="2" t="str" cm="1">
        <f t="array" ref="N1271">_xlfn.IFS(Table1[[#This Row],[quality]]&lt;=4,"Low",Table1[[#This Row],[quality]]&lt;=6,"Medium",Table1[[#This Row],[quality]]&gt;=7,"High")</f>
        <v>High</v>
      </c>
      <c r="O1271" s="2" t="str">
        <f>IF(AND(Table1[[#This Row],[fixed acidity]]&gt;Sheet1!$C$4,Table1[[#This Row],[pH]]&lt;Sheet1!$K$4),"High","Normal")</f>
        <v>Normal</v>
      </c>
      <c r="P1271" s="1">
        <f>(Table1[[#This Row],[alcohol]]*2)+(Table1[[#This Row],[sulphates]]*1.5)-(Table1[[#This Row],[volatile acidity]]*2)</f>
        <v>28.25</v>
      </c>
      <c r="Q1271" s="1">
        <f>RANK(Table1[[#This Row],[Quality_score_index]],Table1[Quality_score_index],0)</f>
        <v>8</v>
      </c>
      <c r="R1271" s="1">
        <f>Table1[[#This Row],[total sulfur dioxide]]-Table1[[#This Row],[free sulfur dioxide]]</f>
        <v>59</v>
      </c>
      <c r="S1271" s="1" t="str">
        <f>IF(AND(Table1[[#This Row],[pH]]&gt;=3.2,Table1[[#This Row],[alcohol]]&gt;=10),"White wine","Red wine")</f>
        <v>White wine</v>
      </c>
    </row>
    <row r="1272" spans="1:19" x14ac:dyDescent="0.3">
      <c r="A1272" s="13">
        <v>1271</v>
      </c>
      <c r="B1272" s="1">
        <v>5</v>
      </c>
      <c r="C1272" s="1">
        <v>0.38</v>
      </c>
      <c r="D1272" s="1">
        <v>0.01</v>
      </c>
      <c r="E1272" s="1">
        <v>1.6</v>
      </c>
      <c r="F1272" s="1">
        <v>4.8000000000000001E-2</v>
      </c>
      <c r="G1272" s="1">
        <v>26</v>
      </c>
      <c r="H1272" s="1">
        <v>60</v>
      </c>
      <c r="I1272" s="1">
        <v>0.99084000000000005</v>
      </c>
      <c r="J1272" s="1">
        <v>3.7</v>
      </c>
      <c r="K1272" s="1">
        <v>0.75</v>
      </c>
      <c r="L1272" s="1">
        <v>14</v>
      </c>
      <c r="M1272" s="2">
        <v>6</v>
      </c>
      <c r="N1272" s="2" t="str" cm="1">
        <f t="array" ref="N1272">_xlfn.IFS(Table1[[#This Row],[quality]]&lt;=4,"Low",Table1[[#This Row],[quality]]&lt;=6,"Medium",Table1[[#This Row],[quality]]&gt;=7,"High")</f>
        <v>Medium</v>
      </c>
      <c r="O1272" s="2" t="str">
        <f>IF(AND(Table1[[#This Row],[fixed acidity]]&gt;Sheet1!$C$4,Table1[[#This Row],[pH]]&lt;Sheet1!$K$4),"High","Normal")</f>
        <v>Normal</v>
      </c>
      <c r="P1272" s="1">
        <f>(Table1[[#This Row],[alcohol]]*2)+(Table1[[#This Row],[sulphates]]*1.5)-(Table1[[#This Row],[volatile acidity]]*2)</f>
        <v>28.364999999999998</v>
      </c>
      <c r="Q1272" s="1">
        <f>RANK(Table1[[#This Row],[Quality_score_index]],Table1[Quality_score_index],0)</f>
        <v>4</v>
      </c>
      <c r="R1272" s="1">
        <f>Table1[[#This Row],[total sulfur dioxide]]-Table1[[#This Row],[free sulfur dioxide]]</f>
        <v>34</v>
      </c>
      <c r="S1272" s="1" t="str">
        <f>IF(AND(Table1[[#This Row],[pH]]&gt;=3.2,Table1[[#This Row],[alcohol]]&gt;=10),"White wine","Red wine")</f>
        <v>White wine</v>
      </c>
    </row>
    <row r="1273" spans="1:19" x14ac:dyDescent="0.3">
      <c r="A1273" s="13">
        <v>1272</v>
      </c>
      <c r="B1273" s="1">
        <v>7.3</v>
      </c>
      <c r="C1273" s="1">
        <v>0.44</v>
      </c>
      <c r="D1273" s="1">
        <v>0.2</v>
      </c>
      <c r="E1273" s="1">
        <v>1.6</v>
      </c>
      <c r="F1273" s="1">
        <v>4.9000000000000002E-2</v>
      </c>
      <c r="G1273" s="1">
        <v>24</v>
      </c>
      <c r="H1273" s="1">
        <v>64</v>
      </c>
      <c r="I1273" s="1">
        <v>0.99350000000000005</v>
      </c>
      <c r="J1273" s="1">
        <v>3.38</v>
      </c>
      <c r="K1273" s="1">
        <v>0.56999999999999995</v>
      </c>
      <c r="L1273" s="1">
        <v>11.7</v>
      </c>
      <c r="M1273" s="2">
        <v>6</v>
      </c>
      <c r="N1273" s="2" t="str" cm="1">
        <f t="array" ref="N1273">_xlfn.IFS(Table1[[#This Row],[quality]]&lt;=4,"Low",Table1[[#This Row],[quality]]&lt;=6,"Medium",Table1[[#This Row],[quality]]&gt;=7,"High")</f>
        <v>Medium</v>
      </c>
      <c r="O1273" s="2" t="str">
        <f>IF(AND(Table1[[#This Row],[fixed acidity]]&gt;Sheet1!$C$4,Table1[[#This Row],[pH]]&lt;Sheet1!$K$4),"High","Normal")</f>
        <v>Normal</v>
      </c>
      <c r="P1273" s="1">
        <f>(Table1[[#This Row],[alcohol]]*2)+(Table1[[#This Row],[sulphates]]*1.5)-(Table1[[#This Row],[volatile acidity]]*2)</f>
        <v>23.375</v>
      </c>
      <c r="Q1273" s="1">
        <f>RANK(Table1[[#This Row],[Quality_score_index]],Table1[Quality_score_index],0)</f>
        <v>231</v>
      </c>
      <c r="R1273" s="1">
        <f>Table1[[#This Row],[total sulfur dioxide]]-Table1[[#This Row],[free sulfur dioxide]]</f>
        <v>40</v>
      </c>
      <c r="S1273" s="1" t="str">
        <f>IF(AND(Table1[[#This Row],[pH]]&gt;=3.2,Table1[[#This Row],[alcohol]]&gt;=10),"White wine","Red wine")</f>
        <v>White wine</v>
      </c>
    </row>
    <row r="1274" spans="1:19" x14ac:dyDescent="0.3">
      <c r="A1274" s="13">
        <v>1273</v>
      </c>
      <c r="B1274" s="1">
        <v>5.9</v>
      </c>
      <c r="C1274" s="1">
        <v>0.46</v>
      </c>
      <c r="D1274" s="1">
        <v>0</v>
      </c>
      <c r="E1274" s="1">
        <v>1.9</v>
      </c>
      <c r="F1274" s="1">
        <v>7.6999999999999999E-2</v>
      </c>
      <c r="G1274" s="1">
        <v>25</v>
      </c>
      <c r="H1274" s="1">
        <v>44</v>
      </c>
      <c r="I1274" s="1">
        <v>0.99385000000000001</v>
      </c>
      <c r="J1274" s="1">
        <v>3.5</v>
      </c>
      <c r="K1274" s="1">
        <v>0.53</v>
      </c>
      <c r="L1274" s="1">
        <v>11.2</v>
      </c>
      <c r="M1274" s="2">
        <v>5</v>
      </c>
      <c r="N1274" s="2" t="str" cm="1">
        <f t="array" ref="N1274">_xlfn.IFS(Table1[[#This Row],[quality]]&lt;=4,"Low",Table1[[#This Row],[quality]]&lt;=6,"Medium",Table1[[#This Row],[quality]]&gt;=7,"High")</f>
        <v>Medium</v>
      </c>
      <c r="O1274" s="2" t="str">
        <f>IF(AND(Table1[[#This Row],[fixed acidity]]&gt;Sheet1!$C$4,Table1[[#This Row],[pH]]&lt;Sheet1!$K$4),"High","Normal")</f>
        <v>Normal</v>
      </c>
      <c r="P1274" s="1">
        <f>(Table1[[#This Row],[alcohol]]*2)+(Table1[[#This Row],[sulphates]]*1.5)-(Table1[[#This Row],[volatile acidity]]*2)</f>
        <v>22.274999999999999</v>
      </c>
      <c r="Q1274" s="1">
        <f>RANK(Table1[[#This Row],[Quality_score_index]],Table1[Quality_score_index],0)</f>
        <v>410</v>
      </c>
      <c r="R1274" s="1">
        <f>Table1[[#This Row],[total sulfur dioxide]]-Table1[[#This Row],[free sulfur dioxide]]</f>
        <v>19</v>
      </c>
      <c r="S1274" s="1" t="str">
        <f>IF(AND(Table1[[#This Row],[pH]]&gt;=3.2,Table1[[#This Row],[alcohol]]&gt;=10),"White wine","Red wine")</f>
        <v>White wine</v>
      </c>
    </row>
    <row r="1275" spans="1:19" x14ac:dyDescent="0.3">
      <c r="A1275" s="13">
        <v>1274</v>
      </c>
      <c r="B1275" s="1">
        <v>7.5</v>
      </c>
      <c r="C1275" s="1">
        <v>0.57999999999999996</v>
      </c>
      <c r="D1275" s="1">
        <v>0.2</v>
      </c>
      <c r="E1275" s="1">
        <v>2</v>
      </c>
      <c r="F1275" s="1">
        <v>7.2999999999999995E-2</v>
      </c>
      <c r="G1275" s="1">
        <v>34</v>
      </c>
      <c r="H1275" s="1">
        <v>44</v>
      </c>
      <c r="I1275" s="1">
        <v>0.99494000000000005</v>
      </c>
      <c r="J1275" s="1">
        <v>3.1</v>
      </c>
      <c r="K1275" s="1">
        <v>0.43</v>
      </c>
      <c r="L1275" s="1">
        <v>9.3000000000000007</v>
      </c>
      <c r="M1275" s="2">
        <v>5</v>
      </c>
      <c r="N1275" s="2" t="str" cm="1">
        <f t="array" ref="N1275">_xlfn.IFS(Table1[[#This Row],[quality]]&lt;=4,"Low",Table1[[#This Row],[quality]]&lt;=6,"Medium",Table1[[#This Row],[quality]]&gt;=7,"High")</f>
        <v>Medium</v>
      </c>
      <c r="O1275" s="2" t="str">
        <f>IF(AND(Table1[[#This Row],[fixed acidity]]&gt;Sheet1!$C$4,Table1[[#This Row],[pH]]&lt;Sheet1!$K$4),"High","Normal")</f>
        <v>Normal</v>
      </c>
      <c r="P1275" s="1">
        <f>(Table1[[#This Row],[alcohol]]*2)+(Table1[[#This Row],[sulphates]]*1.5)-(Table1[[#This Row],[volatile acidity]]*2)</f>
        <v>18.085000000000001</v>
      </c>
      <c r="Q1275" s="1">
        <f>RANK(Table1[[#This Row],[Quality_score_index]],Table1[Quality_score_index],0)</f>
        <v>1503</v>
      </c>
      <c r="R1275" s="1">
        <f>Table1[[#This Row],[total sulfur dioxide]]-Table1[[#This Row],[free sulfur dioxide]]</f>
        <v>10</v>
      </c>
      <c r="S1275" s="1" t="str">
        <f>IF(AND(Table1[[#This Row],[pH]]&gt;=3.2,Table1[[#This Row],[alcohol]]&gt;=10),"White wine","Red wine")</f>
        <v>Red wine</v>
      </c>
    </row>
    <row r="1276" spans="1:19" x14ac:dyDescent="0.3">
      <c r="A1276" s="13">
        <v>1275</v>
      </c>
      <c r="B1276" s="1">
        <v>7.8</v>
      </c>
      <c r="C1276" s="1">
        <v>0.57999999999999996</v>
      </c>
      <c r="D1276" s="1">
        <v>0.13</v>
      </c>
      <c r="E1276" s="1">
        <v>2.1</v>
      </c>
      <c r="F1276" s="1">
        <v>0.10199999999999999</v>
      </c>
      <c r="G1276" s="1">
        <v>17</v>
      </c>
      <c r="H1276" s="1">
        <v>36</v>
      </c>
      <c r="I1276" s="1">
        <v>0.99439999999999995</v>
      </c>
      <c r="J1276" s="1">
        <v>3.24</v>
      </c>
      <c r="K1276" s="1">
        <v>0.53</v>
      </c>
      <c r="L1276" s="1">
        <v>11.2</v>
      </c>
      <c r="M1276" s="2">
        <v>6</v>
      </c>
      <c r="N1276" s="2" t="str" cm="1">
        <f t="array" ref="N1276">_xlfn.IFS(Table1[[#This Row],[quality]]&lt;=4,"Low",Table1[[#This Row],[quality]]&lt;=6,"Medium",Table1[[#This Row],[quality]]&gt;=7,"High")</f>
        <v>Medium</v>
      </c>
      <c r="O1276" s="2" t="str">
        <f>IF(AND(Table1[[#This Row],[fixed acidity]]&gt;Sheet1!$C$4,Table1[[#This Row],[pH]]&lt;Sheet1!$K$4),"High","Normal")</f>
        <v>Normal</v>
      </c>
      <c r="P1276" s="1">
        <f>(Table1[[#This Row],[alcohol]]*2)+(Table1[[#This Row],[sulphates]]*1.5)-(Table1[[#This Row],[volatile acidity]]*2)</f>
        <v>22.035</v>
      </c>
      <c r="Q1276" s="1">
        <f>RANK(Table1[[#This Row],[Quality_score_index]],Table1[Quality_score_index],0)</f>
        <v>449</v>
      </c>
      <c r="R1276" s="1">
        <f>Table1[[#This Row],[total sulfur dioxide]]-Table1[[#This Row],[free sulfur dioxide]]</f>
        <v>19</v>
      </c>
      <c r="S1276" s="1" t="str">
        <f>IF(AND(Table1[[#This Row],[pH]]&gt;=3.2,Table1[[#This Row],[alcohol]]&gt;=10),"White wine","Red wine")</f>
        <v>White wine</v>
      </c>
    </row>
    <row r="1277" spans="1:19" x14ac:dyDescent="0.3">
      <c r="A1277" s="13">
        <v>1276</v>
      </c>
      <c r="B1277" s="1">
        <v>8</v>
      </c>
      <c r="C1277" s="1">
        <v>0.71499999999999997</v>
      </c>
      <c r="D1277" s="1">
        <v>0.22</v>
      </c>
      <c r="E1277" s="1">
        <v>2.2999999999999998</v>
      </c>
      <c r="F1277" s="1">
        <v>7.4999999999999997E-2</v>
      </c>
      <c r="G1277" s="1">
        <v>13</v>
      </c>
      <c r="H1277" s="1">
        <v>81</v>
      </c>
      <c r="I1277" s="1">
        <v>0.99687999999999999</v>
      </c>
      <c r="J1277" s="1">
        <v>3.24</v>
      </c>
      <c r="K1277" s="1">
        <v>0.54</v>
      </c>
      <c r="L1277" s="1">
        <v>9.5</v>
      </c>
      <c r="M1277" s="2">
        <v>6</v>
      </c>
      <c r="N1277" s="2" t="str" cm="1">
        <f t="array" ref="N1277">_xlfn.IFS(Table1[[#This Row],[quality]]&lt;=4,"Low",Table1[[#This Row],[quality]]&lt;=6,"Medium",Table1[[#This Row],[quality]]&gt;=7,"High")</f>
        <v>Medium</v>
      </c>
      <c r="O1277" s="2" t="str">
        <f>IF(AND(Table1[[#This Row],[fixed acidity]]&gt;Sheet1!$C$4,Table1[[#This Row],[pH]]&lt;Sheet1!$K$4),"High","Normal")</f>
        <v>Normal</v>
      </c>
      <c r="P1277" s="1">
        <f>(Table1[[#This Row],[alcohol]]*2)+(Table1[[#This Row],[sulphates]]*1.5)-(Table1[[#This Row],[volatile acidity]]*2)</f>
        <v>18.38</v>
      </c>
      <c r="Q1277" s="1">
        <f>RANK(Table1[[#This Row],[Quality_score_index]],Table1[Quality_score_index],0)</f>
        <v>1424</v>
      </c>
      <c r="R1277" s="1">
        <f>Table1[[#This Row],[total sulfur dioxide]]-Table1[[#This Row],[free sulfur dioxide]]</f>
        <v>68</v>
      </c>
      <c r="S1277" s="1" t="str">
        <f>IF(AND(Table1[[#This Row],[pH]]&gt;=3.2,Table1[[#This Row],[alcohol]]&gt;=10),"White wine","Red wine")</f>
        <v>Red wine</v>
      </c>
    </row>
    <row r="1278" spans="1:19" x14ac:dyDescent="0.3">
      <c r="A1278" s="13">
        <v>1277</v>
      </c>
      <c r="B1278" s="1">
        <v>8.5</v>
      </c>
      <c r="C1278" s="1">
        <v>0.4</v>
      </c>
      <c r="D1278" s="1">
        <v>0.4</v>
      </c>
      <c r="E1278" s="1">
        <v>6.3</v>
      </c>
      <c r="F1278" s="1">
        <v>0.05</v>
      </c>
      <c r="G1278" s="1">
        <v>3</v>
      </c>
      <c r="H1278" s="1">
        <v>10</v>
      </c>
      <c r="I1278" s="1">
        <v>0.99565999999999999</v>
      </c>
      <c r="J1278" s="1">
        <v>3.28</v>
      </c>
      <c r="K1278" s="1">
        <v>0.56000000000000005</v>
      </c>
      <c r="L1278" s="1">
        <v>12</v>
      </c>
      <c r="M1278" s="2">
        <v>4</v>
      </c>
      <c r="N1278" s="2" t="str" cm="1">
        <f t="array" ref="N1278">_xlfn.IFS(Table1[[#This Row],[quality]]&lt;=4,"Low",Table1[[#This Row],[quality]]&lt;=6,"Medium",Table1[[#This Row],[quality]]&gt;=7,"High")</f>
        <v>Low</v>
      </c>
      <c r="O1278" s="2" t="str">
        <f>IF(AND(Table1[[#This Row],[fixed acidity]]&gt;Sheet1!$C$4,Table1[[#This Row],[pH]]&lt;Sheet1!$K$4),"High","Normal")</f>
        <v>High</v>
      </c>
      <c r="P1278" s="1">
        <f>(Table1[[#This Row],[alcohol]]*2)+(Table1[[#This Row],[sulphates]]*1.5)-(Table1[[#This Row],[volatile acidity]]*2)</f>
        <v>24.04</v>
      </c>
      <c r="Q1278" s="1">
        <f>RANK(Table1[[#This Row],[Quality_score_index]],Table1[Quality_score_index],0)</f>
        <v>175</v>
      </c>
      <c r="R1278" s="1">
        <f>Table1[[#This Row],[total sulfur dioxide]]-Table1[[#This Row],[free sulfur dioxide]]</f>
        <v>7</v>
      </c>
      <c r="S1278" s="1" t="str">
        <f>IF(AND(Table1[[#This Row],[pH]]&gt;=3.2,Table1[[#This Row],[alcohol]]&gt;=10),"White wine","Red wine")</f>
        <v>White wine</v>
      </c>
    </row>
    <row r="1279" spans="1:19" x14ac:dyDescent="0.3">
      <c r="A1279" s="13">
        <v>1278</v>
      </c>
      <c r="B1279" s="1">
        <v>7</v>
      </c>
      <c r="C1279" s="1">
        <v>0.69</v>
      </c>
      <c r="D1279" s="1">
        <v>0</v>
      </c>
      <c r="E1279" s="1">
        <v>1.9</v>
      </c>
      <c r="F1279" s="1">
        <v>0.114</v>
      </c>
      <c r="G1279" s="1">
        <v>3</v>
      </c>
      <c r="H1279" s="1">
        <v>10</v>
      </c>
      <c r="I1279" s="1">
        <v>0.99636000000000002</v>
      </c>
      <c r="J1279" s="1">
        <v>3.35</v>
      </c>
      <c r="K1279" s="1">
        <v>0.6</v>
      </c>
      <c r="L1279" s="1">
        <v>9.6999999999999993</v>
      </c>
      <c r="M1279" s="2">
        <v>6</v>
      </c>
      <c r="N1279" s="2" t="str" cm="1">
        <f t="array" ref="N1279">_xlfn.IFS(Table1[[#This Row],[quality]]&lt;=4,"Low",Table1[[#This Row],[quality]]&lt;=6,"Medium",Table1[[#This Row],[quality]]&gt;=7,"High")</f>
        <v>Medium</v>
      </c>
      <c r="O1279" s="2" t="str">
        <f>IF(AND(Table1[[#This Row],[fixed acidity]]&gt;Sheet1!$C$4,Table1[[#This Row],[pH]]&lt;Sheet1!$K$4),"High","Normal")</f>
        <v>Normal</v>
      </c>
      <c r="P1279" s="1">
        <f>(Table1[[#This Row],[alcohol]]*2)+(Table1[[#This Row],[sulphates]]*1.5)-(Table1[[#This Row],[volatile acidity]]*2)</f>
        <v>18.919999999999998</v>
      </c>
      <c r="Q1279" s="1">
        <f>RANK(Table1[[#This Row],[Quality_score_index]],Table1[Quality_score_index],0)</f>
        <v>1197</v>
      </c>
      <c r="R1279" s="1">
        <f>Table1[[#This Row],[total sulfur dioxide]]-Table1[[#This Row],[free sulfur dioxide]]</f>
        <v>7</v>
      </c>
      <c r="S1279" s="1" t="str">
        <f>IF(AND(Table1[[#This Row],[pH]]&gt;=3.2,Table1[[#This Row],[alcohol]]&gt;=10),"White wine","Red wine")</f>
        <v>Red wine</v>
      </c>
    </row>
    <row r="1280" spans="1:19" x14ac:dyDescent="0.3">
      <c r="A1280" s="13">
        <v>1279</v>
      </c>
      <c r="B1280" s="1">
        <v>8</v>
      </c>
      <c r="C1280" s="1">
        <v>0.71499999999999997</v>
      </c>
      <c r="D1280" s="1">
        <v>0.22</v>
      </c>
      <c r="E1280" s="1">
        <v>2.2999999999999998</v>
      </c>
      <c r="F1280" s="1">
        <v>7.4999999999999997E-2</v>
      </c>
      <c r="G1280" s="1">
        <v>13</v>
      </c>
      <c r="H1280" s="1">
        <v>81</v>
      </c>
      <c r="I1280" s="1">
        <v>0.99687999999999999</v>
      </c>
      <c r="J1280" s="1">
        <v>3.24</v>
      </c>
      <c r="K1280" s="1">
        <v>0.54</v>
      </c>
      <c r="L1280" s="1">
        <v>9.5</v>
      </c>
      <c r="M1280" s="2">
        <v>6</v>
      </c>
      <c r="N1280" s="2" t="str" cm="1">
        <f t="array" ref="N1280">_xlfn.IFS(Table1[[#This Row],[quality]]&lt;=4,"Low",Table1[[#This Row],[quality]]&lt;=6,"Medium",Table1[[#This Row],[quality]]&gt;=7,"High")</f>
        <v>Medium</v>
      </c>
      <c r="O1280" s="2" t="str">
        <f>IF(AND(Table1[[#This Row],[fixed acidity]]&gt;Sheet1!$C$4,Table1[[#This Row],[pH]]&lt;Sheet1!$K$4),"High","Normal")</f>
        <v>Normal</v>
      </c>
      <c r="P1280" s="1">
        <f>(Table1[[#This Row],[alcohol]]*2)+(Table1[[#This Row],[sulphates]]*1.5)-(Table1[[#This Row],[volatile acidity]]*2)</f>
        <v>18.38</v>
      </c>
      <c r="Q1280" s="1">
        <f>RANK(Table1[[#This Row],[Quality_score_index]],Table1[Quality_score_index],0)</f>
        <v>1424</v>
      </c>
      <c r="R1280" s="1">
        <f>Table1[[#This Row],[total sulfur dioxide]]-Table1[[#This Row],[free sulfur dioxide]]</f>
        <v>68</v>
      </c>
      <c r="S1280" s="1" t="str">
        <f>IF(AND(Table1[[#This Row],[pH]]&gt;=3.2,Table1[[#This Row],[alcohol]]&gt;=10),"White wine","Red wine")</f>
        <v>Red wine</v>
      </c>
    </row>
    <row r="1281" spans="1:19" x14ac:dyDescent="0.3">
      <c r="A1281" s="13">
        <v>1280</v>
      </c>
      <c r="B1281" s="1">
        <v>9.8000000000000007</v>
      </c>
      <c r="C1281" s="1">
        <v>0.3</v>
      </c>
      <c r="D1281" s="1">
        <v>0.39</v>
      </c>
      <c r="E1281" s="1">
        <v>1.7</v>
      </c>
      <c r="F1281" s="1">
        <v>6.2E-2</v>
      </c>
      <c r="G1281" s="1">
        <v>3</v>
      </c>
      <c r="H1281" s="1">
        <v>9</v>
      </c>
      <c r="I1281" s="1">
        <v>0.99480000000000002</v>
      </c>
      <c r="J1281" s="1">
        <v>3.14</v>
      </c>
      <c r="K1281" s="1">
        <v>0.56999999999999995</v>
      </c>
      <c r="L1281" s="1">
        <v>11.5</v>
      </c>
      <c r="M1281" s="2">
        <v>7</v>
      </c>
      <c r="N1281" s="2" t="str" cm="1">
        <f t="array" ref="N1281">_xlfn.IFS(Table1[[#This Row],[quality]]&lt;=4,"Low",Table1[[#This Row],[quality]]&lt;=6,"Medium",Table1[[#This Row],[quality]]&gt;=7,"High")</f>
        <v>High</v>
      </c>
      <c r="O1281" s="2" t="str">
        <f>IF(AND(Table1[[#This Row],[fixed acidity]]&gt;Sheet1!$C$4,Table1[[#This Row],[pH]]&lt;Sheet1!$K$4),"High","Normal")</f>
        <v>High</v>
      </c>
      <c r="P1281" s="1">
        <f>(Table1[[#This Row],[alcohol]]*2)+(Table1[[#This Row],[sulphates]]*1.5)-(Table1[[#This Row],[volatile acidity]]*2)</f>
        <v>23.254999999999999</v>
      </c>
      <c r="Q1281" s="1">
        <f>RANK(Table1[[#This Row],[Quality_score_index]],Table1[Quality_score_index],0)</f>
        <v>238</v>
      </c>
      <c r="R1281" s="1">
        <f>Table1[[#This Row],[total sulfur dioxide]]-Table1[[#This Row],[free sulfur dioxide]]</f>
        <v>6</v>
      </c>
      <c r="S1281" s="1" t="str">
        <f>IF(AND(Table1[[#This Row],[pH]]&gt;=3.2,Table1[[#This Row],[alcohol]]&gt;=10),"White wine","Red wine")</f>
        <v>Red wine</v>
      </c>
    </row>
    <row r="1282" spans="1:19" x14ac:dyDescent="0.3">
      <c r="A1282" s="13">
        <v>1281</v>
      </c>
      <c r="B1282" s="1">
        <v>7.1</v>
      </c>
      <c r="C1282" s="1">
        <v>0.46</v>
      </c>
      <c r="D1282" s="1">
        <v>0.2</v>
      </c>
      <c r="E1282" s="1">
        <v>1.9</v>
      </c>
      <c r="F1282" s="1">
        <v>7.6999999999999999E-2</v>
      </c>
      <c r="G1282" s="1">
        <v>28</v>
      </c>
      <c r="H1282" s="1">
        <v>54</v>
      </c>
      <c r="I1282" s="1">
        <v>0.99560000000000004</v>
      </c>
      <c r="J1282" s="1">
        <v>3.37</v>
      </c>
      <c r="K1282" s="1">
        <v>0.64</v>
      </c>
      <c r="L1282" s="1">
        <v>10.4</v>
      </c>
      <c r="M1282" s="2">
        <v>6</v>
      </c>
      <c r="N1282" s="2" t="str" cm="1">
        <f t="array" ref="N1282">_xlfn.IFS(Table1[[#This Row],[quality]]&lt;=4,"Low",Table1[[#This Row],[quality]]&lt;=6,"Medium",Table1[[#This Row],[quality]]&gt;=7,"High")</f>
        <v>Medium</v>
      </c>
      <c r="O1282" s="2" t="str">
        <f>IF(AND(Table1[[#This Row],[fixed acidity]]&gt;Sheet1!$C$4,Table1[[#This Row],[pH]]&lt;Sheet1!$K$4),"High","Normal")</f>
        <v>Normal</v>
      </c>
      <c r="P1282" s="1">
        <f>(Table1[[#This Row],[alcohol]]*2)+(Table1[[#This Row],[sulphates]]*1.5)-(Table1[[#This Row],[volatile acidity]]*2)</f>
        <v>20.84</v>
      </c>
      <c r="Q1282" s="1">
        <f>RANK(Table1[[#This Row],[Quality_score_index]],Table1[Quality_score_index],0)</f>
        <v>691</v>
      </c>
      <c r="R1282" s="1">
        <f>Table1[[#This Row],[total sulfur dioxide]]-Table1[[#This Row],[free sulfur dioxide]]</f>
        <v>26</v>
      </c>
      <c r="S1282" s="1" t="str">
        <f>IF(AND(Table1[[#This Row],[pH]]&gt;=3.2,Table1[[#This Row],[alcohol]]&gt;=10),"White wine","Red wine")</f>
        <v>White wine</v>
      </c>
    </row>
    <row r="1283" spans="1:19" x14ac:dyDescent="0.3">
      <c r="A1283" s="13">
        <v>1282</v>
      </c>
      <c r="B1283" s="1">
        <v>7.1</v>
      </c>
      <c r="C1283" s="1">
        <v>0.46</v>
      </c>
      <c r="D1283" s="1">
        <v>0.2</v>
      </c>
      <c r="E1283" s="1">
        <v>1.9</v>
      </c>
      <c r="F1283" s="1">
        <v>7.6999999999999999E-2</v>
      </c>
      <c r="G1283" s="1">
        <v>28</v>
      </c>
      <c r="H1283" s="1">
        <v>54</v>
      </c>
      <c r="I1283" s="1">
        <v>0.99560000000000004</v>
      </c>
      <c r="J1283" s="1">
        <v>3.37</v>
      </c>
      <c r="K1283" s="1">
        <v>0.64</v>
      </c>
      <c r="L1283" s="1">
        <v>10.4</v>
      </c>
      <c r="M1283" s="2">
        <v>6</v>
      </c>
      <c r="N1283" s="2" t="str" cm="1">
        <f t="array" ref="N1283">_xlfn.IFS(Table1[[#This Row],[quality]]&lt;=4,"Low",Table1[[#This Row],[quality]]&lt;=6,"Medium",Table1[[#This Row],[quality]]&gt;=7,"High")</f>
        <v>Medium</v>
      </c>
      <c r="O1283" s="2" t="str">
        <f>IF(AND(Table1[[#This Row],[fixed acidity]]&gt;Sheet1!$C$4,Table1[[#This Row],[pH]]&lt;Sheet1!$K$4),"High","Normal")</f>
        <v>Normal</v>
      </c>
      <c r="P1283" s="1">
        <f>(Table1[[#This Row],[alcohol]]*2)+(Table1[[#This Row],[sulphates]]*1.5)-(Table1[[#This Row],[volatile acidity]]*2)</f>
        <v>20.84</v>
      </c>
      <c r="Q1283" s="1">
        <f>RANK(Table1[[#This Row],[Quality_score_index]],Table1[Quality_score_index],0)</f>
        <v>691</v>
      </c>
      <c r="R1283" s="1">
        <f>Table1[[#This Row],[total sulfur dioxide]]-Table1[[#This Row],[free sulfur dioxide]]</f>
        <v>26</v>
      </c>
      <c r="S1283" s="1" t="str">
        <f>IF(AND(Table1[[#This Row],[pH]]&gt;=3.2,Table1[[#This Row],[alcohol]]&gt;=10),"White wine","Red wine")</f>
        <v>White wine</v>
      </c>
    </row>
    <row r="1284" spans="1:19" x14ac:dyDescent="0.3">
      <c r="A1284" s="13">
        <v>1283</v>
      </c>
      <c r="B1284" s="1">
        <v>7.9</v>
      </c>
      <c r="C1284" s="1">
        <v>0.76500000000000001</v>
      </c>
      <c r="D1284" s="1">
        <v>0</v>
      </c>
      <c r="E1284" s="1">
        <v>2</v>
      </c>
      <c r="F1284" s="1">
        <v>8.4000000000000005E-2</v>
      </c>
      <c r="G1284" s="1">
        <v>9</v>
      </c>
      <c r="H1284" s="1">
        <v>22</v>
      </c>
      <c r="I1284" s="1">
        <v>0.99619000000000002</v>
      </c>
      <c r="J1284" s="1">
        <v>3.33</v>
      </c>
      <c r="K1284" s="1">
        <v>0.68</v>
      </c>
      <c r="L1284" s="1">
        <v>10.9</v>
      </c>
      <c r="M1284" s="2">
        <v>6</v>
      </c>
      <c r="N1284" s="2" t="str" cm="1">
        <f t="array" ref="N1284">_xlfn.IFS(Table1[[#This Row],[quality]]&lt;=4,"Low",Table1[[#This Row],[quality]]&lt;=6,"Medium",Table1[[#This Row],[quality]]&gt;=7,"High")</f>
        <v>Medium</v>
      </c>
      <c r="O1284" s="2" t="str">
        <f>IF(AND(Table1[[#This Row],[fixed acidity]]&gt;Sheet1!$C$4,Table1[[#This Row],[pH]]&lt;Sheet1!$K$4),"High","Normal")</f>
        <v>Normal</v>
      </c>
      <c r="P1284" s="1">
        <f>(Table1[[#This Row],[alcohol]]*2)+(Table1[[#This Row],[sulphates]]*1.5)-(Table1[[#This Row],[volatile acidity]]*2)</f>
        <v>21.29</v>
      </c>
      <c r="Q1284" s="1">
        <f>RANK(Table1[[#This Row],[Quality_score_index]],Table1[Quality_score_index],0)</f>
        <v>585</v>
      </c>
      <c r="R1284" s="1">
        <f>Table1[[#This Row],[total sulfur dioxide]]-Table1[[#This Row],[free sulfur dioxide]]</f>
        <v>13</v>
      </c>
      <c r="S1284" s="1" t="str">
        <f>IF(AND(Table1[[#This Row],[pH]]&gt;=3.2,Table1[[#This Row],[alcohol]]&gt;=10),"White wine","Red wine")</f>
        <v>White wine</v>
      </c>
    </row>
    <row r="1285" spans="1:19" x14ac:dyDescent="0.3">
      <c r="A1285" s="13">
        <v>1284</v>
      </c>
      <c r="B1285" s="1">
        <v>8.6999999999999993</v>
      </c>
      <c r="C1285" s="1">
        <v>0.63</v>
      </c>
      <c r="D1285" s="1">
        <v>0.28000000000000003</v>
      </c>
      <c r="E1285" s="1">
        <v>2.7</v>
      </c>
      <c r="F1285" s="1">
        <v>9.6000000000000002E-2</v>
      </c>
      <c r="G1285" s="1">
        <v>17</v>
      </c>
      <c r="H1285" s="1">
        <v>69</v>
      </c>
      <c r="I1285" s="1">
        <v>0.99734</v>
      </c>
      <c r="J1285" s="1">
        <v>3.26</v>
      </c>
      <c r="K1285" s="1">
        <v>0.63</v>
      </c>
      <c r="L1285" s="1">
        <v>10.199999999999999</v>
      </c>
      <c r="M1285" s="2">
        <v>6</v>
      </c>
      <c r="N1285" s="2" t="str" cm="1">
        <f t="array" ref="N1285">_xlfn.IFS(Table1[[#This Row],[quality]]&lt;=4,"Low",Table1[[#This Row],[quality]]&lt;=6,"Medium",Table1[[#This Row],[quality]]&gt;=7,"High")</f>
        <v>Medium</v>
      </c>
      <c r="O1285" s="2" t="str">
        <f>IF(AND(Table1[[#This Row],[fixed acidity]]&gt;Sheet1!$C$4,Table1[[#This Row],[pH]]&lt;Sheet1!$K$4),"High","Normal")</f>
        <v>High</v>
      </c>
      <c r="P1285" s="1">
        <f>(Table1[[#This Row],[alcohol]]*2)+(Table1[[#This Row],[sulphates]]*1.5)-(Table1[[#This Row],[volatile acidity]]*2)</f>
        <v>20.084999999999997</v>
      </c>
      <c r="Q1285" s="1">
        <f>RANK(Table1[[#This Row],[Quality_score_index]],Table1[Quality_score_index],0)</f>
        <v>843</v>
      </c>
      <c r="R1285" s="1">
        <f>Table1[[#This Row],[total sulfur dioxide]]-Table1[[#This Row],[free sulfur dioxide]]</f>
        <v>52</v>
      </c>
      <c r="S1285" s="1" t="str">
        <f>IF(AND(Table1[[#This Row],[pH]]&gt;=3.2,Table1[[#This Row],[alcohol]]&gt;=10),"White wine","Red wine")</f>
        <v>White wine</v>
      </c>
    </row>
    <row r="1286" spans="1:19" x14ac:dyDescent="0.3">
      <c r="A1286" s="13">
        <v>1285</v>
      </c>
      <c r="B1286" s="1">
        <v>7</v>
      </c>
      <c r="C1286" s="1">
        <v>0.42</v>
      </c>
      <c r="D1286" s="1">
        <v>0.19</v>
      </c>
      <c r="E1286" s="1">
        <v>2.2999999999999998</v>
      </c>
      <c r="F1286" s="1">
        <v>7.0999999999999994E-2</v>
      </c>
      <c r="G1286" s="1">
        <v>18</v>
      </c>
      <c r="H1286" s="1">
        <v>36</v>
      </c>
      <c r="I1286" s="1">
        <v>0.99475999999999998</v>
      </c>
      <c r="J1286" s="1">
        <v>3.39</v>
      </c>
      <c r="K1286" s="1">
        <v>0.56000000000000005</v>
      </c>
      <c r="L1286" s="1">
        <v>10.9</v>
      </c>
      <c r="M1286" s="2">
        <v>5</v>
      </c>
      <c r="N1286" s="2" t="str" cm="1">
        <f t="array" ref="N1286">_xlfn.IFS(Table1[[#This Row],[quality]]&lt;=4,"Low",Table1[[#This Row],[quality]]&lt;=6,"Medium",Table1[[#This Row],[quality]]&gt;=7,"High")</f>
        <v>Medium</v>
      </c>
      <c r="O1286" s="2" t="str">
        <f>IF(AND(Table1[[#This Row],[fixed acidity]]&gt;Sheet1!$C$4,Table1[[#This Row],[pH]]&lt;Sheet1!$K$4),"High","Normal")</f>
        <v>Normal</v>
      </c>
      <c r="P1286" s="1">
        <f>(Table1[[#This Row],[alcohol]]*2)+(Table1[[#This Row],[sulphates]]*1.5)-(Table1[[#This Row],[volatile acidity]]*2)</f>
        <v>21.8</v>
      </c>
      <c r="Q1286" s="1">
        <f>RANK(Table1[[#This Row],[Quality_score_index]],Table1[Quality_score_index],0)</f>
        <v>480</v>
      </c>
      <c r="R1286" s="1">
        <f>Table1[[#This Row],[total sulfur dioxide]]-Table1[[#This Row],[free sulfur dioxide]]</f>
        <v>18</v>
      </c>
      <c r="S1286" s="1" t="str">
        <f>IF(AND(Table1[[#This Row],[pH]]&gt;=3.2,Table1[[#This Row],[alcohol]]&gt;=10),"White wine","Red wine")</f>
        <v>White wine</v>
      </c>
    </row>
    <row r="1287" spans="1:19" x14ac:dyDescent="0.3">
      <c r="A1287" s="13">
        <v>1286</v>
      </c>
      <c r="B1287" s="1">
        <v>11.3</v>
      </c>
      <c r="C1287" s="1">
        <v>0.37</v>
      </c>
      <c r="D1287" s="1">
        <v>0.5</v>
      </c>
      <c r="E1287" s="1">
        <v>1.8</v>
      </c>
      <c r="F1287" s="1">
        <v>0.09</v>
      </c>
      <c r="G1287" s="1">
        <v>20</v>
      </c>
      <c r="H1287" s="1">
        <v>47</v>
      </c>
      <c r="I1287" s="1">
        <v>0.99734</v>
      </c>
      <c r="J1287" s="1">
        <v>3.15</v>
      </c>
      <c r="K1287" s="1">
        <v>0.56999999999999995</v>
      </c>
      <c r="L1287" s="1">
        <v>10.5</v>
      </c>
      <c r="M1287" s="2">
        <v>5</v>
      </c>
      <c r="N1287" s="2" t="str" cm="1">
        <f t="array" ref="N1287">_xlfn.IFS(Table1[[#This Row],[quality]]&lt;=4,"Low",Table1[[#This Row],[quality]]&lt;=6,"Medium",Table1[[#This Row],[quality]]&gt;=7,"High")</f>
        <v>Medium</v>
      </c>
      <c r="O1287" s="2" t="str">
        <f>IF(AND(Table1[[#This Row],[fixed acidity]]&gt;Sheet1!$C$4,Table1[[#This Row],[pH]]&lt;Sheet1!$K$4),"High","Normal")</f>
        <v>High</v>
      </c>
      <c r="P1287" s="1">
        <f>(Table1[[#This Row],[alcohol]]*2)+(Table1[[#This Row],[sulphates]]*1.5)-(Table1[[#This Row],[volatile acidity]]*2)</f>
        <v>21.115000000000002</v>
      </c>
      <c r="Q1287" s="1">
        <f>RANK(Table1[[#This Row],[Quality_score_index]],Table1[Quality_score_index],0)</f>
        <v>628</v>
      </c>
      <c r="R1287" s="1">
        <f>Table1[[#This Row],[total sulfur dioxide]]-Table1[[#This Row],[free sulfur dioxide]]</f>
        <v>27</v>
      </c>
      <c r="S1287" s="1" t="str">
        <f>IF(AND(Table1[[#This Row],[pH]]&gt;=3.2,Table1[[#This Row],[alcohol]]&gt;=10),"White wine","Red wine")</f>
        <v>Red wine</v>
      </c>
    </row>
    <row r="1288" spans="1:19" x14ac:dyDescent="0.3">
      <c r="A1288" s="13">
        <v>1287</v>
      </c>
      <c r="B1288" s="1">
        <v>7.1</v>
      </c>
      <c r="C1288" s="1">
        <v>0.16</v>
      </c>
      <c r="D1288" s="1">
        <v>0.44</v>
      </c>
      <c r="E1288" s="1">
        <v>2.5</v>
      </c>
      <c r="F1288" s="1">
        <v>6.8000000000000005E-2</v>
      </c>
      <c r="G1288" s="1">
        <v>17</v>
      </c>
      <c r="H1288" s="1">
        <v>31</v>
      </c>
      <c r="I1288" s="1">
        <v>0.99328000000000005</v>
      </c>
      <c r="J1288" s="1">
        <v>3.35</v>
      </c>
      <c r="K1288" s="1">
        <v>0.54</v>
      </c>
      <c r="L1288" s="1">
        <v>12.4</v>
      </c>
      <c r="M1288" s="2">
        <v>6</v>
      </c>
      <c r="N1288" s="2" t="str" cm="1">
        <f t="array" ref="N1288">_xlfn.IFS(Table1[[#This Row],[quality]]&lt;=4,"Low",Table1[[#This Row],[quality]]&lt;=6,"Medium",Table1[[#This Row],[quality]]&gt;=7,"High")</f>
        <v>Medium</v>
      </c>
      <c r="O1288" s="2" t="str">
        <f>IF(AND(Table1[[#This Row],[fixed acidity]]&gt;Sheet1!$C$4,Table1[[#This Row],[pH]]&lt;Sheet1!$K$4),"High","Normal")</f>
        <v>Normal</v>
      </c>
      <c r="P1288" s="1">
        <f>(Table1[[#This Row],[alcohol]]*2)+(Table1[[#This Row],[sulphates]]*1.5)-(Table1[[#This Row],[volatile acidity]]*2)</f>
        <v>25.29</v>
      </c>
      <c r="Q1288" s="1">
        <f>RANK(Table1[[#This Row],[Quality_score_index]],Table1[Quality_score_index],0)</f>
        <v>69</v>
      </c>
      <c r="R1288" s="1">
        <f>Table1[[#This Row],[total sulfur dioxide]]-Table1[[#This Row],[free sulfur dioxide]]</f>
        <v>14</v>
      </c>
      <c r="S1288" s="1" t="str">
        <f>IF(AND(Table1[[#This Row],[pH]]&gt;=3.2,Table1[[#This Row],[alcohol]]&gt;=10),"White wine","Red wine")</f>
        <v>White wine</v>
      </c>
    </row>
    <row r="1289" spans="1:19" x14ac:dyDescent="0.3">
      <c r="A1289" s="13">
        <v>1288</v>
      </c>
      <c r="B1289" s="1">
        <v>8</v>
      </c>
      <c r="C1289" s="1">
        <v>0.6</v>
      </c>
      <c r="D1289" s="1">
        <v>0.08</v>
      </c>
      <c r="E1289" s="1">
        <v>2.6</v>
      </c>
      <c r="F1289" s="1">
        <v>5.6000000000000001E-2</v>
      </c>
      <c r="G1289" s="1">
        <v>3</v>
      </c>
      <c r="H1289" s="1">
        <v>7</v>
      </c>
      <c r="I1289" s="1">
        <v>0.99285999999999996</v>
      </c>
      <c r="J1289" s="1">
        <v>3.22</v>
      </c>
      <c r="K1289" s="1">
        <v>0.37</v>
      </c>
      <c r="L1289" s="1">
        <v>13</v>
      </c>
      <c r="M1289" s="2">
        <v>5</v>
      </c>
      <c r="N1289" s="2" t="str" cm="1">
        <f t="array" ref="N1289">_xlfn.IFS(Table1[[#This Row],[quality]]&lt;=4,"Low",Table1[[#This Row],[quality]]&lt;=6,"Medium",Table1[[#This Row],[quality]]&gt;=7,"High")</f>
        <v>Medium</v>
      </c>
      <c r="O1289" s="2" t="str">
        <f>IF(AND(Table1[[#This Row],[fixed acidity]]&gt;Sheet1!$C$4,Table1[[#This Row],[pH]]&lt;Sheet1!$K$4),"High","Normal")</f>
        <v>Normal</v>
      </c>
      <c r="P1289" s="1">
        <f>(Table1[[#This Row],[alcohol]]*2)+(Table1[[#This Row],[sulphates]]*1.5)-(Table1[[#This Row],[volatile acidity]]*2)</f>
        <v>25.355</v>
      </c>
      <c r="Q1289" s="1">
        <f>RANK(Table1[[#This Row],[Quality_score_index]],Table1[Quality_score_index],0)</f>
        <v>66</v>
      </c>
      <c r="R1289" s="1">
        <f>Table1[[#This Row],[total sulfur dioxide]]-Table1[[#This Row],[free sulfur dioxide]]</f>
        <v>4</v>
      </c>
      <c r="S1289" s="1" t="str">
        <f>IF(AND(Table1[[#This Row],[pH]]&gt;=3.2,Table1[[#This Row],[alcohol]]&gt;=10),"White wine","Red wine")</f>
        <v>White wine</v>
      </c>
    </row>
    <row r="1290" spans="1:19" x14ac:dyDescent="0.3">
      <c r="A1290" s="13">
        <v>1289</v>
      </c>
      <c r="B1290" s="1">
        <v>7</v>
      </c>
      <c r="C1290" s="1">
        <v>0.6</v>
      </c>
      <c r="D1290" s="1">
        <v>0.3</v>
      </c>
      <c r="E1290" s="1">
        <v>4.5</v>
      </c>
      <c r="F1290" s="1">
        <v>6.8000000000000005E-2</v>
      </c>
      <c r="G1290" s="1">
        <v>20</v>
      </c>
      <c r="H1290" s="1">
        <v>110</v>
      </c>
      <c r="I1290" s="1">
        <v>0.99914000000000003</v>
      </c>
      <c r="J1290" s="1">
        <v>3.3</v>
      </c>
      <c r="K1290" s="1">
        <v>1.17</v>
      </c>
      <c r="L1290" s="1">
        <v>10.199999999999999</v>
      </c>
      <c r="M1290" s="2">
        <v>5</v>
      </c>
      <c r="N1290" s="2" t="str" cm="1">
        <f t="array" ref="N1290">_xlfn.IFS(Table1[[#This Row],[quality]]&lt;=4,"Low",Table1[[#This Row],[quality]]&lt;=6,"Medium",Table1[[#This Row],[quality]]&gt;=7,"High")</f>
        <v>Medium</v>
      </c>
      <c r="O1290" s="2" t="str">
        <f>IF(AND(Table1[[#This Row],[fixed acidity]]&gt;Sheet1!$C$4,Table1[[#This Row],[pH]]&lt;Sheet1!$K$4),"High","Normal")</f>
        <v>Normal</v>
      </c>
      <c r="P1290" s="1">
        <f>(Table1[[#This Row],[alcohol]]*2)+(Table1[[#This Row],[sulphates]]*1.5)-(Table1[[#This Row],[volatile acidity]]*2)</f>
        <v>20.954999999999998</v>
      </c>
      <c r="Q1290" s="1">
        <f>RANK(Table1[[#This Row],[Quality_score_index]],Table1[Quality_score_index],0)</f>
        <v>659</v>
      </c>
      <c r="R1290" s="1">
        <f>Table1[[#This Row],[total sulfur dioxide]]-Table1[[#This Row],[free sulfur dioxide]]</f>
        <v>90</v>
      </c>
      <c r="S1290" s="1" t="str">
        <f>IF(AND(Table1[[#This Row],[pH]]&gt;=3.2,Table1[[#This Row],[alcohol]]&gt;=10),"White wine","Red wine")</f>
        <v>White wine</v>
      </c>
    </row>
    <row r="1291" spans="1:19" x14ac:dyDescent="0.3">
      <c r="A1291" s="13">
        <v>1290</v>
      </c>
      <c r="B1291" s="1">
        <v>7</v>
      </c>
      <c r="C1291" s="1">
        <v>0.6</v>
      </c>
      <c r="D1291" s="1">
        <v>0.3</v>
      </c>
      <c r="E1291" s="1">
        <v>4.5</v>
      </c>
      <c r="F1291" s="1">
        <v>6.8000000000000005E-2</v>
      </c>
      <c r="G1291" s="1">
        <v>20</v>
      </c>
      <c r="H1291" s="1">
        <v>110</v>
      </c>
      <c r="I1291" s="1">
        <v>0.99914000000000003</v>
      </c>
      <c r="J1291" s="1">
        <v>3.3</v>
      </c>
      <c r="K1291" s="1">
        <v>1.17</v>
      </c>
      <c r="L1291" s="1">
        <v>10.199999999999999</v>
      </c>
      <c r="M1291" s="2">
        <v>5</v>
      </c>
      <c r="N1291" s="2" t="str" cm="1">
        <f t="array" ref="N1291">_xlfn.IFS(Table1[[#This Row],[quality]]&lt;=4,"Low",Table1[[#This Row],[quality]]&lt;=6,"Medium",Table1[[#This Row],[quality]]&gt;=7,"High")</f>
        <v>Medium</v>
      </c>
      <c r="O1291" s="2" t="str">
        <f>IF(AND(Table1[[#This Row],[fixed acidity]]&gt;Sheet1!$C$4,Table1[[#This Row],[pH]]&lt;Sheet1!$K$4),"High","Normal")</f>
        <v>Normal</v>
      </c>
      <c r="P1291" s="1">
        <f>(Table1[[#This Row],[alcohol]]*2)+(Table1[[#This Row],[sulphates]]*1.5)-(Table1[[#This Row],[volatile acidity]]*2)</f>
        <v>20.954999999999998</v>
      </c>
      <c r="Q1291" s="1">
        <f>RANK(Table1[[#This Row],[Quality_score_index]],Table1[Quality_score_index],0)</f>
        <v>659</v>
      </c>
      <c r="R1291" s="1">
        <f>Table1[[#This Row],[total sulfur dioxide]]-Table1[[#This Row],[free sulfur dioxide]]</f>
        <v>90</v>
      </c>
      <c r="S1291" s="1" t="str">
        <f>IF(AND(Table1[[#This Row],[pH]]&gt;=3.2,Table1[[#This Row],[alcohol]]&gt;=10),"White wine","Red wine")</f>
        <v>White wine</v>
      </c>
    </row>
    <row r="1292" spans="1:19" x14ac:dyDescent="0.3">
      <c r="A1292" s="13">
        <v>1291</v>
      </c>
      <c r="B1292" s="1">
        <v>7.6</v>
      </c>
      <c r="C1292" s="1">
        <v>0.74</v>
      </c>
      <c r="D1292" s="1">
        <v>0</v>
      </c>
      <c r="E1292" s="1">
        <v>1.9</v>
      </c>
      <c r="F1292" s="1">
        <v>0.1</v>
      </c>
      <c r="G1292" s="1">
        <v>6</v>
      </c>
      <c r="H1292" s="1">
        <v>12</v>
      </c>
      <c r="I1292" s="1">
        <v>0.99521000000000004</v>
      </c>
      <c r="J1292" s="1">
        <v>3.36</v>
      </c>
      <c r="K1292" s="1">
        <v>0.59</v>
      </c>
      <c r="L1292" s="1">
        <v>11</v>
      </c>
      <c r="M1292" s="2">
        <v>5</v>
      </c>
      <c r="N1292" s="2" t="str" cm="1">
        <f t="array" ref="N1292">_xlfn.IFS(Table1[[#This Row],[quality]]&lt;=4,"Low",Table1[[#This Row],[quality]]&lt;=6,"Medium",Table1[[#This Row],[quality]]&gt;=7,"High")</f>
        <v>Medium</v>
      </c>
      <c r="O1292" s="2" t="str">
        <f>IF(AND(Table1[[#This Row],[fixed acidity]]&gt;Sheet1!$C$4,Table1[[#This Row],[pH]]&lt;Sheet1!$K$4),"High","Normal")</f>
        <v>Normal</v>
      </c>
      <c r="P1292" s="1">
        <f>(Table1[[#This Row],[alcohol]]*2)+(Table1[[#This Row],[sulphates]]*1.5)-(Table1[[#This Row],[volatile acidity]]*2)</f>
        <v>21.405000000000001</v>
      </c>
      <c r="Q1292" s="1">
        <f>RANK(Table1[[#This Row],[Quality_score_index]],Table1[Quality_score_index],0)</f>
        <v>556</v>
      </c>
      <c r="R1292" s="1">
        <f>Table1[[#This Row],[total sulfur dioxide]]-Table1[[#This Row],[free sulfur dioxide]]</f>
        <v>6</v>
      </c>
      <c r="S1292" s="1" t="str">
        <f>IF(AND(Table1[[#This Row],[pH]]&gt;=3.2,Table1[[#This Row],[alcohol]]&gt;=10),"White wine","Red wine")</f>
        <v>White wine</v>
      </c>
    </row>
    <row r="1293" spans="1:19" x14ac:dyDescent="0.3">
      <c r="A1293" s="13">
        <v>1292</v>
      </c>
      <c r="B1293" s="1">
        <v>8.1999999999999993</v>
      </c>
      <c r="C1293" s="1">
        <v>0.63500000000000001</v>
      </c>
      <c r="D1293" s="1">
        <v>0.1</v>
      </c>
      <c r="E1293" s="1">
        <v>2.1</v>
      </c>
      <c r="F1293" s="1">
        <v>7.2999999999999995E-2</v>
      </c>
      <c r="G1293" s="1">
        <v>25</v>
      </c>
      <c r="H1293" s="1">
        <v>60</v>
      </c>
      <c r="I1293" s="1">
        <v>0.99638000000000004</v>
      </c>
      <c r="J1293" s="1">
        <v>3.29</v>
      </c>
      <c r="K1293" s="1">
        <v>0.75</v>
      </c>
      <c r="L1293" s="1">
        <v>10.9</v>
      </c>
      <c r="M1293" s="2">
        <v>6</v>
      </c>
      <c r="N1293" s="2" t="str" cm="1">
        <f t="array" ref="N1293">_xlfn.IFS(Table1[[#This Row],[quality]]&lt;=4,"Low",Table1[[#This Row],[quality]]&lt;=6,"Medium",Table1[[#This Row],[quality]]&gt;=7,"High")</f>
        <v>Medium</v>
      </c>
      <c r="O1293" s="2" t="str">
        <f>IF(AND(Table1[[#This Row],[fixed acidity]]&gt;Sheet1!$C$4,Table1[[#This Row],[pH]]&lt;Sheet1!$K$4),"High","Normal")</f>
        <v>Normal</v>
      </c>
      <c r="P1293" s="1">
        <f>(Table1[[#This Row],[alcohol]]*2)+(Table1[[#This Row],[sulphates]]*1.5)-(Table1[[#This Row],[volatile acidity]]*2)</f>
        <v>21.655000000000001</v>
      </c>
      <c r="Q1293" s="1">
        <f>RANK(Table1[[#This Row],[Quality_score_index]],Table1[Quality_score_index],0)</f>
        <v>516</v>
      </c>
      <c r="R1293" s="1">
        <f>Table1[[#This Row],[total sulfur dioxide]]-Table1[[#This Row],[free sulfur dioxide]]</f>
        <v>35</v>
      </c>
      <c r="S1293" s="1" t="str">
        <f>IF(AND(Table1[[#This Row],[pH]]&gt;=3.2,Table1[[#This Row],[alcohol]]&gt;=10),"White wine","Red wine")</f>
        <v>White wine</v>
      </c>
    </row>
    <row r="1294" spans="1:19" x14ac:dyDescent="0.3">
      <c r="A1294" s="13">
        <v>1293</v>
      </c>
      <c r="B1294" s="1">
        <v>5.9</v>
      </c>
      <c r="C1294" s="1">
        <v>0.39500000000000002</v>
      </c>
      <c r="D1294" s="1">
        <v>0.13</v>
      </c>
      <c r="E1294" s="1">
        <v>2.4</v>
      </c>
      <c r="F1294" s="1">
        <v>5.6000000000000001E-2</v>
      </c>
      <c r="G1294" s="1">
        <v>14</v>
      </c>
      <c r="H1294" s="1">
        <v>28</v>
      </c>
      <c r="I1294" s="1">
        <v>0.99361999999999995</v>
      </c>
      <c r="J1294" s="1">
        <v>3.62</v>
      </c>
      <c r="K1294" s="1">
        <v>0.67</v>
      </c>
      <c r="L1294" s="1">
        <v>12.4</v>
      </c>
      <c r="M1294" s="2">
        <v>6</v>
      </c>
      <c r="N1294" s="2" t="str" cm="1">
        <f t="array" ref="N1294">_xlfn.IFS(Table1[[#This Row],[quality]]&lt;=4,"Low",Table1[[#This Row],[quality]]&lt;=6,"Medium",Table1[[#This Row],[quality]]&gt;=7,"High")</f>
        <v>Medium</v>
      </c>
      <c r="O1294" s="2" t="str">
        <f>IF(AND(Table1[[#This Row],[fixed acidity]]&gt;Sheet1!$C$4,Table1[[#This Row],[pH]]&lt;Sheet1!$K$4),"High","Normal")</f>
        <v>Normal</v>
      </c>
      <c r="P1294" s="1">
        <f>(Table1[[#This Row],[alcohol]]*2)+(Table1[[#This Row],[sulphates]]*1.5)-(Table1[[#This Row],[volatile acidity]]*2)</f>
        <v>25.015000000000001</v>
      </c>
      <c r="Q1294" s="1">
        <f>RANK(Table1[[#This Row],[Quality_score_index]],Table1[Quality_score_index],0)</f>
        <v>94</v>
      </c>
      <c r="R1294" s="1">
        <f>Table1[[#This Row],[total sulfur dioxide]]-Table1[[#This Row],[free sulfur dioxide]]</f>
        <v>14</v>
      </c>
      <c r="S1294" s="1" t="str">
        <f>IF(AND(Table1[[#This Row],[pH]]&gt;=3.2,Table1[[#This Row],[alcohol]]&gt;=10),"White wine","Red wine")</f>
        <v>White wine</v>
      </c>
    </row>
    <row r="1295" spans="1:19" x14ac:dyDescent="0.3">
      <c r="A1295" s="13">
        <v>1294</v>
      </c>
      <c r="B1295" s="1">
        <v>7.5</v>
      </c>
      <c r="C1295" s="1">
        <v>0.755</v>
      </c>
      <c r="D1295" s="1">
        <v>0</v>
      </c>
      <c r="E1295" s="1">
        <v>1.9</v>
      </c>
      <c r="F1295" s="1">
        <v>8.4000000000000005E-2</v>
      </c>
      <c r="G1295" s="1">
        <v>6</v>
      </c>
      <c r="H1295" s="1">
        <v>12</v>
      </c>
      <c r="I1295" s="1">
        <v>0.99672000000000005</v>
      </c>
      <c r="J1295" s="1">
        <v>3.34</v>
      </c>
      <c r="K1295" s="1">
        <v>0.49</v>
      </c>
      <c r="L1295" s="1">
        <v>9.6999999999999993</v>
      </c>
      <c r="M1295" s="2">
        <v>4</v>
      </c>
      <c r="N1295" s="2" t="str" cm="1">
        <f t="array" ref="N1295">_xlfn.IFS(Table1[[#This Row],[quality]]&lt;=4,"Low",Table1[[#This Row],[quality]]&lt;=6,"Medium",Table1[[#This Row],[quality]]&gt;=7,"High")</f>
        <v>Low</v>
      </c>
      <c r="O1295" s="2" t="str">
        <f>IF(AND(Table1[[#This Row],[fixed acidity]]&gt;Sheet1!$C$4,Table1[[#This Row],[pH]]&lt;Sheet1!$K$4),"High","Normal")</f>
        <v>Normal</v>
      </c>
      <c r="P1295" s="1">
        <f>(Table1[[#This Row],[alcohol]]*2)+(Table1[[#This Row],[sulphates]]*1.5)-(Table1[[#This Row],[volatile acidity]]*2)</f>
        <v>18.624999999999996</v>
      </c>
      <c r="Q1295" s="1">
        <f>RANK(Table1[[#This Row],[Quality_score_index]],Table1[Quality_score_index],0)</f>
        <v>1336</v>
      </c>
      <c r="R1295" s="1">
        <f>Table1[[#This Row],[total sulfur dioxide]]-Table1[[#This Row],[free sulfur dioxide]]</f>
        <v>6</v>
      </c>
      <c r="S1295" s="1" t="str">
        <f>IF(AND(Table1[[#This Row],[pH]]&gt;=3.2,Table1[[#This Row],[alcohol]]&gt;=10),"White wine","Red wine")</f>
        <v>Red wine</v>
      </c>
    </row>
    <row r="1296" spans="1:19" x14ac:dyDescent="0.3">
      <c r="A1296" s="13">
        <v>1295</v>
      </c>
      <c r="B1296" s="1">
        <v>8.1999999999999993</v>
      </c>
      <c r="C1296" s="1">
        <v>0.63500000000000001</v>
      </c>
      <c r="D1296" s="1">
        <v>0.1</v>
      </c>
      <c r="E1296" s="1">
        <v>2.1</v>
      </c>
      <c r="F1296" s="1">
        <v>7.2999999999999995E-2</v>
      </c>
      <c r="G1296" s="1">
        <v>25</v>
      </c>
      <c r="H1296" s="1">
        <v>60</v>
      </c>
      <c r="I1296" s="1">
        <v>0.99638000000000004</v>
      </c>
      <c r="J1296" s="1">
        <v>3.29</v>
      </c>
      <c r="K1296" s="1">
        <v>0.75</v>
      </c>
      <c r="L1296" s="1">
        <v>10.9</v>
      </c>
      <c r="M1296" s="2">
        <v>6</v>
      </c>
      <c r="N1296" s="2" t="str" cm="1">
        <f t="array" ref="N1296">_xlfn.IFS(Table1[[#This Row],[quality]]&lt;=4,"Low",Table1[[#This Row],[quality]]&lt;=6,"Medium",Table1[[#This Row],[quality]]&gt;=7,"High")</f>
        <v>Medium</v>
      </c>
      <c r="O1296" s="2" t="str">
        <f>IF(AND(Table1[[#This Row],[fixed acidity]]&gt;Sheet1!$C$4,Table1[[#This Row],[pH]]&lt;Sheet1!$K$4),"High","Normal")</f>
        <v>Normal</v>
      </c>
      <c r="P1296" s="1">
        <f>(Table1[[#This Row],[alcohol]]*2)+(Table1[[#This Row],[sulphates]]*1.5)-(Table1[[#This Row],[volatile acidity]]*2)</f>
        <v>21.655000000000001</v>
      </c>
      <c r="Q1296" s="1">
        <f>RANK(Table1[[#This Row],[Quality_score_index]],Table1[Quality_score_index],0)</f>
        <v>516</v>
      </c>
      <c r="R1296" s="1">
        <f>Table1[[#This Row],[total sulfur dioxide]]-Table1[[#This Row],[free sulfur dioxide]]</f>
        <v>35</v>
      </c>
      <c r="S1296" s="1" t="str">
        <f>IF(AND(Table1[[#This Row],[pH]]&gt;=3.2,Table1[[#This Row],[alcohol]]&gt;=10),"White wine","Red wine")</f>
        <v>White wine</v>
      </c>
    </row>
    <row r="1297" spans="1:19" x14ac:dyDescent="0.3">
      <c r="A1297" s="13">
        <v>1296</v>
      </c>
      <c r="B1297" s="1">
        <v>6.6</v>
      </c>
      <c r="C1297" s="1">
        <v>0.63</v>
      </c>
      <c r="D1297" s="1">
        <v>0</v>
      </c>
      <c r="E1297" s="1">
        <v>4.3</v>
      </c>
      <c r="F1297" s="1">
        <v>9.2999999999999999E-2</v>
      </c>
      <c r="G1297" s="1">
        <v>51</v>
      </c>
      <c r="H1297" s="1">
        <v>77.5</v>
      </c>
      <c r="I1297" s="1">
        <v>0.99558000000000002</v>
      </c>
      <c r="J1297" s="1">
        <v>3.2</v>
      </c>
      <c r="K1297" s="1">
        <v>0.45</v>
      </c>
      <c r="L1297" s="1">
        <v>9.5</v>
      </c>
      <c r="M1297" s="2">
        <v>5</v>
      </c>
      <c r="N1297" s="2" t="str" cm="1">
        <f t="array" ref="N1297">_xlfn.IFS(Table1[[#This Row],[quality]]&lt;=4,"Low",Table1[[#This Row],[quality]]&lt;=6,"Medium",Table1[[#This Row],[quality]]&gt;=7,"High")</f>
        <v>Medium</v>
      </c>
      <c r="O1297" s="2" t="str">
        <f>IF(AND(Table1[[#This Row],[fixed acidity]]&gt;Sheet1!$C$4,Table1[[#This Row],[pH]]&lt;Sheet1!$K$4),"High","Normal")</f>
        <v>Normal</v>
      </c>
      <c r="P1297" s="1">
        <f>(Table1[[#This Row],[alcohol]]*2)+(Table1[[#This Row],[sulphates]]*1.5)-(Table1[[#This Row],[volatile acidity]]*2)</f>
        <v>18.414999999999999</v>
      </c>
      <c r="Q1297" s="1">
        <f>RANK(Table1[[#This Row],[Quality_score_index]],Table1[Quality_score_index],0)</f>
        <v>1410</v>
      </c>
      <c r="R1297" s="1">
        <f>Table1[[#This Row],[total sulfur dioxide]]-Table1[[#This Row],[free sulfur dioxide]]</f>
        <v>26.5</v>
      </c>
      <c r="S1297" s="1" t="str">
        <f>IF(AND(Table1[[#This Row],[pH]]&gt;=3.2,Table1[[#This Row],[alcohol]]&gt;=10),"White wine","Red wine")</f>
        <v>Red wine</v>
      </c>
    </row>
    <row r="1298" spans="1:19" x14ac:dyDescent="0.3">
      <c r="A1298" s="13">
        <v>1297</v>
      </c>
      <c r="B1298" s="1">
        <v>6.6</v>
      </c>
      <c r="C1298" s="1">
        <v>0.63</v>
      </c>
      <c r="D1298" s="1">
        <v>0</v>
      </c>
      <c r="E1298" s="1">
        <v>4.3</v>
      </c>
      <c r="F1298" s="1">
        <v>9.2999999999999999E-2</v>
      </c>
      <c r="G1298" s="1">
        <v>51</v>
      </c>
      <c r="H1298" s="1">
        <v>77.5</v>
      </c>
      <c r="I1298" s="1">
        <v>0.99558000000000002</v>
      </c>
      <c r="J1298" s="1">
        <v>3.2</v>
      </c>
      <c r="K1298" s="1">
        <v>0.45</v>
      </c>
      <c r="L1298" s="1">
        <v>9.5</v>
      </c>
      <c r="M1298" s="2">
        <v>5</v>
      </c>
      <c r="N1298" s="2" t="str" cm="1">
        <f t="array" ref="N1298">_xlfn.IFS(Table1[[#This Row],[quality]]&lt;=4,"Low",Table1[[#This Row],[quality]]&lt;=6,"Medium",Table1[[#This Row],[quality]]&gt;=7,"High")</f>
        <v>Medium</v>
      </c>
      <c r="O1298" s="2" t="str">
        <f>IF(AND(Table1[[#This Row],[fixed acidity]]&gt;Sheet1!$C$4,Table1[[#This Row],[pH]]&lt;Sheet1!$K$4),"High","Normal")</f>
        <v>Normal</v>
      </c>
      <c r="P1298" s="1">
        <f>(Table1[[#This Row],[alcohol]]*2)+(Table1[[#This Row],[sulphates]]*1.5)-(Table1[[#This Row],[volatile acidity]]*2)</f>
        <v>18.414999999999999</v>
      </c>
      <c r="Q1298" s="1">
        <f>RANK(Table1[[#This Row],[Quality_score_index]],Table1[Quality_score_index],0)</f>
        <v>1410</v>
      </c>
      <c r="R1298" s="1">
        <f>Table1[[#This Row],[total sulfur dioxide]]-Table1[[#This Row],[free sulfur dioxide]]</f>
        <v>26.5</v>
      </c>
      <c r="S1298" s="1" t="str">
        <f>IF(AND(Table1[[#This Row],[pH]]&gt;=3.2,Table1[[#This Row],[alcohol]]&gt;=10),"White wine","Red wine")</f>
        <v>Red wine</v>
      </c>
    </row>
    <row r="1299" spans="1:19" x14ac:dyDescent="0.3">
      <c r="A1299" s="13">
        <v>1298</v>
      </c>
      <c r="B1299" s="1">
        <v>7.2</v>
      </c>
      <c r="C1299" s="1">
        <v>0.53</v>
      </c>
      <c r="D1299" s="1">
        <v>0.14000000000000001</v>
      </c>
      <c r="E1299" s="1">
        <v>2.1</v>
      </c>
      <c r="F1299" s="1">
        <v>6.4000000000000001E-2</v>
      </c>
      <c r="G1299" s="1">
        <v>15</v>
      </c>
      <c r="H1299" s="1">
        <v>29</v>
      </c>
      <c r="I1299" s="1">
        <v>0.99322999999999995</v>
      </c>
      <c r="J1299" s="1">
        <v>3.35</v>
      </c>
      <c r="K1299" s="1">
        <v>0.61</v>
      </c>
      <c r="L1299" s="1">
        <v>12.1</v>
      </c>
      <c r="M1299" s="2">
        <v>6</v>
      </c>
      <c r="N1299" s="2" t="str" cm="1">
        <f t="array" ref="N1299">_xlfn.IFS(Table1[[#This Row],[quality]]&lt;=4,"Low",Table1[[#This Row],[quality]]&lt;=6,"Medium",Table1[[#This Row],[quality]]&gt;=7,"High")</f>
        <v>Medium</v>
      </c>
      <c r="O1299" s="2" t="str">
        <f>IF(AND(Table1[[#This Row],[fixed acidity]]&gt;Sheet1!$C$4,Table1[[#This Row],[pH]]&lt;Sheet1!$K$4),"High","Normal")</f>
        <v>Normal</v>
      </c>
      <c r="P1299" s="1">
        <f>(Table1[[#This Row],[alcohol]]*2)+(Table1[[#This Row],[sulphates]]*1.5)-(Table1[[#This Row],[volatile acidity]]*2)</f>
        <v>24.055</v>
      </c>
      <c r="Q1299" s="1">
        <f>RANK(Table1[[#This Row],[Quality_score_index]],Table1[Quality_score_index],0)</f>
        <v>174</v>
      </c>
      <c r="R1299" s="1">
        <f>Table1[[#This Row],[total sulfur dioxide]]-Table1[[#This Row],[free sulfur dioxide]]</f>
        <v>14</v>
      </c>
      <c r="S1299" s="1" t="str">
        <f>IF(AND(Table1[[#This Row],[pH]]&gt;=3.2,Table1[[#This Row],[alcohol]]&gt;=10),"White wine","Red wine")</f>
        <v>White wine</v>
      </c>
    </row>
    <row r="1300" spans="1:19" x14ac:dyDescent="0.3">
      <c r="A1300" s="13">
        <v>1299</v>
      </c>
      <c r="B1300" s="1">
        <v>5.7</v>
      </c>
      <c r="C1300" s="1">
        <v>0.6</v>
      </c>
      <c r="D1300" s="1">
        <v>0</v>
      </c>
      <c r="E1300" s="1">
        <v>1.4</v>
      </c>
      <c r="F1300" s="1">
        <v>6.3E-2</v>
      </c>
      <c r="G1300" s="1">
        <v>11</v>
      </c>
      <c r="H1300" s="1">
        <v>18</v>
      </c>
      <c r="I1300" s="1">
        <v>0.99190999999999996</v>
      </c>
      <c r="J1300" s="1">
        <v>3.45</v>
      </c>
      <c r="K1300" s="1">
        <v>0.56000000000000005</v>
      </c>
      <c r="L1300" s="1">
        <v>12.2</v>
      </c>
      <c r="M1300" s="2">
        <v>6</v>
      </c>
      <c r="N1300" s="2" t="str" cm="1">
        <f t="array" ref="N1300">_xlfn.IFS(Table1[[#This Row],[quality]]&lt;=4,"Low",Table1[[#This Row],[quality]]&lt;=6,"Medium",Table1[[#This Row],[quality]]&gt;=7,"High")</f>
        <v>Medium</v>
      </c>
      <c r="O1300" s="2" t="str">
        <f>IF(AND(Table1[[#This Row],[fixed acidity]]&gt;Sheet1!$C$4,Table1[[#This Row],[pH]]&lt;Sheet1!$K$4),"High","Normal")</f>
        <v>Normal</v>
      </c>
      <c r="P1300" s="1">
        <f>(Table1[[#This Row],[alcohol]]*2)+(Table1[[#This Row],[sulphates]]*1.5)-(Table1[[#This Row],[volatile acidity]]*2)</f>
        <v>24.04</v>
      </c>
      <c r="Q1300" s="1">
        <f>RANK(Table1[[#This Row],[Quality_score_index]],Table1[Quality_score_index],0)</f>
        <v>175</v>
      </c>
      <c r="R1300" s="1">
        <f>Table1[[#This Row],[total sulfur dioxide]]-Table1[[#This Row],[free sulfur dioxide]]</f>
        <v>7</v>
      </c>
      <c r="S1300" s="1" t="str">
        <f>IF(AND(Table1[[#This Row],[pH]]&gt;=3.2,Table1[[#This Row],[alcohol]]&gt;=10),"White wine","Red wine")</f>
        <v>White wine</v>
      </c>
    </row>
    <row r="1301" spans="1:19" x14ac:dyDescent="0.3">
      <c r="A1301" s="13">
        <v>1300</v>
      </c>
      <c r="B1301" s="1">
        <v>7.6</v>
      </c>
      <c r="C1301" s="1">
        <v>1.58</v>
      </c>
      <c r="D1301" s="1">
        <v>0</v>
      </c>
      <c r="E1301" s="1">
        <v>2.1</v>
      </c>
      <c r="F1301" s="1">
        <v>0.13700000000000001</v>
      </c>
      <c r="G1301" s="1">
        <v>5</v>
      </c>
      <c r="H1301" s="1">
        <v>9</v>
      </c>
      <c r="I1301" s="1">
        <v>0.99475999999999998</v>
      </c>
      <c r="J1301" s="1">
        <v>3.5</v>
      </c>
      <c r="K1301" s="1">
        <v>0.4</v>
      </c>
      <c r="L1301" s="1">
        <v>10.9</v>
      </c>
      <c r="M1301" s="2">
        <v>3</v>
      </c>
      <c r="N1301" s="2" t="str" cm="1">
        <f t="array" ref="N1301">_xlfn.IFS(Table1[[#This Row],[quality]]&lt;=4,"Low",Table1[[#This Row],[quality]]&lt;=6,"Medium",Table1[[#This Row],[quality]]&gt;=7,"High")</f>
        <v>Low</v>
      </c>
      <c r="O1301" s="2" t="str">
        <f>IF(AND(Table1[[#This Row],[fixed acidity]]&gt;Sheet1!$C$4,Table1[[#This Row],[pH]]&lt;Sheet1!$K$4),"High","Normal")</f>
        <v>Normal</v>
      </c>
      <c r="P1301" s="1">
        <f>(Table1[[#This Row],[alcohol]]*2)+(Table1[[#This Row],[sulphates]]*1.5)-(Table1[[#This Row],[volatile acidity]]*2)</f>
        <v>19.240000000000002</v>
      </c>
      <c r="Q1301" s="1">
        <f>RANK(Table1[[#This Row],[Quality_score_index]],Table1[Quality_score_index],0)</f>
        <v>1058</v>
      </c>
      <c r="R1301" s="1">
        <f>Table1[[#This Row],[total sulfur dioxide]]-Table1[[#This Row],[free sulfur dioxide]]</f>
        <v>4</v>
      </c>
      <c r="S1301" s="1" t="str">
        <f>IF(AND(Table1[[#This Row],[pH]]&gt;=3.2,Table1[[#This Row],[alcohol]]&gt;=10),"White wine","Red wine")</f>
        <v>White wine</v>
      </c>
    </row>
    <row r="1302" spans="1:19" x14ac:dyDescent="0.3">
      <c r="A1302" s="13">
        <v>1301</v>
      </c>
      <c r="B1302" s="1">
        <v>5.2</v>
      </c>
      <c r="C1302" s="1">
        <v>0.64500000000000002</v>
      </c>
      <c r="D1302" s="1">
        <v>0</v>
      </c>
      <c r="E1302" s="1">
        <v>2.15</v>
      </c>
      <c r="F1302" s="1">
        <v>0.08</v>
      </c>
      <c r="G1302" s="1">
        <v>15</v>
      </c>
      <c r="H1302" s="1">
        <v>28</v>
      </c>
      <c r="I1302" s="1">
        <v>0.99443999999999999</v>
      </c>
      <c r="J1302" s="1">
        <v>3.78</v>
      </c>
      <c r="K1302" s="1">
        <v>0.61</v>
      </c>
      <c r="L1302" s="1">
        <v>12.5</v>
      </c>
      <c r="M1302" s="2">
        <v>6</v>
      </c>
      <c r="N1302" s="2" t="str" cm="1">
        <f t="array" ref="N1302">_xlfn.IFS(Table1[[#This Row],[quality]]&lt;=4,"Low",Table1[[#This Row],[quality]]&lt;=6,"Medium",Table1[[#This Row],[quality]]&gt;=7,"High")</f>
        <v>Medium</v>
      </c>
      <c r="O1302" s="2" t="str">
        <f>IF(AND(Table1[[#This Row],[fixed acidity]]&gt;Sheet1!$C$4,Table1[[#This Row],[pH]]&lt;Sheet1!$K$4),"High","Normal")</f>
        <v>Normal</v>
      </c>
      <c r="P1302" s="1">
        <f>(Table1[[#This Row],[alcohol]]*2)+(Table1[[#This Row],[sulphates]]*1.5)-(Table1[[#This Row],[volatile acidity]]*2)</f>
        <v>24.625</v>
      </c>
      <c r="Q1302" s="1">
        <f>RANK(Table1[[#This Row],[Quality_score_index]],Table1[Quality_score_index],0)</f>
        <v>116</v>
      </c>
      <c r="R1302" s="1">
        <f>Table1[[#This Row],[total sulfur dioxide]]-Table1[[#This Row],[free sulfur dioxide]]</f>
        <v>13</v>
      </c>
      <c r="S1302" s="1" t="str">
        <f>IF(AND(Table1[[#This Row],[pH]]&gt;=3.2,Table1[[#This Row],[alcohol]]&gt;=10),"White wine","Red wine")</f>
        <v>White wine</v>
      </c>
    </row>
    <row r="1303" spans="1:19" x14ac:dyDescent="0.3">
      <c r="A1303" s="13">
        <v>1302</v>
      </c>
      <c r="B1303" s="1">
        <v>6.7</v>
      </c>
      <c r="C1303" s="1">
        <v>0.86</v>
      </c>
      <c r="D1303" s="1">
        <v>7.0000000000000007E-2</v>
      </c>
      <c r="E1303" s="1">
        <v>2</v>
      </c>
      <c r="F1303" s="1">
        <v>0.1</v>
      </c>
      <c r="G1303" s="1">
        <v>20</v>
      </c>
      <c r="H1303" s="1">
        <v>57</v>
      </c>
      <c r="I1303" s="1">
        <v>0.99597999999999998</v>
      </c>
      <c r="J1303" s="1">
        <v>3.6</v>
      </c>
      <c r="K1303" s="1">
        <v>0.74</v>
      </c>
      <c r="L1303" s="1">
        <v>11.7</v>
      </c>
      <c r="M1303" s="2">
        <v>6</v>
      </c>
      <c r="N1303" s="2" t="str" cm="1">
        <f t="array" ref="N1303">_xlfn.IFS(Table1[[#This Row],[quality]]&lt;=4,"Low",Table1[[#This Row],[quality]]&lt;=6,"Medium",Table1[[#This Row],[quality]]&gt;=7,"High")</f>
        <v>Medium</v>
      </c>
      <c r="O1303" s="2" t="str">
        <f>IF(AND(Table1[[#This Row],[fixed acidity]]&gt;Sheet1!$C$4,Table1[[#This Row],[pH]]&lt;Sheet1!$K$4),"High","Normal")</f>
        <v>Normal</v>
      </c>
      <c r="P1303" s="1">
        <f>(Table1[[#This Row],[alcohol]]*2)+(Table1[[#This Row],[sulphates]]*1.5)-(Table1[[#This Row],[volatile acidity]]*2)</f>
        <v>22.79</v>
      </c>
      <c r="Q1303" s="1">
        <f>RANK(Table1[[#This Row],[Quality_score_index]],Table1[Quality_score_index],0)</f>
        <v>315</v>
      </c>
      <c r="R1303" s="1">
        <f>Table1[[#This Row],[total sulfur dioxide]]-Table1[[#This Row],[free sulfur dioxide]]</f>
        <v>37</v>
      </c>
      <c r="S1303" s="1" t="str">
        <f>IF(AND(Table1[[#This Row],[pH]]&gt;=3.2,Table1[[#This Row],[alcohol]]&gt;=10),"White wine","Red wine")</f>
        <v>White wine</v>
      </c>
    </row>
    <row r="1304" spans="1:19" x14ac:dyDescent="0.3">
      <c r="A1304" s="13">
        <v>1303</v>
      </c>
      <c r="B1304" s="1">
        <v>9.1</v>
      </c>
      <c r="C1304" s="1">
        <v>0.37</v>
      </c>
      <c r="D1304" s="1">
        <v>0.32</v>
      </c>
      <c r="E1304" s="1">
        <v>2.1</v>
      </c>
      <c r="F1304" s="1">
        <v>6.4000000000000001E-2</v>
      </c>
      <c r="G1304" s="1">
        <v>4</v>
      </c>
      <c r="H1304" s="1">
        <v>15</v>
      </c>
      <c r="I1304" s="1">
        <v>0.99575999999999998</v>
      </c>
      <c r="J1304" s="1">
        <v>3.3</v>
      </c>
      <c r="K1304" s="1">
        <v>0.8</v>
      </c>
      <c r="L1304" s="1">
        <v>11.2</v>
      </c>
      <c r="M1304" s="2">
        <v>6</v>
      </c>
      <c r="N1304" s="2" t="str" cm="1">
        <f t="array" ref="N1304">_xlfn.IFS(Table1[[#This Row],[quality]]&lt;=4,"Low",Table1[[#This Row],[quality]]&lt;=6,"Medium",Table1[[#This Row],[quality]]&gt;=7,"High")</f>
        <v>Medium</v>
      </c>
      <c r="O1304" s="2" t="str">
        <f>IF(AND(Table1[[#This Row],[fixed acidity]]&gt;Sheet1!$C$4,Table1[[#This Row],[pH]]&lt;Sheet1!$K$4),"High","Normal")</f>
        <v>High</v>
      </c>
      <c r="P1304" s="1">
        <f>(Table1[[#This Row],[alcohol]]*2)+(Table1[[#This Row],[sulphates]]*1.5)-(Table1[[#This Row],[volatile acidity]]*2)</f>
        <v>22.86</v>
      </c>
      <c r="Q1304" s="1">
        <f>RANK(Table1[[#This Row],[Quality_score_index]],Table1[Quality_score_index],0)</f>
        <v>303</v>
      </c>
      <c r="R1304" s="1">
        <f>Table1[[#This Row],[total sulfur dioxide]]-Table1[[#This Row],[free sulfur dioxide]]</f>
        <v>11</v>
      </c>
      <c r="S1304" s="1" t="str">
        <f>IF(AND(Table1[[#This Row],[pH]]&gt;=3.2,Table1[[#This Row],[alcohol]]&gt;=10),"White wine","Red wine")</f>
        <v>White wine</v>
      </c>
    </row>
    <row r="1305" spans="1:19" x14ac:dyDescent="0.3">
      <c r="A1305" s="13">
        <v>1304</v>
      </c>
      <c r="B1305" s="1">
        <v>8</v>
      </c>
      <c r="C1305" s="1">
        <v>0.28000000000000003</v>
      </c>
      <c r="D1305" s="1">
        <v>0.44</v>
      </c>
      <c r="E1305" s="1">
        <v>1.8</v>
      </c>
      <c r="F1305" s="1">
        <v>8.1000000000000003E-2</v>
      </c>
      <c r="G1305" s="1">
        <v>28</v>
      </c>
      <c r="H1305" s="1">
        <v>68</v>
      </c>
      <c r="I1305" s="1">
        <v>0.99500999999999995</v>
      </c>
      <c r="J1305" s="1">
        <v>3.36</v>
      </c>
      <c r="K1305" s="1">
        <v>0.66</v>
      </c>
      <c r="L1305" s="1">
        <v>11.2</v>
      </c>
      <c r="M1305" s="2">
        <v>5</v>
      </c>
      <c r="N1305" s="2" t="str" cm="1">
        <f t="array" ref="N1305">_xlfn.IFS(Table1[[#This Row],[quality]]&lt;=4,"Low",Table1[[#This Row],[quality]]&lt;=6,"Medium",Table1[[#This Row],[quality]]&gt;=7,"High")</f>
        <v>Medium</v>
      </c>
      <c r="O1305" s="2" t="str">
        <f>IF(AND(Table1[[#This Row],[fixed acidity]]&gt;Sheet1!$C$4,Table1[[#This Row],[pH]]&lt;Sheet1!$K$4),"High","Normal")</f>
        <v>Normal</v>
      </c>
      <c r="P1305" s="1">
        <f>(Table1[[#This Row],[alcohol]]*2)+(Table1[[#This Row],[sulphates]]*1.5)-(Table1[[#This Row],[volatile acidity]]*2)</f>
        <v>22.83</v>
      </c>
      <c r="Q1305" s="1">
        <f>RANK(Table1[[#This Row],[Quality_score_index]],Table1[Quality_score_index],0)</f>
        <v>309</v>
      </c>
      <c r="R1305" s="1">
        <f>Table1[[#This Row],[total sulfur dioxide]]-Table1[[#This Row],[free sulfur dioxide]]</f>
        <v>40</v>
      </c>
      <c r="S1305" s="1" t="str">
        <f>IF(AND(Table1[[#This Row],[pH]]&gt;=3.2,Table1[[#This Row],[alcohol]]&gt;=10),"White wine","Red wine")</f>
        <v>White wine</v>
      </c>
    </row>
    <row r="1306" spans="1:19" x14ac:dyDescent="0.3">
      <c r="A1306" s="13">
        <v>1305</v>
      </c>
      <c r="B1306" s="1">
        <v>7.6</v>
      </c>
      <c r="C1306" s="1">
        <v>0.79</v>
      </c>
      <c r="D1306" s="1">
        <v>0.21</v>
      </c>
      <c r="E1306" s="1">
        <v>2.2999999999999998</v>
      </c>
      <c r="F1306" s="1">
        <v>8.6999999999999994E-2</v>
      </c>
      <c r="G1306" s="1">
        <v>21</v>
      </c>
      <c r="H1306" s="1">
        <v>68</v>
      </c>
      <c r="I1306" s="1">
        <v>0.99550000000000005</v>
      </c>
      <c r="J1306" s="1">
        <v>3.12</v>
      </c>
      <c r="K1306" s="1">
        <v>0.44</v>
      </c>
      <c r="L1306" s="1">
        <v>9.1999999999999993</v>
      </c>
      <c r="M1306" s="2">
        <v>5</v>
      </c>
      <c r="N1306" s="2" t="str" cm="1">
        <f t="array" ref="N1306">_xlfn.IFS(Table1[[#This Row],[quality]]&lt;=4,"Low",Table1[[#This Row],[quality]]&lt;=6,"Medium",Table1[[#This Row],[quality]]&gt;=7,"High")</f>
        <v>Medium</v>
      </c>
      <c r="O1306" s="2" t="str">
        <f>IF(AND(Table1[[#This Row],[fixed acidity]]&gt;Sheet1!$C$4,Table1[[#This Row],[pH]]&lt;Sheet1!$K$4),"High","Normal")</f>
        <v>Normal</v>
      </c>
      <c r="P1306" s="1">
        <f>(Table1[[#This Row],[alcohol]]*2)+(Table1[[#This Row],[sulphates]]*1.5)-(Table1[[#This Row],[volatile acidity]]*2)</f>
        <v>17.479999999999997</v>
      </c>
      <c r="Q1306" s="1">
        <f>RANK(Table1[[#This Row],[Quality_score_index]],Table1[Quality_score_index],0)</f>
        <v>1586</v>
      </c>
      <c r="R1306" s="1">
        <f>Table1[[#This Row],[total sulfur dioxide]]-Table1[[#This Row],[free sulfur dioxide]]</f>
        <v>47</v>
      </c>
      <c r="S1306" s="1" t="str">
        <f>IF(AND(Table1[[#This Row],[pH]]&gt;=3.2,Table1[[#This Row],[alcohol]]&gt;=10),"White wine","Red wine")</f>
        <v>Red wine</v>
      </c>
    </row>
    <row r="1307" spans="1:19" x14ac:dyDescent="0.3">
      <c r="A1307" s="13">
        <v>1306</v>
      </c>
      <c r="B1307" s="1">
        <v>7.5</v>
      </c>
      <c r="C1307" s="1">
        <v>0.61</v>
      </c>
      <c r="D1307" s="1">
        <v>0.26</v>
      </c>
      <c r="E1307" s="1">
        <v>1.9</v>
      </c>
      <c r="F1307" s="1">
        <v>7.2999999999999995E-2</v>
      </c>
      <c r="G1307" s="1">
        <v>24</v>
      </c>
      <c r="H1307" s="1">
        <v>88</v>
      </c>
      <c r="I1307" s="1">
        <v>0.99612000000000001</v>
      </c>
      <c r="J1307" s="1">
        <v>3.3</v>
      </c>
      <c r="K1307" s="1">
        <v>0.53</v>
      </c>
      <c r="L1307" s="1">
        <v>9.8000000000000007</v>
      </c>
      <c r="M1307" s="2">
        <v>5</v>
      </c>
      <c r="N1307" s="2" t="str" cm="1">
        <f t="array" ref="N1307">_xlfn.IFS(Table1[[#This Row],[quality]]&lt;=4,"Low",Table1[[#This Row],[quality]]&lt;=6,"Medium",Table1[[#This Row],[quality]]&gt;=7,"High")</f>
        <v>Medium</v>
      </c>
      <c r="O1307" s="2" t="str">
        <f>IF(AND(Table1[[#This Row],[fixed acidity]]&gt;Sheet1!$C$4,Table1[[#This Row],[pH]]&lt;Sheet1!$K$4),"High","Normal")</f>
        <v>Normal</v>
      </c>
      <c r="P1307" s="1">
        <f>(Table1[[#This Row],[alcohol]]*2)+(Table1[[#This Row],[sulphates]]*1.5)-(Table1[[#This Row],[volatile acidity]]*2)</f>
        <v>19.175000000000004</v>
      </c>
      <c r="Q1307" s="1">
        <f>RANK(Table1[[#This Row],[Quality_score_index]],Table1[Quality_score_index],0)</f>
        <v>1094</v>
      </c>
      <c r="R1307" s="1">
        <f>Table1[[#This Row],[total sulfur dioxide]]-Table1[[#This Row],[free sulfur dioxide]]</f>
        <v>64</v>
      </c>
      <c r="S1307" s="1" t="str">
        <f>IF(AND(Table1[[#This Row],[pH]]&gt;=3.2,Table1[[#This Row],[alcohol]]&gt;=10),"White wine","Red wine")</f>
        <v>Red wine</v>
      </c>
    </row>
    <row r="1308" spans="1:19" x14ac:dyDescent="0.3">
      <c r="A1308" s="13">
        <v>1307</v>
      </c>
      <c r="B1308" s="1">
        <v>9.6999999999999993</v>
      </c>
      <c r="C1308" s="1">
        <v>0.69</v>
      </c>
      <c r="D1308" s="1">
        <v>0.32</v>
      </c>
      <c r="E1308" s="1">
        <v>2.5</v>
      </c>
      <c r="F1308" s="1">
        <v>8.7999999999999995E-2</v>
      </c>
      <c r="G1308" s="1">
        <v>22</v>
      </c>
      <c r="H1308" s="1">
        <v>91</v>
      </c>
      <c r="I1308" s="1">
        <v>0.99790000000000001</v>
      </c>
      <c r="J1308" s="1">
        <v>3.29</v>
      </c>
      <c r="K1308" s="1">
        <v>0.62</v>
      </c>
      <c r="L1308" s="1">
        <v>10.1</v>
      </c>
      <c r="M1308" s="2">
        <v>5</v>
      </c>
      <c r="N1308" s="2" t="str" cm="1">
        <f t="array" ref="N1308">_xlfn.IFS(Table1[[#This Row],[quality]]&lt;=4,"Low",Table1[[#This Row],[quality]]&lt;=6,"Medium",Table1[[#This Row],[quality]]&gt;=7,"High")</f>
        <v>Medium</v>
      </c>
      <c r="O1308" s="2" t="str">
        <f>IF(AND(Table1[[#This Row],[fixed acidity]]&gt;Sheet1!$C$4,Table1[[#This Row],[pH]]&lt;Sheet1!$K$4),"High","Normal")</f>
        <v>High</v>
      </c>
      <c r="P1308" s="1">
        <f>(Table1[[#This Row],[alcohol]]*2)+(Table1[[#This Row],[sulphates]]*1.5)-(Table1[[#This Row],[volatile acidity]]*2)</f>
        <v>19.75</v>
      </c>
      <c r="Q1308" s="1">
        <f>RANK(Table1[[#This Row],[Quality_score_index]],Table1[Quality_score_index],0)</f>
        <v>913</v>
      </c>
      <c r="R1308" s="1">
        <f>Table1[[#This Row],[total sulfur dioxide]]-Table1[[#This Row],[free sulfur dioxide]]</f>
        <v>69</v>
      </c>
      <c r="S1308" s="1" t="str">
        <f>IF(AND(Table1[[#This Row],[pH]]&gt;=3.2,Table1[[#This Row],[alcohol]]&gt;=10),"White wine","Red wine")</f>
        <v>White wine</v>
      </c>
    </row>
    <row r="1309" spans="1:19" x14ac:dyDescent="0.3">
      <c r="A1309" s="13">
        <v>1308</v>
      </c>
      <c r="B1309" s="1">
        <v>6.8</v>
      </c>
      <c r="C1309" s="1">
        <v>0.68</v>
      </c>
      <c r="D1309" s="1">
        <v>0.09</v>
      </c>
      <c r="E1309" s="1">
        <v>3.9</v>
      </c>
      <c r="F1309" s="1">
        <v>6.8000000000000005E-2</v>
      </c>
      <c r="G1309" s="1">
        <v>15</v>
      </c>
      <c r="H1309" s="1">
        <v>29</v>
      </c>
      <c r="I1309" s="1">
        <v>0.99524000000000001</v>
      </c>
      <c r="J1309" s="1">
        <v>3.41</v>
      </c>
      <c r="K1309" s="1">
        <v>0.52</v>
      </c>
      <c r="L1309" s="1">
        <v>11.1</v>
      </c>
      <c r="M1309" s="2">
        <v>4</v>
      </c>
      <c r="N1309" s="2" t="str" cm="1">
        <f t="array" ref="N1309">_xlfn.IFS(Table1[[#This Row],[quality]]&lt;=4,"Low",Table1[[#This Row],[quality]]&lt;=6,"Medium",Table1[[#This Row],[quality]]&gt;=7,"High")</f>
        <v>Low</v>
      </c>
      <c r="O1309" s="2" t="str">
        <f>IF(AND(Table1[[#This Row],[fixed acidity]]&gt;Sheet1!$C$4,Table1[[#This Row],[pH]]&lt;Sheet1!$K$4),"High","Normal")</f>
        <v>Normal</v>
      </c>
      <c r="P1309" s="1">
        <f>(Table1[[#This Row],[alcohol]]*2)+(Table1[[#This Row],[sulphates]]*1.5)-(Table1[[#This Row],[volatile acidity]]*2)</f>
        <v>21.62</v>
      </c>
      <c r="Q1309" s="1">
        <f>RANK(Table1[[#This Row],[Quality_score_index]],Table1[Quality_score_index],0)</f>
        <v>521</v>
      </c>
      <c r="R1309" s="1">
        <f>Table1[[#This Row],[total sulfur dioxide]]-Table1[[#This Row],[free sulfur dioxide]]</f>
        <v>14</v>
      </c>
      <c r="S1309" s="1" t="str">
        <f>IF(AND(Table1[[#This Row],[pH]]&gt;=3.2,Table1[[#This Row],[alcohol]]&gt;=10),"White wine","Red wine")</f>
        <v>White wine</v>
      </c>
    </row>
    <row r="1310" spans="1:19" x14ac:dyDescent="0.3">
      <c r="A1310" s="13">
        <v>1309</v>
      </c>
      <c r="B1310" s="1">
        <v>9.6999999999999993</v>
      </c>
      <c r="C1310" s="1">
        <v>0.69</v>
      </c>
      <c r="D1310" s="1">
        <v>0.32</v>
      </c>
      <c r="E1310" s="1">
        <v>2.5</v>
      </c>
      <c r="F1310" s="1">
        <v>8.7999999999999995E-2</v>
      </c>
      <c r="G1310" s="1">
        <v>22</v>
      </c>
      <c r="H1310" s="1">
        <v>91</v>
      </c>
      <c r="I1310" s="1">
        <v>0.99790000000000001</v>
      </c>
      <c r="J1310" s="1">
        <v>3.29</v>
      </c>
      <c r="K1310" s="1">
        <v>0.62</v>
      </c>
      <c r="L1310" s="1">
        <v>10.1</v>
      </c>
      <c r="M1310" s="2">
        <v>5</v>
      </c>
      <c r="N1310" s="2" t="str" cm="1">
        <f t="array" ref="N1310">_xlfn.IFS(Table1[[#This Row],[quality]]&lt;=4,"Low",Table1[[#This Row],[quality]]&lt;=6,"Medium",Table1[[#This Row],[quality]]&gt;=7,"High")</f>
        <v>Medium</v>
      </c>
      <c r="O1310" s="2" t="str">
        <f>IF(AND(Table1[[#This Row],[fixed acidity]]&gt;Sheet1!$C$4,Table1[[#This Row],[pH]]&lt;Sheet1!$K$4),"High","Normal")</f>
        <v>High</v>
      </c>
      <c r="P1310" s="1">
        <f>(Table1[[#This Row],[alcohol]]*2)+(Table1[[#This Row],[sulphates]]*1.5)-(Table1[[#This Row],[volatile acidity]]*2)</f>
        <v>19.75</v>
      </c>
      <c r="Q1310" s="1">
        <f>RANK(Table1[[#This Row],[Quality_score_index]],Table1[Quality_score_index],0)</f>
        <v>913</v>
      </c>
      <c r="R1310" s="1">
        <f>Table1[[#This Row],[total sulfur dioxide]]-Table1[[#This Row],[free sulfur dioxide]]</f>
        <v>69</v>
      </c>
      <c r="S1310" s="1" t="str">
        <f>IF(AND(Table1[[#This Row],[pH]]&gt;=3.2,Table1[[#This Row],[alcohol]]&gt;=10),"White wine","Red wine")</f>
        <v>White wine</v>
      </c>
    </row>
    <row r="1311" spans="1:19" x14ac:dyDescent="0.3">
      <c r="A1311" s="13">
        <v>1310</v>
      </c>
      <c r="B1311" s="1">
        <v>7</v>
      </c>
      <c r="C1311" s="1">
        <v>0.62</v>
      </c>
      <c r="D1311" s="1">
        <v>0.1</v>
      </c>
      <c r="E1311" s="1">
        <v>1.4</v>
      </c>
      <c r="F1311" s="1">
        <v>7.0999999999999994E-2</v>
      </c>
      <c r="G1311" s="1">
        <v>27</v>
      </c>
      <c r="H1311" s="1">
        <v>63</v>
      </c>
      <c r="I1311" s="1">
        <v>0.996</v>
      </c>
      <c r="J1311" s="1">
        <v>3.28</v>
      </c>
      <c r="K1311" s="1">
        <v>0.61</v>
      </c>
      <c r="L1311" s="1">
        <v>9.1999999999999993</v>
      </c>
      <c r="M1311" s="2">
        <v>5</v>
      </c>
      <c r="N1311" s="2" t="str" cm="1">
        <f t="array" ref="N1311">_xlfn.IFS(Table1[[#This Row],[quality]]&lt;=4,"Low",Table1[[#This Row],[quality]]&lt;=6,"Medium",Table1[[#This Row],[quality]]&gt;=7,"High")</f>
        <v>Medium</v>
      </c>
      <c r="O1311" s="2" t="str">
        <f>IF(AND(Table1[[#This Row],[fixed acidity]]&gt;Sheet1!$C$4,Table1[[#This Row],[pH]]&lt;Sheet1!$K$4),"High","Normal")</f>
        <v>Normal</v>
      </c>
      <c r="P1311" s="1">
        <f>(Table1[[#This Row],[alcohol]]*2)+(Table1[[#This Row],[sulphates]]*1.5)-(Table1[[#This Row],[volatile acidity]]*2)</f>
        <v>18.074999999999999</v>
      </c>
      <c r="Q1311" s="1">
        <f>RANK(Table1[[#This Row],[Quality_score_index]],Table1[Quality_score_index],0)</f>
        <v>1508</v>
      </c>
      <c r="R1311" s="1">
        <f>Table1[[#This Row],[total sulfur dioxide]]-Table1[[#This Row],[free sulfur dioxide]]</f>
        <v>36</v>
      </c>
      <c r="S1311" s="1" t="str">
        <f>IF(AND(Table1[[#This Row],[pH]]&gt;=3.2,Table1[[#This Row],[alcohol]]&gt;=10),"White wine","Red wine")</f>
        <v>Red wine</v>
      </c>
    </row>
    <row r="1312" spans="1:19" x14ac:dyDescent="0.3">
      <c r="A1312" s="13">
        <v>1311</v>
      </c>
      <c r="B1312" s="1">
        <v>7.5</v>
      </c>
      <c r="C1312" s="1">
        <v>0.61</v>
      </c>
      <c r="D1312" s="1">
        <v>0.26</v>
      </c>
      <c r="E1312" s="1">
        <v>1.9</v>
      </c>
      <c r="F1312" s="1">
        <v>7.2999999999999995E-2</v>
      </c>
      <c r="G1312" s="1">
        <v>24</v>
      </c>
      <c r="H1312" s="1">
        <v>88</v>
      </c>
      <c r="I1312" s="1">
        <v>0.99612000000000001</v>
      </c>
      <c r="J1312" s="1">
        <v>3.3</v>
      </c>
      <c r="K1312" s="1">
        <v>0.53</v>
      </c>
      <c r="L1312" s="1">
        <v>9.8000000000000007</v>
      </c>
      <c r="M1312" s="2">
        <v>5</v>
      </c>
      <c r="N1312" s="2" t="str" cm="1">
        <f t="array" ref="N1312">_xlfn.IFS(Table1[[#This Row],[quality]]&lt;=4,"Low",Table1[[#This Row],[quality]]&lt;=6,"Medium",Table1[[#This Row],[quality]]&gt;=7,"High")</f>
        <v>Medium</v>
      </c>
      <c r="O1312" s="2" t="str">
        <f>IF(AND(Table1[[#This Row],[fixed acidity]]&gt;Sheet1!$C$4,Table1[[#This Row],[pH]]&lt;Sheet1!$K$4),"High","Normal")</f>
        <v>Normal</v>
      </c>
      <c r="P1312" s="1">
        <f>(Table1[[#This Row],[alcohol]]*2)+(Table1[[#This Row],[sulphates]]*1.5)-(Table1[[#This Row],[volatile acidity]]*2)</f>
        <v>19.175000000000004</v>
      </c>
      <c r="Q1312" s="1">
        <f>RANK(Table1[[#This Row],[Quality_score_index]],Table1[Quality_score_index],0)</f>
        <v>1094</v>
      </c>
      <c r="R1312" s="1">
        <f>Table1[[#This Row],[total sulfur dioxide]]-Table1[[#This Row],[free sulfur dioxide]]</f>
        <v>64</v>
      </c>
      <c r="S1312" s="1" t="str">
        <f>IF(AND(Table1[[#This Row],[pH]]&gt;=3.2,Table1[[#This Row],[alcohol]]&gt;=10),"White wine","Red wine")</f>
        <v>Red wine</v>
      </c>
    </row>
    <row r="1313" spans="1:19" x14ac:dyDescent="0.3">
      <c r="A1313" s="13">
        <v>1312</v>
      </c>
      <c r="B1313" s="1">
        <v>6.5</v>
      </c>
      <c r="C1313" s="1">
        <v>0.51</v>
      </c>
      <c r="D1313" s="1">
        <v>0.15</v>
      </c>
      <c r="E1313" s="1">
        <v>3</v>
      </c>
      <c r="F1313" s="1">
        <v>6.4000000000000001E-2</v>
      </c>
      <c r="G1313" s="1">
        <v>12</v>
      </c>
      <c r="H1313" s="1">
        <v>27</v>
      </c>
      <c r="I1313" s="1">
        <v>0.9929</v>
      </c>
      <c r="J1313" s="1">
        <v>3.33</v>
      </c>
      <c r="K1313" s="1">
        <v>0.59</v>
      </c>
      <c r="L1313" s="1">
        <v>12.8</v>
      </c>
      <c r="M1313" s="2">
        <v>6</v>
      </c>
      <c r="N1313" s="2" t="str" cm="1">
        <f t="array" ref="N1313">_xlfn.IFS(Table1[[#This Row],[quality]]&lt;=4,"Low",Table1[[#This Row],[quality]]&lt;=6,"Medium",Table1[[#This Row],[quality]]&gt;=7,"High")</f>
        <v>Medium</v>
      </c>
      <c r="O1313" s="2" t="str">
        <f>IF(AND(Table1[[#This Row],[fixed acidity]]&gt;Sheet1!$C$4,Table1[[#This Row],[pH]]&lt;Sheet1!$K$4),"High","Normal")</f>
        <v>Normal</v>
      </c>
      <c r="P1313" s="1">
        <f>(Table1[[#This Row],[alcohol]]*2)+(Table1[[#This Row],[sulphates]]*1.5)-(Table1[[#This Row],[volatile acidity]]*2)</f>
        <v>25.465000000000003</v>
      </c>
      <c r="Q1313" s="1">
        <f>RANK(Table1[[#This Row],[Quality_score_index]],Table1[Quality_score_index],0)</f>
        <v>58</v>
      </c>
      <c r="R1313" s="1">
        <f>Table1[[#This Row],[total sulfur dioxide]]-Table1[[#This Row],[free sulfur dioxide]]</f>
        <v>15</v>
      </c>
      <c r="S1313" s="1" t="str">
        <f>IF(AND(Table1[[#This Row],[pH]]&gt;=3.2,Table1[[#This Row],[alcohol]]&gt;=10),"White wine","Red wine")</f>
        <v>White wine</v>
      </c>
    </row>
    <row r="1314" spans="1:19" x14ac:dyDescent="0.3">
      <c r="A1314" s="13">
        <v>1313</v>
      </c>
      <c r="B1314" s="1">
        <v>8</v>
      </c>
      <c r="C1314" s="1">
        <v>1.18</v>
      </c>
      <c r="D1314" s="1">
        <v>0.21</v>
      </c>
      <c r="E1314" s="1">
        <v>1.9</v>
      </c>
      <c r="F1314" s="1">
        <v>8.3000000000000004E-2</v>
      </c>
      <c r="G1314" s="1">
        <v>14</v>
      </c>
      <c r="H1314" s="1">
        <v>41</v>
      </c>
      <c r="I1314" s="1">
        <v>0.99531999999999998</v>
      </c>
      <c r="J1314" s="1">
        <v>3.34</v>
      </c>
      <c r="K1314" s="1">
        <v>0.47</v>
      </c>
      <c r="L1314" s="1">
        <v>10.5</v>
      </c>
      <c r="M1314" s="2">
        <v>5</v>
      </c>
      <c r="N1314" s="2" t="str" cm="1">
        <f t="array" ref="N1314">_xlfn.IFS(Table1[[#This Row],[quality]]&lt;=4,"Low",Table1[[#This Row],[quality]]&lt;=6,"Medium",Table1[[#This Row],[quality]]&gt;=7,"High")</f>
        <v>Medium</v>
      </c>
      <c r="O1314" s="2" t="str">
        <f>IF(AND(Table1[[#This Row],[fixed acidity]]&gt;Sheet1!$C$4,Table1[[#This Row],[pH]]&lt;Sheet1!$K$4),"High","Normal")</f>
        <v>Normal</v>
      </c>
      <c r="P1314" s="1">
        <f>(Table1[[#This Row],[alcohol]]*2)+(Table1[[#This Row],[sulphates]]*1.5)-(Table1[[#This Row],[volatile acidity]]*2)</f>
        <v>19.344999999999999</v>
      </c>
      <c r="Q1314" s="1">
        <f>RANK(Table1[[#This Row],[Quality_score_index]],Table1[Quality_score_index],0)</f>
        <v>1026</v>
      </c>
      <c r="R1314" s="1">
        <f>Table1[[#This Row],[total sulfur dioxide]]-Table1[[#This Row],[free sulfur dioxide]]</f>
        <v>27</v>
      </c>
      <c r="S1314" s="1" t="str">
        <f>IF(AND(Table1[[#This Row],[pH]]&gt;=3.2,Table1[[#This Row],[alcohol]]&gt;=10),"White wine","Red wine")</f>
        <v>White wine</v>
      </c>
    </row>
    <row r="1315" spans="1:19" x14ac:dyDescent="0.3">
      <c r="A1315" s="13">
        <v>1314</v>
      </c>
      <c r="B1315" s="1">
        <v>7</v>
      </c>
      <c r="C1315" s="1">
        <v>0.36</v>
      </c>
      <c r="D1315" s="1">
        <v>0.21</v>
      </c>
      <c r="E1315" s="1">
        <v>2.2999999999999998</v>
      </c>
      <c r="F1315" s="1">
        <v>8.5999999999999993E-2</v>
      </c>
      <c r="G1315" s="1">
        <v>20</v>
      </c>
      <c r="H1315" s="1">
        <v>65</v>
      </c>
      <c r="I1315" s="1">
        <v>0.99558000000000002</v>
      </c>
      <c r="J1315" s="1">
        <v>3.4</v>
      </c>
      <c r="K1315" s="1">
        <v>0.54</v>
      </c>
      <c r="L1315" s="1">
        <v>10.1</v>
      </c>
      <c r="M1315" s="2">
        <v>6</v>
      </c>
      <c r="N1315" s="2" t="str" cm="1">
        <f t="array" ref="N1315">_xlfn.IFS(Table1[[#This Row],[quality]]&lt;=4,"Low",Table1[[#This Row],[quality]]&lt;=6,"Medium",Table1[[#This Row],[quality]]&gt;=7,"High")</f>
        <v>Medium</v>
      </c>
      <c r="O1315" s="2" t="str">
        <f>IF(AND(Table1[[#This Row],[fixed acidity]]&gt;Sheet1!$C$4,Table1[[#This Row],[pH]]&lt;Sheet1!$K$4),"High","Normal")</f>
        <v>Normal</v>
      </c>
      <c r="P1315" s="1">
        <f>(Table1[[#This Row],[alcohol]]*2)+(Table1[[#This Row],[sulphates]]*1.5)-(Table1[[#This Row],[volatile acidity]]*2)</f>
        <v>20.29</v>
      </c>
      <c r="Q1315" s="1">
        <f>RANK(Table1[[#This Row],[Quality_score_index]],Table1[Quality_score_index],0)</f>
        <v>795</v>
      </c>
      <c r="R1315" s="1">
        <f>Table1[[#This Row],[total sulfur dioxide]]-Table1[[#This Row],[free sulfur dioxide]]</f>
        <v>45</v>
      </c>
      <c r="S1315" s="1" t="str">
        <f>IF(AND(Table1[[#This Row],[pH]]&gt;=3.2,Table1[[#This Row],[alcohol]]&gt;=10),"White wine","Red wine")</f>
        <v>White wine</v>
      </c>
    </row>
    <row r="1316" spans="1:19" x14ac:dyDescent="0.3">
      <c r="A1316" s="13">
        <v>1315</v>
      </c>
      <c r="B1316" s="1">
        <v>7</v>
      </c>
      <c r="C1316" s="1">
        <v>0.36</v>
      </c>
      <c r="D1316" s="1">
        <v>0.21</v>
      </c>
      <c r="E1316" s="1">
        <v>2.4</v>
      </c>
      <c r="F1316" s="1">
        <v>8.5999999999999993E-2</v>
      </c>
      <c r="G1316" s="1">
        <v>24</v>
      </c>
      <c r="H1316" s="1">
        <v>69</v>
      </c>
      <c r="I1316" s="1">
        <v>0.99556</v>
      </c>
      <c r="J1316" s="1">
        <v>3.4</v>
      </c>
      <c r="K1316" s="1">
        <v>0.53</v>
      </c>
      <c r="L1316" s="1">
        <v>10.1</v>
      </c>
      <c r="M1316" s="2">
        <v>6</v>
      </c>
      <c r="N1316" s="2" t="str" cm="1">
        <f t="array" ref="N1316">_xlfn.IFS(Table1[[#This Row],[quality]]&lt;=4,"Low",Table1[[#This Row],[quality]]&lt;=6,"Medium",Table1[[#This Row],[quality]]&gt;=7,"High")</f>
        <v>Medium</v>
      </c>
      <c r="O1316" s="2" t="str">
        <f>IF(AND(Table1[[#This Row],[fixed acidity]]&gt;Sheet1!$C$4,Table1[[#This Row],[pH]]&lt;Sheet1!$K$4),"High","Normal")</f>
        <v>Normal</v>
      </c>
      <c r="P1316" s="1">
        <f>(Table1[[#This Row],[alcohol]]*2)+(Table1[[#This Row],[sulphates]]*1.5)-(Table1[[#This Row],[volatile acidity]]*2)</f>
        <v>20.275000000000002</v>
      </c>
      <c r="Q1316" s="1">
        <f>RANK(Table1[[#This Row],[Quality_score_index]],Table1[Quality_score_index],0)</f>
        <v>798</v>
      </c>
      <c r="R1316" s="1">
        <f>Table1[[#This Row],[total sulfur dioxide]]-Table1[[#This Row],[free sulfur dioxide]]</f>
        <v>45</v>
      </c>
      <c r="S1316" s="1" t="str">
        <f>IF(AND(Table1[[#This Row],[pH]]&gt;=3.2,Table1[[#This Row],[alcohol]]&gt;=10),"White wine","Red wine")</f>
        <v>White wine</v>
      </c>
    </row>
    <row r="1317" spans="1:19" x14ac:dyDescent="0.3">
      <c r="A1317" s="13">
        <v>1316</v>
      </c>
      <c r="B1317" s="1">
        <v>7.5</v>
      </c>
      <c r="C1317" s="1">
        <v>0.63</v>
      </c>
      <c r="D1317" s="1">
        <v>0.27</v>
      </c>
      <c r="E1317" s="1">
        <v>2</v>
      </c>
      <c r="F1317" s="1">
        <v>8.3000000000000004E-2</v>
      </c>
      <c r="G1317" s="1">
        <v>17</v>
      </c>
      <c r="H1317" s="1">
        <v>91</v>
      </c>
      <c r="I1317" s="1">
        <v>0.99616000000000005</v>
      </c>
      <c r="J1317" s="1">
        <v>3.26</v>
      </c>
      <c r="K1317" s="1">
        <v>0.57999999999999996</v>
      </c>
      <c r="L1317" s="1">
        <v>9.8000000000000007</v>
      </c>
      <c r="M1317" s="2">
        <v>6</v>
      </c>
      <c r="N1317" s="2" t="str" cm="1">
        <f t="array" ref="N1317">_xlfn.IFS(Table1[[#This Row],[quality]]&lt;=4,"Low",Table1[[#This Row],[quality]]&lt;=6,"Medium",Table1[[#This Row],[quality]]&gt;=7,"High")</f>
        <v>Medium</v>
      </c>
      <c r="O1317" s="2" t="str">
        <f>IF(AND(Table1[[#This Row],[fixed acidity]]&gt;Sheet1!$C$4,Table1[[#This Row],[pH]]&lt;Sheet1!$K$4),"High","Normal")</f>
        <v>Normal</v>
      </c>
      <c r="P1317" s="1">
        <f>(Table1[[#This Row],[alcohol]]*2)+(Table1[[#This Row],[sulphates]]*1.5)-(Table1[[#This Row],[volatile acidity]]*2)</f>
        <v>19.21</v>
      </c>
      <c r="Q1317" s="1">
        <f>RANK(Table1[[#This Row],[Quality_score_index]],Table1[Quality_score_index],0)</f>
        <v>1075</v>
      </c>
      <c r="R1317" s="1">
        <f>Table1[[#This Row],[total sulfur dioxide]]-Table1[[#This Row],[free sulfur dioxide]]</f>
        <v>74</v>
      </c>
      <c r="S1317" s="1" t="str">
        <f>IF(AND(Table1[[#This Row],[pH]]&gt;=3.2,Table1[[#This Row],[alcohol]]&gt;=10),"White wine","Red wine")</f>
        <v>Red wine</v>
      </c>
    </row>
    <row r="1318" spans="1:19" x14ac:dyDescent="0.3">
      <c r="A1318" s="13">
        <v>1317</v>
      </c>
      <c r="B1318" s="1">
        <v>5.4</v>
      </c>
      <c r="C1318" s="1">
        <v>0.74</v>
      </c>
      <c r="D1318" s="1">
        <v>0</v>
      </c>
      <c r="E1318" s="1">
        <v>1.2</v>
      </c>
      <c r="F1318" s="1">
        <v>4.1000000000000002E-2</v>
      </c>
      <c r="G1318" s="1">
        <v>16</v>
      </c>
      <c r="H1318" s="1">
        <v>46</v>
      </c>
      <c r="I1318" s="1">
        <v>0.99258000000000002</v>
      </c>
      <c r="J1318" s="1">
        <v>4.01</v>
      </c>
      <c r="K1318" s="1">
        <v>0.59</v>
      </c>
      <c r="L1318" s="1">
        <v>12.5</v>
      </c>
      <c r="M1318" s="2">
        <v>6</v>
      </c>
      <c r="N1318" s="2" t="str" cm="1">
        <f t="array" ref="N1318">_xlfn.IFS(Table1[[#This Row],[quality]]&lt;=4,"Low",Table1[[#This Row],[quality]]&lt;=6,"Medium",Table1[[#This Row],[quality]]&gt;=7,"High")</f>
        <v>Medium</v>
      </c>
      <c r="O1318" s="2" t="str">
        <f>IF(AND(Table1[[#This Row],[fixed acidity]]&gt;Sheet1!$C$4,Table1[[#This Row],[pH]]&lt;Sheet1!$K$4),"High","Normal")</f>
        <v>Normal</v>
      </c>
      <c r="P1318" s="1">
        <f>(Table1[[#This Row],[alcohol]]*2)+(Table1[[#This Row],[sulphates]]*1.5)-(Table1[[#This Row],[volatile acidity]]*2)</f>
        <v>24.405000000000001</v>
      </c>
      <c r="Q1318" s="1">
        <f>RANK(Table1[[#This Row],[Quality_score_index]],Table1[Quality_score_index],0)</f>
        <v>138</v>
      </c>
      <c r="R1318" s="1">
        <f>Table1[[#This Row],[total sulfur dioxide]]-Table1[[#This Row],[free sulfur dioxide]]</f>
        <v>30</v>
      </c>
      <c r="S1318" s="1" t="str">
        <f>IF(AND(Table1[[#This Row],[pH]]&gt;=3.2,Table1[[#This Row],[alcohol]]&gt;=10),"White wine","Red wine")</f>
        <v>White wine</v>
      </c>
    </row>
    <row r="1319" spans="1:19" x14ac:dyDescent="0.3">
      <c r="A1319" s="13">
        <v>1318</v>
      </c>
      <c r="B1319" s="1">
        <v>9.9</v>
      </c>
      <c r="C1319" s="1">
        <v>0.44</v>
      </c>
      <c r="D1319" s="1">
        <v>0.46</v>
      </c>
      <c r="E1319" s="1">
        <v>2.2000000000000002</v>
      </c>
      <c r="F1319" s="1">
        <v>9.0999999999999998E-2</v>
      </c>
      <c r="G1319" s="1">
        <v>10</v>
      </c>
      <c r="H1319" s="1">
        <v>41</v>
      </c>
      <c r="I1319" s="1">
        <v>0.99638000000000004</v>
      </c>
      <c r="J1319" s="1">
        <v>3.18</v>
      </c>
      <c r="K1319" s="1">
        <v>0.69</v>
      </c>
      <c r="L1319" s="1">
        <v>11.9</v>
      </c>
      <c r="M1319" s="2">
        <v>6</v>
      </c>
      <c r="N1319" s="2" t="str" cm="1">
        <f t="array" ref="N1319">_xlfn.IFS(Table1[[#This Row],[quality]]&lt;=4,"Low",Table1[[#This Row],[quality]]&lt;=6,"Medium",Table1[[#This Row],[quality]]&gt;=7,"High")</f>
        <v>Medium</v>
      </c>
      <c r="O1319" s="2" t="str">
        <f>IF(AND(Table1[[#This Row],[fixed acidity]]&gt;Sheet1!$C$4,Table1[[#This Row],[pH]]&lt;Sheet1!$K$4),"High","Normal")</f>
        <v>High</v>
      </c>
      <c r="P1319" s="1">
        <f>(Table1[[#This Row],[alcohol]]*2)+(Table1[[#This Row],[sulphates]]*1.5)-(Table1[[#This Row],[volatile acidity]]*2)</f>
        <v>23.955000000000002</v>
      </c>
      <c r="Q1319" s="1">
        <f>RANK(Table1[[#This Row],[Quality_score_index]],Table1[Quality_score_index],0)</f>
        <v>186</v>
      </c>
      <c r="R1319" s="1">
        <f>Table1[[#This Row],[total sulfur dioxide]]-Table1[[#This Row],[free sulfur dioxide]]</f>
        <v>31</v>
      </c>
      <c r="S1319" s="1" t="str">
        <f>IF(AND(Table1[[#This Row],[pH]]&gt;=3.2,Table1[[#This Row],[alcohol]]&gt;=10),"White wine","Red wine")</f>
        <v>Red wine</v>
      </c>
    </row>
    <row r="1320" spans="1:19" x14ac:dyDescent="0.3">
      <c r="A1320" s="13">
        <v>1319</v>
      </c>
      <c r="B1320" s="1">
        <v>7.5</v>
      </c>
      <c r="C1320" s="1">
        <v>0.63</v>
      </c>
      <c r="D1320" s="1">
        <v>0.27</v>
      </c>
      <c r="E1320" s="1">
        <v>2</v>
      </c>
      <c r="F1320" s="1">
        <v>8.3000000000000004E-2</v>
      </c>
      <c r="G1320" s="1">
        <v>17</v>
      </c>
      <c r="H1320" s="1">
        <v>91</v>
      </c>
      <c r="I1320" s="1">
        <v>0.99616000000000005</v>
      </c>
      <c r="J1320" s="1">
        <v>3.26</v>
      </c>
      <c r="K1320" s="1">
        <v>0.57999999999999996</v>
      </c>
      <c r="L1320" s="1">
        <v>9.8000000000000007</v>
      </c>
      <c r="M1320" s="2">
        <v>6</v>
      </c>
      <c r="N1320" s="2" t="str" cm="1">
        <f t="array" ref="N1320">_xlfn.IFS(Table1[[#This Row],[quality]]&lt;=4,"Low",Table1[[#This Row],[quality]]&lt;=6,"Medium",Table1[[#This Row],[quality]]&gt;=7,"High")</f>
        <v>Medium</v>
      </c>
      <c r="O1320" s="2" t="str">
        <f>IF(AND(Table1[[#This Row],[fixed acidity]]&gt;Sheet1!$C$4,Table1[[#This Row],[pH]]&lt;Sheet1!$K$4),"High","Normal")</f>
        <v>Normal</v>
      </c>
      <c r="P1320" s="1">
        <f>(Table1[[#This Row],[alcohol]]*2)+(Table1[[#This Row],[sulphates]]*1.5)-(Table1[[#This Row],[volatile acidity]]*2)</f>
        <v>19.21</v>
      </c>
      <c r="Q1320" s="1">
        <f>RANK(Table1[[#This Row],[Quality_score_index]],Table1[Quality_score_index],0)</f>
        <v>1075</v>
      </c>
      <c r="R1320" s="1">
        <f>Table1[[#This Row],[total sulfur dioxide]]-Table1[[#This Row],[free sulfur dioxide]]</f>
        <v>74</v>
      </c>
      <c r="S1320" s="1" t="str">
        <f>IF(AND(Table1[[#This Row],[pH]]&gt;=3.2,Table1[[#This Row],[alcohol]]&gt;=10),"White wine","Red wine")</f>
        <v>Red wine</v>
      </c>
    </row>
    <row r="1321" spans="1:19" x14ac:dyDescent="0.3">
      <c r="A1321" s="13">
        <v>1320</v>
      </c>
      <c r="B1321" s="1">
        <v>9.1</v>
      </c>
      <c r="C1321" s="1">
        <v>0.76</v>
      </c>
      <c r="D1321" s="1">
        <v>0.68</v>
      </c>
      <c r="E1321" s="1">
        <v>1.7</v>
      </c>
      <c r="F1321" s="1">
        <v>0.41399999999999998</v>
      </c>
      <c r="G1321" s="1">
        <v>18</v>
      </c>
      <c r="H1321" s="1">
        <v>64</v>
      </c>
      <c r="I1321" s="1">
        <v>0.99651999999999996</v>
      </c>
      <c r="J1321" s="1">
        <v>2.9</v>
      </c>
      <c r="K1321" s="1">
        <v>1.33</v>
      </c>
      <c r="L1321" s="1">
        <v>9.1</v>
      </c>
      <c r="M1321" s="2">
        <v>6</v>
      </c>
      <c r="N1321" s="2" t="str" cm="1">
        <f t="array" ref="N1321">_xlfn.IFS(Table1[[#This Row],[quality]]&lt;=4,"Low",Table1[[#This Row],[quality]]&lt;=6,"Medium",Table1[[#This Row],[quality]]&gt;=7,"High")</f>
        <v>Medium</v>
      </c>
      <c r="O1321" s="2" t="str">
        <f>IF(AND(Table1[[#This Row],[fixed acidity]]&gt;Sheet1!$C$4,Table1[[#This Row],[pH]]&lt;Sheet1!$K$4),"High","Normal")</f>
        <v>High</v>
      </c>
      <c r="P1321" s="1">
        <f>(Table1[[#This Row],[alcohol]]*2)+(Table1[[#This Row],[sulphates]]*1.5)-(Table1[[#This Row],[volatile acidity]]*2)</f>
        <v>18.675000000000001</v>
      </c>
      <c r="Q1321" s="1">
        <f>RANK(Table1[[#This Row],[Quality_score_index]],Table1[Quality_score_index],0)</f>
        <v>1304</v>
      </c>
      <c r="R1321" s="1">
        <f>Table1[[#This Row],[total sulfur dioxide]]-Table1[[#This Row],[free sulfur dioxide]]</f>
        <v>46</v>
      </c>
      <c r="S1321" s="1" t="str">
        <f>IF(AND(Table1[[#This Row],[pH]]&gt;=3.2,Table1[[#This Row],[alcohol]]&gt;=10),"White wine","Red wine")</f>
        <v>Red wine</v>
      </c>
    </row>
    <row r="1322" spans="1:19" x14ac:dyDescent="0.3">
      <c r="A1322" s="13">
        <v>1321</v>
      </c>
      <c r="B1322" s="1">
        <v>9.6999999999999993</v>
      </c>
      <c r="C1322" s="1">
        <v>0.66</v>
      </c>
      <c r="D1322" s="1">
        <v>0.34</v>
      </c>
      <c r="E1322" s="1">
        <v>2.6</v>
      </c>
      <c r="F1322" s="1">
        <v>9.4E-2</v>
      </c>
      <c r="G1322" s="1">
        <v>12</v>
      </c>
      <c r="H1322" s="1">
        <v>88</v>
      </c>
      <c r="I1322" s="1">
        <v>0.99795999999999996</v>
      </c>
      <c r="J1322" s="1">
        <v>3.26</v>
      </c>
      <c r="K1322" s="1">
        <v>0.66</v>
      </c>
      <c r="L1322" s="1">
        <v>10.1</v>
      </c>
      <c r="M1322" s="2">
        <v>5</v>
      </c>
      <c r="N1322" s="2" t="str" cm="1">
        <f t="array" ref="N1322">_xlfn.IFS(Table1[[#This Row],[quality]]&lt;=4,"Low",Table1[[#This Row],[quality]]&lt;=6,"Medium",Table1[[#This Row],[quality]]&gt;=7,"High")</f>
        <v>Medium</v>
      </c>
      <c r="O1322" s="2" t="str">
        <f>IF(AND(Table1[[#This Row],[fixed acidity]]&gt;Sheet1!$C$4,Table1[[#This Row],[pH]]&lt;Sheet1!$K$4),"High","Normal")</f>
        <v>High</v>
      </c>
      <c r="P1322" s="1">
        <f>(Table1[[#This Row],[alcohol]]*2)+(Table1[[#This Row],[sulphates]]*1.5)-(Table1[[#This Row],[volatile acidity]]*2)</f>
        <v>19.869999999999997</v>
      </c>
      <c r="Q1322" s="1">
        <f>RANK(Table1[[#This Row],[Quality_score_index]],Table1[Quality_score_index],0)</f>
        <v>889</v>
      </c>
      <c r="R1322" s="1">
        <f>Table1[[#This Row],[total sulfur dioxide]]-Table1[[#This Row],[free sulfur dioxide]]</f>
        <v>76</v>
      </c>
      <c r="S1322" s="1" t="str">
        <f>IF(AND(Table1[[#This Row],[pH]]&gt;=3.2,Table1[[#This Row],[alcohol]]&gt;=10),"White wine","Red wine")</f>
        <v>White wine</v>
      </c>
    </row>
    <row r="1323" spans="1:19" x14ac:dyDescent="0.3">
      <c r="A1323" s="13">
        <v>1322</v>
      </c>
      <c r="B1323" s="1">
        <v>5</v>
      </c>
      <c r="C1323" s="1">
        <v>0.74</v>
      </c>
      <c r="D1323" s="1">
        <v>0</v>
      </c>
      <c r="E1323" s="1">
        <v>1.2</v>
      </c>
      <c r="F1323" s="1">
        <v>4.1000000000000002E-2</v>
      </c>
      <c r="G1323" s="1">
        <v>16</v>
      </c>
      <c r="H1323" s="1">
        <v>46</v>
      </c>
      <c r="I1323" s="1">
        <v>0.99258000000000002</v>
      </c>
      <c r="J1323" s="1">
        <v>4.01</v>
      </c>
      <c r="K1323" s="1">
        <v>0.59</v>
      </c>
      <c r="L1323" s="1">
        <v>12.5</v>
      </c>
      <c r="M1323" s="2">
        <v>6</v>
      </c>
      <c r="N1323" s="2" t="str" cm="1">
        <f t="array" ref="N1323">_xlfn.IFS(Table1[[#This Row],[quality]]&lt;=4,"Low",Table1[[#This Row],[quality]]&lt;=6,"Medium",Table1[[#This Row],[quality]]&gt;=7,"High")</f>
        <v>Medium</v>
      </c>
      <c r="O1323" s="2" t="str">
        <f>IF(AND(Table1[[#This Row],[fixed acidity]]&gt;Sheet1!$C$4,Table1[[#This Row],[pH]]&lt;Sheet1!$K$4),"High","Normal")</f>
        <v>Normal</v>
      </c>
      <c r="P1323" s="1">
        <f>(Table1[[#This Row],[alcohol]]*2)+(Table1[[#This Row],[sulphates]]*1.5)-(Table1[[#This Row],[volatile acidity]]*2)</f>
        <v>24.405000000000001</v>
      </c>
      <c r="Q1323" s="1">
        <f>RANK(Table1[[#This Row],[Quality_score_index]],Table1[Quality_score_index],0)</f>
        <v>138</v>
      </c>
      <c r="R1323" s="1">
        <f>Table1[[#This Row],[total sulfur dioxide]]-Table1[[#This Row],[free sulfur dioxide]]</f>
        <v>30</v>
      </c>
      <c r="S1323" s="1" t="str">
        <f>IF(AND(Table1[[#This Row],[pH]]&gt;=3.2,Table1[[#This Row],[alcohol]]&gt;=10),"White wine","Red wine")</f>
        <v>White wine</v>
      </c>
    </row>
    <row r="1324" spans="1:19" x14ac:dyDescent="0.3">
      <c r="A1324" s="13">
        <v>1323</v>
      </c>
      <c r="B1324" s="1">
        <v>9.1</v>
      </c>
      <c r="C1324" s="1">
        <v>0.34</v>
      </c>
      <c r="D1324" s="1">
        <v>0.42</v>
      </c>
      <c r="E1324" s="1">
        <v>1.8</v>
      </c>
      <c r="F1324" s="1">
        <v>5.8000000000000003E-2</v>
      </c>
      <c r="G1324" s="1">
        <v>9</v>
      </c>
      <c r="H1324" s="1">
        <v>18</v>
      </c>
      <c r="I1324" s="1">
        <v>0.99392000000000003</v>
      </c>
      <c r="J1324" s="1">
        <v>3.18</v>
      </c>
      <c r="K1324" s="1">
        <v>0.55000000000000004</v>
      </c>
      <c r="L1324" s="1">
        <v>11.4</v>
      </c>
      <c r="M1324" s="2">
        <v>5</v>
      </c>
      <c r="N1324" s="2" t="str" cm="1">
        <f t="array" ref="N1324">_xlfn.IFS(Table1[[#This Row],[quality]]&lt;=4,"Low",Table1[[#This Row],[quality]]&lt;=6,"Medium",Table1[[#This Row],[quality]]&gt;=7,"High")</f>
        <v>Medium</v>
      </c>
      <c r="O1324" s="2" t="str">
        <f>IF(AND(Table1[[#This Row],[fixed acidity]]&gt;Sheet1!$C$4,Table1[[#This Row],[pH]]&lt;Sheet1!$K$4),"High","Normal")</f>
        <v>High</v>
      </c>
      <c r="P1324" s="1">
        <f>(Table1[[#This Row],[alcohol]]*2)+(Table1[[#This Row],[sulphates]]*1.5)-(Table1[[#This Row],[volatile acidity]]*2)</f>
        <v>22.945</v>
      </c>
      <c r="Q1324" s="1">
        <f>RANK(Table1[[#This Row],[Quality_score_index]],Table1[Quality_score_index],0)</f>
        <v>281</v>
      </c>
      <c r="R1324" s="1">
        <f>Table1[[#This Row],[total sulfur dioxide]]-Table1[[#This Row],[free sulfur dioxide]]</f>
        <v>9</v>
      </c>
      <c r="S1324" s="1" t="str">
        <f>IF(AND(Table1[[#This Row],[pH]]&gt;=3.2,Table1[[#This Row],[alcohol]]&gt;=10),"White wine","Red wine")</f>
        <v>Red wine</v>
      </c>
    </row>
    <row r="1325" spans="1:19" x14ac:dyDescent="0.3">
      <c r="A1325" s="13">
        <v>1324</v>
      </c>
      <c r="B1325" s="1">
        <v>9.1</v>
      </c>
      <c r="C1325" s="1">
        <v>0.36</v>
      </c>
      <c r="D1325" s="1">
        <v>0.39</v>
      </c>
      <c r="E1325" s="1">
        <v>1.8</v>
      </c>
      <c r="F1325" s="1">
        <v>0.06</v>
      </c>
      <c r="G1325" s="1">
        <v>21</v>
      </c>
      <c r="H1325" s="1">
        <v>55</v>
      </c>
      <c r="I1325" s="1">
        <v>0.99495</v>
      </c>
      <c r="J1325" s="1">
        <v>3.18</v>
      </c>
      <c r="K1325" s="1">
        <v>0.82</v>
      </c>
      <c r="L1325" s="1">
        <v>11</v>
      </c>
      <c r="M1325" s="2">
        <v>7</v>
      </c>
      <c r="N1325" s="2" t="str" cm="1">
        <f t="array" ref="N1325">_xlfn.IFS(Table1[[#This Row],[quality]]&lt;=4,"Low",Table1[[#This Row],[quality]]&lt;=6,"Medium",Table1[[#This Row],[quality]]&gt;=7,"High")</f>
        <v>High</v>
      </c>
      <c r="O1325" s="2" t="str">
        <f>IF(AND(Table1[[#This Row],[fixed acidity]]&gt;Sheet1!$C$4,Table1[[#This Row],[pH]]&lt;Sheet1!$K$4),"High","Normal")</f>
        <v>High</v>
      </c>
      <c r="P1325" s="1">
        <f>(Table1[[#This Row],[alcohol]]*2)+(Table1[[#This Row],[sulphates]]*1.5)-(Table1[[#This Row],[volatile acidity]]*2)</f>
        <v>22.51</v>
      </c>
      <c r="Q1325" s="1">
        <f>RANK(Table1[[#This Row],[Quality_score_index]],Table1[Quality_score_index],0)</f>
        <v>365</v>
      </c>
      <c r="R1325" s="1">
        <f>Table1[[#This Row],[total sulfur dioxide]]-Table1[[#This Row],[free sulfur dioxide]]</f>
        <v>34</v>
      </c>
      <c r="S1325" s="1" t="str">
        <f>IF(AND(Table1[[#This Row],[pH]]&gt;=3.2,Table1[[#This Row],[alcohol]]&gt;=10),"White wine","Red wine")</f>
        <v>Red wine</v>
      </c>
    </row>
    <row r="1326" spans="1:19" x14ac:dyDescent="0.3">
      <c r="A1326" s="13">
        <v>1325</v>
      </c>
      <c r="B1326" s="1">
        <v>6.7</v>
      </c>
      <c r="C1326" s="1">
        <v>0.46</v>
      </c>
      <c r="D1326" s="1">
        <v>0.24</v>
      </c>
      <c r="E1326" s="1">
        <v>1.7</v>
      </c>
      <c r="F1326" s="1">
        <v>7.6999999999999999E-2</v>
      </c>
      <c r="G1326" s="1">
        <v>18</v>
      </c>
      <c r="H1326" s="1">
        <v>34</v>
      </c>
      <c r="I1326" s="1">
        <v>0.99480000000000002</v>
      </c>
      <c r="J1326" s="1">
        <v>3.39</v>
      </c>
      <c r="K1326" s="1">
        <v>0.6</v>
      </c>
      <c r="L1326" s="1">
        <v>10.6</v>
      </c>
      <c r="M1326" s="2">
        <v>6</v>
      </c>
      <c r="N1326" s="2" t="str" cm="1">
        <f t="array" ref="N1326">_xlfn.IFS(Table1[[#This Row],[quality]]&lt;=4,"Low",Table1[[#This Row],[quality]]&lt;=6,"Medium",Table1[[#This Row],[quality]]&gt;=7,"High")</f>
        <v>Medium</v>
      </c>
      <c r="O1326" s="2" t="str">
        <f>IF(AND(Table1[[#This Row],[fixed acidity]]&gt;Sheet1!$C$4,Table1[[#This Row],[pH]]&lt;Sheet1!$K$4),"High","Normal")</f>
        <v>Normal</v>
      </c>
      <c r="P1326" s="1">
        <f>(Table1[[#This Row],[alcohol]]*2)+(Table1[[#This Row],[sulphates]]*1.5)-(Table1[[#This Row],[volatile acidity]]*2)</f>
        <v>21.179999999999996</v>
      </c>
      <c r="Q1326" s="1">
        <f>RANK(Table1[[#This Row],[Quality_score_index]],Table1[Quality_score_index],0)</f>
        <v>615</v>
      </c>
      <c r="R1326" s="1">
        <f>Table1[[#This Row],[total sulfur dioxide]]-Table1[[#This Row],[free sulfur dioxide]]</f>
        <v>16</v>
      </c>
      <c r="S1326" s="1" t="str">
        <f>IF(AND(Table1[[#This Row],[pH]]&gt;=3.2,Table1[[#This Row],[alcohol]]&gt;=10),"White wine","Red wine")</f>
        <v>White wine</v>
      </c>
    </row>
    <row r="1327" spans="1:19" x14ac:dyDescent="0.3">
      <c r="A1327" s="13">
        <v>1326</v>
      </c>
      <c r="B1327" s="1">
        <v>6.7</v>
      </c>
      <c r="C1327" s="1">
        <v>0.46</v>
      </c>
      <c r="D1327" s="1">
        <v>0.24</v>
      </c>
      <c r="E1327" s="1">
        <v>1.7</v>
      </c>
      <c r="F1327" s="1">
        <v>7.6999999999999999E-2</v>
      </c>
      <c r="G1327" s="1">
        <v>18</v>
      </c>
      <c r="H1327" s="1">
        <v>34</v>
      </c>
      <c r="I1327" s="1">
        <v>0.99480000000000002</v>
      </c>
      <c r="J1327" s="1">
        <v>3.39</v>
      </c>
      <c r="K1327" s="1">
        <v>0.6</v>
      </c>
      <c r="L1327" s="1">
        <v>10.6</v>
      </c>
      <c r="M1327" s="2">
        <v>6</v>
      </c>
      <c r="N1327" s="2" t="str" cm="1">
        <f t="array" ref="N1327">_xlfn.IFS(Table1[[#This Row],[quality]]&lt;=4,"Low",Table1[[#This Row],[quality]]&lt;=6,"Medium",Table1[[#This Row],[quality]]&gt;=7,"High")</f>
        <v>Medium</v>
      </c>
      <c r="O1327" s="2" t="str">
        <f>IF(AND(Table1[[#This Row],[fixed acidity]]&gt;Sheet1!$C$4,Table1[[#This Row],[pH]]&lt;Sheet1!$K$4),"High","Normal")</f>
        <v>Normal</v>
      </c>
      <c r="P1327" s="1">
        <f>(Table1[[#This Row],[alcohol]]*2)+(Table1[[#This Row],[sulphates]]*1.5)-(Table1[[#This Row],[volatile acidity]]*2)</f>
        <v>21.179999999999996</v>
      </c>
      <c r="Q1327" s="1">
        <f>RANK(Table1[[#This Row],[Quality_score_index]],Table1[Quality_score_index],0)</f>
        <v>615</v>
      </c>
      <c r="R1327" s="1">
        <f>Table1[[#This Row],[total sulfur dioxide]]-Table1[[#This Row],[free sulfur dioxide]]</f>
        <v>16</v>
      </c>
      <c r="S1327" s="1" t="str">
        <f>IF(AND(Table1[[#This Row],[pH]]&gt;=3.2,Table1[[#This Row],[alcohol]]&gt;=10),"White wine","Red wine")</f>
        <v>White wine</v>
      </c>
    </row>
    <row r="1328" spans="1:19" x14ac:dyDescent="0.3">
      <c r="A1328" s="13">
        <v>1327</v>
      </c>
      <c r="B1328" s="1">
        <v>6.7</v>
      </c>
      <c r="C1328" s="1">
        <v>0.46</v>
      </c>
      <c r="D1328" s="1">
        <v>0.24</v>
      </c>
      <c r="E1328" s="1">
        <v>1.7</v>
      </c>
      <c r="F1328" s="1">
        <v>7.6999999999999999E-2</v>
      </c>
      <c r="G1328" s="1">
        <v>18</v>
      </c>
      <c r="H1328" s="1">
        <v>34</v>
      </c>
      <c r="I1328" s="1">
        <v>0.99480000000000002</v>
      </c>
      <c r="J1328" s="1">
        <v>3.39</v>
      </c>
      <c r="K1328" s="1">
        <v>0.6</v>
      </c>
      <c r="L1328" s="1">
        <v>10.6</v>
      </c>
      <c r="M1328" s="2">
        <v>6</v>
      </c>
      <c r="N1328" s="2" t="str" cm="1">
        <f t="array" ref="N1328">_xlfn.IFS(Table1[[#This Row],[quality]]&lt;=4,"Low",Table1[[#This Row],[quality]]&lt;=6,"Medium",Table1[[#This Row],[quality]]&gt;=7,"High")</f>
        <v>Medium</v>
      </c>
      <c r="O1328" s="2" t="str">
        <f>IF(AND(Table1[[#This Row],[fixed acidity]]&gt;Sheet1!$C$4,Table1[[#This Row],[pH]]&lt;Sheet1!$K$4),"High","Normal")</f>
        <v>Normal</v>
      </c>
      <c r="P1328" s="1">
        <f>(Table1[[#This Row],[alcohol]]*2)+(Table1[[#This Row],[sulphates]]*1.5)-(Table1[[#This Row],[volatile acidity]]*2)</f>
        <v>21.179999999999996</v>
      </c>
      <c r="Q1328" s="1">
        <f>RANK(Table1[[#This Row],[Quality_score_index]],Table1[Quality_score_index],0)</f>
        <v>615</v>
      </c>
      <c r="R1328" s="1">
        <f>Table1[[#This Row],[total sulfur dioxide]]-Table1[[#This Row],[free sulfur dioxide]]</f>
        <v>16</v>
      </c>
      <c r="S1328" s="1" t="str">
        <f>IF(AND(Table1[[#This Row],[pH]]&gt;=3.2,Table1[[#This Row],[alcohol]]&gt;=10),"White wine","Red wine")</f>
        <v>White wine</v>
      </c>
    </row>
    <row r="1329" spans="1:19" x14ac:dyDescent="0.3">
      <c r="A1329" s="13">
        <v>1328</v>
      </c>
      <c r="B1329" s="1">
        <v>6.7</v>
      </c>
      <c r="C1329" s="1">
        <v>0.46</v>
      </c>
      <c r="D1329" s="1">
        <v>0.24</v>
      </c>
      <c r="E1329" s="1">
        <v>1.7</v>
      </c>
      <c r="F1329" s="1">
        <v>7.6999999999999999E-2</v>
      </c>
      <c r="G1329" s="1">
        <v>18</v>
      </c>
      <c r="H1329" s="1">
        <v>34</v>
      </c>
      <c r="I1329" s="1">
        <v>0.99480000000000002</v>
      </c>
      <c r="J1329" s="1">
        <v>3.39</v>
      </c>
      <c r="K1329" s="1">
        <v>0.6</v>
      </c>
      <c r="L1329" s="1">
        <v>10.6</v>
      </c>
      <c r="M1329" s="2">
        <v>6</v>
      </c>
      <c r="N1329" s="2" t="str" cm="1">
        <f t="array" ref="N1329">_xlfn.IFS(Table1[[#This Row],[quality]]&lt;=4,"Low",Table1[[#This Row],[quality]]&lt;=6,"Medium",Table1[[#This Row],[quality]]&gt;=7,"High")</f>
        <v>Medium</v>
      </c>
      <c r="O1329" s="2" t="str">
        <f>IF(AND(Table1[[#This Row],[fixed acidity]]&gt;Sheet1!$C$4,Table1[[#This Row],[pH]]&lt;Sheet1!$K$4),"High","Normal")</f>
        <v>Normal</v>
      </c>
      <c r="P1329" s="1">
        <f>(Table1[[#This Row],[alcohol]]*2)+(Table1[[#This Row],[sulphates]]*1.5)-(Table1[[#This Row],[volatile acidity]]*2)</f>
        <v>21.179999999999996</v>
      </c>
      <c r="Q1329" s="1">
        <f>RANK(Table1[[#This Row],[Quality_score_index]],Table1[Quality_score_index],0)</f>
        <v>615</v>
      </c>
      <c r="R1329" s="1">
        <f>Table1[[#This Row],[total sulfur dioxide]]-Table1[[#This Row],[free sulfur dioxide]]</f>
        <v>16</v>
      </c>
      <c r="S1329" s="1" t="str">
        <f>IF(AND(Table1[[#This Row],[pH]]&gt;=3.2,Table1[[#This Row],[alcohol]]&gt;=10),"White wine","Red wine")</f>
        <v>White wine</v>
      </c>
    </row>
    <row r="1330" spans="1:19" x14ac:dyDescent="0.3">
      <c r="A1330" s="13">
        <v>1329</v>
      </c>
      <c r="B1330" s="1">
        <v>6.5</v>
      </c>
      <c r="C1330" s="1">
        <v>0.52</v>
      </c>
      <c r="D1330" s="1">
        <v>0.11</v>
      </c>
      <c r="E1330" s="1">
        <v>1.8</v>
      </c>
      <c r="F1330" s="1">
        <v>7.2999999999999995E-2</v>
      </c>
      <c r="G1330" s="1">
        <v>13</v>
      </c>
      <c r="H1330" s="1">
        <v>38</v>
      </c>
      <c r="I1330" s="1">
        <v>0.99550000000000005</v>
      </c>
      <c r="J1330" s="1">
        <v>3.34</v>
      </c>
      <c r="K1330" s="1">
        <v>0.52</v>
      </c>
      <c r="L1330" s="1">
        <v>9.3000000000000007</v>
      </c>
      <c r="M1330" s="2">
        <v>5</v>
      </c>
      <c r="N1330" s="2" t="str" cm="1">
        <f t="array" ref="N1330">_xlfn.IFS(Table1[[#This Row],[quality]]&lt;=4,"Low",Table1[[#This Row],[quality]]&lt;=6,"Medium",Table1[[#This Row],[quality]]&gt;=7,"High")</f>
        <v>Medium</v>
      </c>
      <c r="O1330" s="2" t="str">
        <f>IF(AND(Table1[[#This Row],[fixed acidity]]&gt;Sheet1!$C$4,Table1[[#This Row],[pH]]&lt;Sheet1!$K$4),"High","Normal")</f>
        <v>Normal</v>
      </c>
      <c r="P1330" s="1">
        <f>(Table1[[#This Row],[alcohol]]*2)+(Table1[[#This Row],[sulphates]]*1.5)-(Table1[[#This Row],[volatile acidity]]*2)</f>
        <v>18.340000000000003</v>
      </c>
      <c r="Q1330" s="1">
        <f>RANK(Table1[[#This Row],[Quality_score_index]],Table1[Quality_score_index],0)</f>
        <v>1438</v>
      </c>
      <c r="R1330" s="1">
        <f>Table1[[#This Row],[total sulfur dioxide]]-Table1[[#This Row],[free sulfur dioxide]]</f>
        <v>25</v>
      </c>
      <c r="S1330" s="1" t="str">
        <f>IF(AND(Table1[[#This Row],[pH]]&gt;=3.2,Table1[[#This Row],[alcohol]]&gt;=10),"White wine","Red wine")</f>
        <v>Red wine</v>
      </c>
    </row>
    <row r="1331" spans="1:19" x14ac:dyDescent="0.3">
      <c r="A1331" s="13">
        <v>1330</v>
      </c>
      <c r="B1331" s="1">
        <v>7.4</v>
      </c>
      <c r="C1331" s="1">
        <v>0.6</v>
      </c>
      <c r="D1331" s="1">
        <v>0.26</v>
      </c>
      <c r="E1331" s="1">
        <v>2.1</v>
      </c>
      <c r="F1331" s="1">
        <v>8.3000000000000004E-2</v>
      </c>
      <c r="G1331" s="1">
        <v>17</v>
      </c>
      <c r="H1331" s="1">
        <v>91</v>
      </c>
      <c r="I1331" s="1">
        <v>0.99616000000000005</v>
      </c>
      <c r="J1331" s="1">
        <v>3.29</v>
      </c>
      <c r="K1331" s="1">
        <v>0.56000000000000005</v>
      </c>
      <c r="L1331" s="1">
        <v>9.8000000000000007</v>
      </c>
      <c r="M1331" s="2">
        <v>6</v>
      </c>
      <c r="N1331" s="2" t="str" cm="1">
        <f t="array" ref="N1331">_xlfn.IFS(Table1[[#This Row],[quality]]&lt;=4,"Low",Table1[[#This Row],[quality]]&lt;=6,"Medium",Table1[[#This Row],[quality]]&gt;=7,"High")</f>
        <v>Medium</v>
      </c>
      <c r="O1331" s="2" t="str">
        <f>IF(AND(Table1[[#This Row],[fixed acidity]]&gt;Sheet1!$C$4,Table1[[#This Row],[pH]]&lt;Sheet1!$K$4),"High","Normal")</f>
        <v>Normal</v>
      </c>
      <c r="P1331" s="1">
        <f>(Table1[[#This Row],[alcohol]]*2)+(Table1[[#This Row],[sulphates]]*1.5)-(Table1[[#This Row],[volatile acidity]]*2)</f>
        <v>19.240000000000002</v>
      </c>
      <c r="Q1331" s="1">
        <f>RANK(Table1[[#This Row],[Quality_score_index]],Table1[Quality_score_index],0)</f>
        <v>1058</v>
      </c>
      <c r="R1331" s="1">
        <f>Table1[[#This Row],[total sulfur dioxide]]-Table1[[#This Row],[free sulfur dioxide]]</f>
        <v>74</v>
      </c>
      <c r="S1331" s="1" t="str">
        <f>IF(AND(Table1[[#This Row],[pH]]&gt;=3.2,Table1[[#This Row],[alcohol]]&gt;=10),"White wine","Red wine")</f>
        <v>Red wine</v>
      </c>
    </row>
    <row r="1332" spans="1:19" x14ac:dyDescent="0.3">
      <c r="A1332" s="13">
        <v>1331</v>
      </c>
      <c r="B1332" s="1">
        <v>7.4</v>
      </c>
      <c r="C1332" s="1">
        <v>0.6</v>
      </c>
      <c r="D1332" s="1">
        <v>0.26</v>
      </c>
      <c r="E1332" s="1">
        <v>2.1</v>
      </c>
      <c r="F1332" s="1">
        <v>8.3000000000000004E-2</v>
      </c>
      <c r="G1332" s="1">
        <v>17</v>
      </c>
      <c r="H1332" s="1">
        <v>91</v>
      </c>
      <c r="I1332" s="1">
        <v>0.99616000000000005</v>
      </c>
      <c r="J1332" s="1">
        <v>3.29</v>
      </c>
      <c r="K1332" s="1">
        <v>0.56000000000000005</v>
      </c>
      <c r="L1332" s="1">
        <v>9.8000000000000007</v>
      </c>
      <c r="M1332" s="2">
        <v>6</v>
      </c>
      <c r="N1332" s="2" t="str" cm="1">
        <f t="array" ref="N1332">_xlfn.IFS(Table1[[#This Row],[quality]]&lt;=4,"Low",Table1[[#This Row],[quality]]&lt;=6,"Medium",Table1[[#This Row],[quality]]&gt;=7,"High")</f>
        <v>Medium</v>
      </c>
      <c r="O1332" s="2" t="str">
        <f>IF(AND(Table1[[#This Row],[fixed acidity]]&gt;Sheet1!$C$4,Table1[[#This Row],[pH]]&lt;Sheet1!$K$4),"High","Normal")</f>
        <v>Normal</v>
      </c>
      <c r="P1332" s="1">
        <f>(Table1[[#This Row],[alcohol]]*2)+(Table1[[#This Row],[sulphates]]*1.5)-(Table1[[#This Row],[volatile acidity]]*2)</f>
        <v>19.240000000000002</v>
      </c>
      <c r="Q1332" s="1">
        <f>RANK(Table1[[#This Row],[Quality_score_index]],Table1[Quality_score_index],0)</f>
        <v>1058</v>
      </c>
      <c r="R1332" s="1">
        <f>Table1[[#This Row],[total sulfur dioxide]]-Table1[[#This Row],[free sulfur dioxide]]</f>
        <v>74</v>
      </c>
      <c r="S1332" s="1" t="str">
        <f>IF(AND(Table1[[#This Row],[pH]]&gt;=3.2,Table1[[#This Row],[alcohol]]&gt;=10),"White wine","Red wine")</f>
        <v>Red wine</v>
      </c>
    </row>
    <row r="1333" spans="1:19" x14ac:dyDescent="0.3">
      <c r="A1333" s="13">
        <v>1332</v>
      </c>
      <c r="B1333" s="1">
        <v>7.8</v>
      </c>
      <c r="C1333" s="1">
        <v>0.87</v>
      </c>
      <c r="D1333" s="1">
        <v>0.26</v>
      </c>
      <c r="E1333" s="1">
        <v>3.8</v>
      </c>
      <c r="F1333" s="1">
        <v>0.107</v>
      </c>
      <c r="G1333" s="1">
        <v>31</v>
      </c>
      <c r="H1333" s="1">
        <v>67</v>
      </c>
      <c r="I1333" s="1">
        <v>0.99668000000000001</v>
      </c>
      <c r="J1333" s="1">
        <v>3.26</v>
      </c>
      <c r="K1333" s="1">
        <v>0.46</v>
      </c>
      <c r="L1333" s="1">
        <v>9.1999999999999993</v>
      </c>
      <c r="M1333" s="2">
        <v>5</v>
      </c>
      <c r="N1333" s="2" t="str" cm="1">
        <f t="array" ref="N1333">_xlfn.IFS(Table1[[#This Row],[quality]]&lt;=4,"Low",Table1[[#This Row],[quality]]&lt;=6,"Medium",Table1[[#This Row],[quality]]&gt;=7,"High")</f>
        <v>Medium</v>
      </c>
      <c r="O1333" s="2" t="str">
        <f>IF(AND(Table1[[#This Row],[fixed acidity]]&gt;Sheet1!$C$4,Table1[[#This Row],[pH]]&lt;Sheet1!$K$4),"High","Normal")</f>
        <v>Normal</v>
      </c>
      <c r="P1333" s="1">
        <f>(Table1[[#This Row],[alcohol]]*2)+(Table1[[#This Row],[sulphates]]*1.5)-(Table1[[#This Row],[volatile acidity]]*2)</f>
        <v>17.350000000000001</v>
      </c>
      <c r="Q1333" s="1">
        <f>RANK(Table1[[#This Row],[Quality_score_index]],Table1[Quality_score_index],0)</f>
        <v>1591</v>
      </c>
      <c r="R1333" s="1">
        <f>Table1[[#This Row],[total sulfur dioxide]]-Table1[[#This Row],[free sulfur dioxide]]</f>
        <v>36</v>
      </c>
      <c r="S1333" s="1" t="str">
        <f>IF(AND(Table1[[#This Row],[pH]]&gt;=3.2,Table1[[#This Row],[alcohol]]&gt;=10),"White wine","Red wine")</f>
        <v>Red wine</v>
      </c>
    </row>
    <row r="1334" spans="1:19" x14ac:dyDescent="0.3">
      <c r="A1334" s="13">
        <v>1333</v>
      </c>
      <c r="B1334" s="1">
        <v>8.4</v>
      </c>
      <c r="C1334" s="1">
        <v>0.39</v>
      </c>
      <c r="D1334" s="1">
        <v>0.1</v>
      </c>
      <c r="E1334" s="1">
        <v>1.7</v>
      </c>
      <c r="F1334" s="1">
        <v>7.4999999999999997E-2</v>
      </c>
      <c r="G1334" s="1">
        <v>6</v>
      </c>
      <c r="H1334" s="1">
        <v>25</v>
      </c>
      <c r="I1334" s="1">
        <v>0.99580999999999997</v>
      </c>
      <c r="J1334" s="1">
        <v>3.09</v>
      </c>
      <c r="K1334" s="1">
        <v>0.43</v>
      </c>
      <c r="L1334" s="1">
        <v>9.6999999999999993</v>
      </c>
      <c r="M1334" s="2">
        <v>6</v>
      </c>
      <c r="N1334" s="2" t="str" cm="1">
        <f t="array" ref="N1334">_xlfn.IFS(Table1[[#This Row],[quality]]&lt;=4,"Low",Table1[[#This Row],[quality]]&lt;=6,"Medium",Table1[[#This Row],[quality]]&gt;=7,"High")</f>
        <v>Medium</v>
      </c>
      <c r="O1334" s="2" t="str">
        <f>IF(AND(Table1[[#This Row],[fixed acidity]]&gt;Sheet1!$C$4,Table1[[#This Row],[pH]]&lt;Sheet1!$K$4),"High","Normal")</f>
        <v>High</v>
      </c>
      <c r="P1334" s="1">
        <f>(Table1[[#This Row],[alcohol]]*2)+(Table1[[#This Row],[sulphates]]*1.5)-(Table1[[#This Row],[volatile acidity]]*2)</f>
        <v>19.264999999999997</v>
      </c>
      <c r="Q1334" s="1">
        <f>RANK(Table1[[#This Row],[Quality_score_index]],Table1[Quality_score_index],0)</f>
        <v>1055</v>
      </c>
      <c r="R1334" s="1">
        <f>Table1[[#This Row],[total sulfur dioxide]]-Table1[[#This Row],[free sulfur dioxide]]</f>
        <v>19</v>
      </c>
      <c r="S1334" s="1" t="str">
        <f>IF(AND(Table1[[#This Row],[pH]]&gt;=3.2,Table1[[#This Row],[alcohol]]&gt;=10),"White wine","Red wine")</f>
        <v>Red wine</v>
      </c>
    </row>
    <row r="1335" spans="1:19" x14ac:dyDescent="0.3">
      <c r="A1335" s="13">
        <v>1334</v>
      </c>
      <c r="B1335" s="1">
        <v>9.1</v>
      </c>
      <c r="C1335" s="1">
        <v>0.77500000000000002</v>
      </c>
      <c r="D1335" s="1">
        <v>0.22</v>
      </c>
      <c r="E1335" s="1">
        <v>2.2000000000000002</v>
      </c>
      <c r="F1335" s="1">
        <v>7.9000000000000001E-2</v>
      </c>
      <c r="G1335" s="1">
        <v>12</v>
      </c>
      <c r="H1335" s="1">
        <v>48</v>
      </c>
      <c r="I1335" s="1">
        <v>0.99760000000000004</v>
      </c>
      <c r="J1335" s="1">
        <v>3.18</v>
      </c>
      <c r="K1335" s="1">
        <v>0.51</v>
      </c>
      <c r="L1335" s="1">
        <v>9.6</v>
      </c>
      <c r="M1335" s="2">
        <v>5</v>
      </c>
      <c r="N1335" s="2" t="str" cm="1">
        <f t="array" ref="N1335">_xlfn.IFS(Table1[[#This Row],[quality]]&lt;=4,"Low",Table1[[#This Row],[quality]]&lt;=6,"Medium",Table1[[#This Row],[quality]]&gt;=7,"High")</f>
        <v>Medium</v>
      </c>
      <c r="O1335" s="2" t="str">
        <f>IF(AND(Table1[[#This Row],[fixed acidity]]&gt;Sheet1!$C$4,Table1[[#This Row],[pH]]&lt;Sheet1!$K$4),"High","Normal")</f>
        <v>High</v>
      </c>
      <c r="P1335" s="1">
        <f>(Table1[[#This Row],[alcohol]]*2)+(Table1[[#This Row],[sulphates]]*1.5)-(Table1[[#This Row],[volatile acidity]]*2)</f>
        <v>18.414999999999999</v>
      </c>
      <c r="Q1335" s="1">
        <f>RANK(Table1[[#This Row],[Quality_score_index]],Table1[Quality_score_index],0)</f>
        <v>1410</v>
      </c>
      <c r="R1335" s="1">
        <f>Table1[[#This Row],[total sulfur dioxide]]-Table1[[#This Row],[free sulfur dioxide]]</f>
        <v>36</v>
      </c>
      <c r="S1335" s="1" t="str">
        <f>IF(AND(Table1[[#This Row],[pH]]&gt;=3.2,Table1[[#This Row],[alcohol]]&gt;=10),"White wine","Red wine")</f>
        <v>Red wine</v>
      </c>
    </row>
    <row r="1336" spans="1:19" x14ac:dyDescent="0.3">
      <c r="A1336" s="13">
        <v>1335</v>
      </c>
      <c r="B1336" s="1">
        <v>7.2</v>
      </c>
      <c r="C1336" s="1">
        <v>0.83499999999999996</v>
      </c>
      <c r="D1336" s="1">
        <v>0</v>
      </c>
      <c r="E1336" s="1">
        <v>2</v>
      </c>
      <c r="F1336" s="1">
        <v>0.16600000000000001</v>
      </c>
      <c r="G1336" s="1">
        <v>4</v>
      </c>
      <c r="H1336" s="1">
        <v>11</v>
      </c>
      <c r="I1336" s="1">
        <v>0.99607999999999997</v>
      </c>
      <c r="J1336" s="1">
        <v>3.39</v>
      </c>
      <c r="K1336" s="1">
        <v>0.52</v>
      </c>
      <c r="L1336" s="1">
        <v>10</v>
      </c>
      <c r="M1336" s="2">
        <v>5</v>
      </c>
      <c r="N1336" s="2" t="str" cm="1">
        <f t="array" ref="N1336">_xlfn.IFS(Table1[[#This Row],[quality]]&lt;=4,"Low",Table1[[#This Row],[quality]]&lt;=6,"Medium",Table1[[#This Row],[quality]]&gt;=7,"High")</f>
        <v>Medium</v>
      </c>
      <c r="O1336" s="2" t="str">
        <f>IF(AND(Table1[[#This Row],[fixed acidity]]&gt;Sheet1!$C$4,Table1[[#This Row],[pH]]&lt;Sheet1!$K$4),"High","Normal")</f>
        <v>Normal</v>
      </c>
      <c r="P1336" s="1">
        <f>(Table1[[#This Row],[alcohol]]*2)+(Table1[[#This Row],[sulphates]]*1.5)-(Table1[[#This Row],[volatile acidity]]*2)</f>
        <v>19.11</v>
      </c>
      <c r="Q1336" s="1">
        <f>RANK(Table1[[#This Row],[Quality_score_index]],Table1[Quality_score_index],0)</f>
        <v>1116</v>
      </c>
      <c r="R1336" s="1">
        <f>Table1[[#This Row],[total sulfur dioxide]]-Table1[[#This Row],[free sulfur dioxide]]</f>
        <v>7</v>
      </c>
      <c r="S1336" s="1" t="str">
        <f>IF(AND(Table1[[#This Row],[pH]]&gt;=3.2,Table1[[#This Row],[alcohol]]&gt;=10),"White wine","Red wine")</f>
        <v>White wine</v>
      </c>
    </row>
    <row r="1337" spans="1:19" x14ac:dyDescent="0.3">
      <c r="A1337" s="13">
        <v>1336</v>
      </c>
      <c r="B1337" s="1">
        <v>6.6</v>
      </c>
      <c r="C1337" s="1">
        <v>0.57999999999999996</v>
      </c>
      <c r="D1337" s="1">
        <v>0.02</v>
      </c>
      <c r="E1337" s="1">
        <v>2.4</v>
      </c>
      <c r="F1337" s="1">
        <v>6.9000000000000006E-2</v>
      </c>
      <c r="G1337" s="1">
        <v>19</v>
      </c>
      <c r="H1337" s="1">
        <v>40</v>
      </c>
      <c r="I1337" s="1">
        <v>0.99387000000000003</v>
      </c>
      <c r="J1337" s="1">
        <v>3.38</v>
      </c>
      <c r="K1337" s="1">
        <v>0.66</v>
      </c>
      <c r="L1337" s="1">
        <v>12.6</v>
      </c>
      <c r="M1337" s="2">
        <v>6</v>
      </c>
      <c r="N1337" s="2" t="str" cm="1">
        <f t="array" ref="N1337">_xlfn.IFS(Table1[[#This Row],[quality]]&lt;=4,"Low",Table1[[#This Row],[quality]]&lt;=6,"Medium",Table1[[#This Row],[quality]]&gt;=7,"High")</f>
        <v>Medium</v>
      </c>
      <c r="O1337" s="2" t="str">
        <f>IF(AND(Table1[[#This Row],[fixed acidity]]&gt;Sheet1!$C$4,Table1[[#This Row],[pH]]&lt;Sheet1!$K$4),"High","Normal")</f>
        <v>Normal</v>
      </c>
      <c r="P1337" s="1">
        <f>(Table1[[#This Row],[alcohol]]*2)+(Table1[[#This Row],[sulphates]]*1.5)-(Table1[[#This Row],[volatile acidity]]*2)</f>
        <v>25.029999999999998</v>
      </c>
      <c r="Q1337" s="1">
        <f>RANK(Table1[[#This Row],[Quality_score_index]],Table1[Quality_score_index],0)</f>
        <v>93</v>
      </c>
      <c r="R1337" s="1">
        <f>Table1[[#This Row],[total sulfur dioxide]]-Table1[[#This Row],[free sulfur dioxide]]</f>
        <v>21</v>
      </c>
      <c r="S1337" s="1" t="str">
        <f>IF(AND(Table1[[#This Row],[pH]]&gt;=3.2,Table1[[#This Row],[alcohol]]&gt;=10),"White wine","Red wine")</f>
        <v>White wine</v>
      </c>
    </row>
    <row r="1338" spans="1:19" x14ac:dyDescent="0.3">
      <c r="A1338" s="13">
        <v>1337</v>
      </c>
      <c r="B1338" s="1">
        <v>6</v>
      </c>
      <c r="C1338" s="1">
        <v>0.5</v>
      </c>
      <c r="D1338" s="1">
        <v>0</v>
      </c>
      <c r="E1338" s="1">
        <v>1.4</v>
      </c>
      <c r="F1338" s="1">
        <v>5.7000000000000002E-2</v>
      </c>
      <c r="G1338" s="1">
        <v>15</v>
      </c>
      <c r="H1338" s="1">
        <v>26</v>
      </c>
      <c r="I1338" s="1">
        <v>0.99448000000000003</v>
      </c>
      <c r="J1338" s="1">
        <v>3.36</v>
      </c>
      <c r="K1338" s="1">
        <v>0.45</v>
      </c>
      <c r="L1338" s="1">
        <v>9.5</v>
      </c>
      <c r="M1338" s="2">
        <v>5</v>
      </c>
      <c r="N1338" s="2" t="str" cm="1">
        <f t="array" ref="N1338">_xlfn.IFS(Table1[[#This Row],[quality]]&lt;=4,"Low",Table1[[#This Row],[quality]]&lt;=6,"Medium",Table1[[#This Row],[quality]]&gt;=7,"High")</f>
        <v>Medium</v>
      </c>
      <c r="O1338" s="2" t="str">
        <f>IF(AND(Table1[[#This Row],[fixed acidity]]&gt;Sheet1!$C$4,Table1[[#This Row],[pH]]&lt;Sheet1!$K$4),"High","Normal")</f>
        <v>Normal</v>
      </c>
      <c r="P1338" s="1">
        <f>(Table1[[#This Row],[alcohol]]*2)+(Table1[[#This Row],[sulphates]]*1.5)-(Table1[[#This Row],[volatile acidity]]*2)</f>
        <v>18.675000000000001</v>
      </c>
      <c r="Q1338" s="1">
        <f>RANK(Table1[[#This Row],[Quality_score_index]],Table1[Quality_score_index],0)</f>
        <v>1304</v>
      </c>
      <c r="R1338" s="1">
        <f>Table1[[#This Row],[total sulfur dioxide]]-Table1[[#This Row],[free sulfur dioxide]]</f>
        <v>11</v>
      </c>
      <c r="S1338" s="1" t="str">
        <f>IF(AND(Table1[[#This Row],[pH]]&gt;=3.2,Table1[[#This Row],[alcohol]]&gt;=10),"White wine","Red wine")</f>
        <v>Red wine</v>
      </c>
    </row>
    <row r="1339" spans="1:19" x14ac:dyDescent="0.3">
      <c r="A1339" s="13">
        <v>1338</v>
      </c>
      <c r="B1339" s="1">
        <v>6</v>
      </c>
      <c r="C1339" s="1">
        <v>0.5</v>
      </c>
      <c r="D1339" s="1">
        <v>0</v>
      </c>
      <c r="E1339" s="1">
        <v>1.4</v>
      </c>
      <c r="F1339" s="1">
        <v>5.7000000000000002E-2</v>
      </c>
      <c r="G1339" s="1">
        <v>15</v>
      </c>
      <c r="H1339" s="1">
        <v>26</v>
      </c>
      <c r="I1339" s="1">
        <v>0.99448000000000003</v>
      </c>
      <c r="J1339" s="1">
        <v>3.36</v>
      </c>
      <c r="K1339" s="1">
        <v>0.45</v>
      </c>
      <c r="L1339" s="1">
        <v>9.5</v>
      </c>
      <c r="M1339" s="2">
        <v>5</v>
      </c>
      <c r="N1339" s="2" t="str" cm="1">
        <f t="array" ref="N1339">_xlfn.IFS(Table1[[#This Row],[quality]]&lt;=4,"Low",Table1[[#This Row],[quality]]&lt;=6,"Medium",Table1[[#This Row],[quality]]&gt;=7,"High")</f>
        <v>Medium</v>
      </c>
      <c r="O1339" s="2" t="str">
        <f>IF(AND(Table1[[#This Row],[fixed acidity]]&gt;Sheet1!$C$4,Table1[[#This Row],[pH]]&lt;Sheet1!$K$4),"High","Normal")</f>
        <v>Normal</v>
      </c>
      <c r="P1339" s="1">
        <f>(Table1[[#This Row],[alcohol]]*2)+(Table1[[#This Row],[sulphates]]*1.5)-(Table1[[#This Row],[volatile acidity]]*2)</f>
        <v>18.675000000000001</v>
      </c>
      <c r="Q1339" s="1">
        <f>RANK(Table1[[#This Row],[Quality_score_index]],Table1[Quality_score_index],0)</f>
        <v>1304</v>
      </c>
      <c r="R1339" s="1">
        <f>Table1[[#This Row],[total sulfur dioxide]]-Table1[[#This Row],[free sulfur dioxide]]</f>
        <v>11</v>
      </c>
      <c r="S1339" s="1" t="str">
        <f>IF(AND(Table1[[#This Row],[pH]]&gt;=3.2,Table1[[#This Row],[alcohol]]&gt;=10),"White wine","Red wine")</f>
        <v>Red wine</v>
      </c>
    </row>
    <row r="1340" spans="1:19" x14ac:dyDescent="0.3">
      <c r="A1340" s="13">
        <v>1339</v>
      </c>
      <c r="B1340" s="1">
        <v>6</v>
      </c>
      <c r="C1340" s="1">
        <v>0.5</v>
      </c>
      <c r="D1340" s="1">
        <v>0</v>
      </c>
      <c r="E1340" s="1">
        <v>1.4</v>
      </c>
      <c r="F1340" s="1">
        <v>5.7000000000000002E-2</v>
      </c>
      <c r="G1340" s="1">
        <v>15</v>
      </c>
      <c r="H1340" s="1">
        <v>26</v>
      </c>
      <c r="I1340" s="1">
        <v>0.99448000000000003</v>
      </c>
      <c r="J1340" s="1">
        <v>3.36</v>
      </c>
      <c r="K1340" s="1">
        <v>0.45</v>
      </c>
      <c r="L1340" s="1">
        <v>9.5</v>
      </c>
      <c r="M1340" s="2">
        <v>5</v>
      </c>
      <c r="N1340" s="2" t="str" cm="1">
        <f t="array" ref="N1340">_xlfn.IFS(Table1[[#This Row],[quality]]&lt;=4,"Low",Table1[[#This Row],[quality]]&lt;=6,"Medium",Table1[[#This Row],[quality]]&gt;=7,"High")</f>
        <v>Medium</v>
      </c>
      <c r="O1340" s="2" t="str">
        <f>IF(AND(Table1[[#This Row],[fixed acidity]]&gt;Sheet1!$C$4,Table1[[#This Row],[pH]]&lt;Sheet1!$K$4),"High","Normal")</f>
        <v>Normal</v>
      </c>
      <c r="P1340" s="1">
        <f>(Table1[[#This Row],[alcohol]]*2)+(Table1[[#This Row],[sulphates]]*1.5)-(Table1[[#This Row],[volatile acidity]]*2)</f>
        <v>18.675000000000001</v>
      </c>
      <c r="Q1340" s="1">
        <f>RANK(Table1[[#This Row],[Quality_score_index]],Table1[Quality_score_index],0)</f>
        <v>1304</v>
      </c>
      <c r="R1340" s="1">
        <f>Table1[[#This Row],[total sulfur dioxide]]-Table1[[#This Row],[free sulfur dioxide]]</f>
        <v>11</v>
      </c>
      <c r="S1340" s="1" t="str">
        <f>IF(AND(Table1[[#This Row],[pH]]&gt;=3.2,Table1[[#This Row],[alcohol]]&gt;=10),"White wine","Red wine")</f>
        <v>Red wine</v>
      </c>
    </row>
    <row r="1341" spans="1:19" x14ac:dyDescent="0.3">
      <c r="A1341" s="13">
        <v>1340</v>
      </c>
      <c r="B1341" s="1">
        <v>7.5</v>
      </c>
      <c r="C1341" s="1">
        <v>0.51</v>
      </c>
      <c r="D1341" s="1">
        <v>0.02</v>
      </c>
      <c r="E1341" s="1">
        <v>1.7</v>
      </c>
      <c r="F1341" s="1">
        <v>8.4000000000000005E-2</v>
      </c>
      <c r="G1341" s="1">
        <v>13</v>
      </c>
      <c r="H1341" s="1">
        <v>31</v>
      </c>
      <c r="I1341" s="1">
        <v>0.99538000000000004</v>
      </c>
      <c r="J1341" s="1">
        <v>3.36</v>
      </c>
      <c r="K1341" s="1">
        <v>0.54</v>
      </c>
      <c r="L1341" s="1">
        <v>10.5</v>
      </c>
      <c r="M1341" s="2">
        <v>6</v>
      </c>
      <c r="N1341" s="2" t="str" cm="1">
        <f t="array" ref="N1341">_xlfn.IFS(Table1[[#This Row],[quality]]&lt;=4,"Low",Table1[[#This Row],[quality]]&lt;=6,"Medium",Table1[[#This Row],[quality]]&gt;=7,"High")</f>
        <v>Medium</v>
      </c>
      <c r="O1341" s="2" t="str">
        <f>IF(AND(Table1[[#This Row],[fixed acidity]]&gt;Sheet1!$C$4,Table1[[#This Row],[pH]]&lt;Sheet1!$K$4),"High","Normal")</f>
        <v>Normal</v>
      </c>
      <c r="P1341" s="1">
        <f>(Table1[[#This Row],[alcohol]]*2)+(Table1[[#This Row],[sulphates]]*1.5)-(Table1[[#This Row],[volatile acidity]]*2)</f>
        <v>20.79</v>
      </c>
      <c r="Q1341" s="1">
        <f>RANK(Table1[[#This Row],[Quality_score_index]],Table1[Quality_score_index],0)</f>
        <v>697</v>
      </c>
      <c r="R1341" s="1">
        <f>Table1[[#This Row],[total sulfur dioxide]]-Table1[[#This Row],[free sulfur dioxide]]</f>
        <v>18</v>
      </c>
      <c r="S1341" s="1" t="str">
        <f>IF(AND(Table1[[#This Row],[pH]]&gt;=3.2,Table1[[#This Row],[alcohol]]&gt;=10),"White wine","Red wine")</f>
        <v>White wine</v>
      </c>
    </row>
    <row r="1342" spans="1:19" x14ac:dyDescent="0.3">
      <c r="A1342" s="13">
        <v>1341</v>
      </c>
      <c r="B1342" s="1">
        <v>7.5</v>
      </c>
      <c r="C1342" s="1">
        <v>0.51</v>
      </c>
      <c r="D1342" s="1">
        <v>0.02</v>
      </c>
      <c r="E1342" s="1">
        <v>1.7</v>
      </c>
      <c r="F1342" s="1">
        <v>8.4000000000000005E-2</v>
      </c>
      <c r="G1342" s="1">
        <v>13</v>
      </c>
      <c r="H1342" s="1">
        <v>31</v>
      </c>
      <c r="I1342" s="1">
        <v>0.99538000000000004</v>
      </c>
      <c r="J1342" s="1">
        <v>3.36</v>
      </c>
      <c r="K1342" s="1">
        <v>0.54</v>
      </c>
      <c r="L1342" s="1">
        <v>10.5</v>
      </c>
      <c r="M1342" s="2">
        <v>6</v>
      </c>
      <c r="N1342" s="2" t="str" cm="1">
        <f t="array" ref="N1342">_xlfn.IFS(Table1[[#This Row],[quality]]&lt;=4,"Low",Table1[[#This Row],[quality]]&lt;=6,"Medium",Table1[[#This Row],[quality]]&gt;=7,"High")</f>
        <v>Medium</v>
      </c>
      <c r="O1342" s="2" t="str">
        <f>IF(AND(Table1[[#This Row],[fixed acidity]]&gt;Sheet1!$C$4,Table1[[#This Row],[pH]]&lt;Sheet1!$K$4),"High","Normal")</f>
        <v>Normal</v>
      </c>
      <c r="P1342" s="1">
        <f>(Table1[[#This Row],[alcohol]]*2)+(Table1[[#This Row],[sulphates]]*1.5)-(Table1[[#This Row],[volatile acidity]]*2)</f>
        <v>20.79</v>
      </c>
      <c r="Q1342" s="1">
        <f>RANK(Table1[[#This Row],[Quality_score_index]],Table1[Quality_score_index],0)</f>
        <v>697</v>
      </c>
      <c r="R1342" s="1">
        <f>Table1[[#This Row],[total sulfur dioxide]]-Table1[[#This Row],[free sulfur dioxide]]</f>
        <v>18</v>
      </c>
      <c r="S1342" s="1" t="str">
        <f>IF(AND(Table1[[#This Row],[pH]]&gt;=3.2,Table1[[#This Row],[alcohol]]&gt;=10),"White wine","Red wine")</f>
        <v>White wine</v>
      </c>
    </row>
    <row r="1343" spans="1:19" x14ac:dyDescent="0.3">
      <c r="A1343" s="13">
        <v>1342</v>
      </c>
      <c r="B1343" s="1">
        <v>7.5</v>
      </c>
      <c r="C1343" s="1">
        <v>0.51</v>
      </c>
      <c r="D1343" s="1">
        <v>0.02</v>
      </c>
      <c r="E1343" s="1">
        <v>1.7</v>
      </c>
      <c r="F1343" s="1">
        <v>8.4000000000000005E-2</v>
      </c>
      <c r="G1343" s="1">
        <v>13</v>
      </c>
      <c r="H1343" s="1">
        <v>31</v>
      </c>
      <c r="I1343" s="1">
        <v>0.99538000000000004</v>
      </c>
      <c r="J1343" s="1">
        <v>3.36</v>
      </c>
      <c r="K1343" s="1">
        <v>0.54</v>
      </c>
      <c r="L1343" s="1">
        <v>10.5</v>
      </c>
      <c r="M1343" s="2">
        <v>6</v>
      </c>
      <c r="N1343" s="2" t="str" cm="1">
        <f t="array" ref="N1343">_xlfn.IFS(Table1[[#This Row],[quality]]&lt;=4,"Low",Table1[[#This Row],[quality]]&lt;=6,"Medium",Table1[[#This Row],[quality]]&gt;=7,"High")</f>
        <v>Medium</v>
      </c>
      <c r="O1343" s="2" t="str">
        <f>IF(AND(Table1[[#This Row],[fixed acidity]]&gt;Sheet1!$C$4,Table1[[#This Row],[pH]]&lt;Sheet1!$K$4),"High","Normal")</f>
        <v>Normal</v>
      </c>
      <c r="P1343" s="1">
        <f>(Table1[[#This Row],[alcohol]]*2)+(Table1[[#This Row],[sulphates]]*1.5)-(Table1[[#This Row],[volatile acidity]]*2)</f>
        <v>20.79</v>
      </c>
      <c r="Q1343" s="1">
        <f>RANK(Table1[[#This Row],[Quality_score_index]],Table1[Quality_score_index],0)</f>
        <v>697</v>
      </c>
      <c r="R1343" s="1">
        <f>Table1[[#This Row],[total sulfur dioxide]]-Table1[[#This Row],[free sulfur dioxide]]</f>
        <v>18</v>
      </c>
      <c r="S1343" s="1" t="str">
        <f>IF(AND(Table1[[#This Row],[pH]]&gt;=3.2,Table1[[#This Row],[alcohol]]&gt;=10),"White wine","Red wine")</f>
        <v>White wine</v>
      </c>
    </row>
    <row r="1344" spans="1:19" x14ac:dyDescent="0.3">
      <c r="A1344" s="13">
        <v>1343</v>
      </c>
      <c r="B1344" s="1">
        <v>7.6</v>
      </c>
      <c r="C1344" s="1">
        <v>0.54</v>
      </c>
      <c r="D1344" s="1">
        <v>0.02</v>
      </c>
      <c r="E1344" s="1">
        <v>1.7</v>
      </c>
      <c r="F1344" s="1">
        <v>8.5000000000000006E-2</v>
      </c>
      <c r="G1344" s="1">
        <v>17</v>
      </c>
      <c r="H1344" s="1">
        <v>31</v>
      </c>
      <c r="I1344" s="1">
        <v>0.99589000000000005</v>
      </c>
      <c r="J1344" s="1">
        <v>3.37</v>
      </c>
      <c r="K1344" s="1">
        <v>0.51</v>
      </c>
      <c r="L1344" s="1">
        <v>10.4</v>
      </c>
      <c r="M1344" s="2">
        <v>6</v>
      </c>
      <c r="N1344" s="2" t="str" cm="1">
        <f t="array" ref="N1344">_xlfn.IFS(Table1[[#This Row],[quality]]&lt;=4,"Low",Table1[[#This Row],[quality]]&lt;=6,"Medium",Table1[[#This Row],[quality]]&gt;=7,"High")</f>
        <v>Medium</v>
      </c>
      <c r="O1344" s="2" t="str">
        <f>IF(AND(Table1[[#This Row],[fixed acidity]]&gt;Sheet1!$C$4,Table1[[#This Row],[pH]]&lt;Sheet1!$K$4),"High","Normal")</f>
        <v>Normal</v>
      </c>
      <c r="P1344" s="1">
        <f>(Table1[[#This Row],[alcohol]]*2)+(Table1[[#This Row],[sulphates]]*1.5)-(Table1[[#This Row],[volatile acidity]]*2)</f>
        <v>20.484999999999999</v>
      </c>
      <c r="Q1344" s="1">
        <f>RANK(Table1[[#This Row],[Quality_score_index]],Table1[Quality_score_index],0)</f>
        <v>756</v>
      </c>
      <c r="R1344" s="1">
        <f>Table1[[#This Row],[total sulfur dioxide]]-Table1[[#This Row],[free sulfur dioxide]]</f>
        <v>14</v>
      </c>
      <c r="S1344" s="1" t="str">
        <f>IF(AND(Table1[[#This Row],[pH]]&gt;=3.2,Table1[[#This Row],[alcohol]]&gt;=10),"White wine","Red wine")</f>
        <v>White wine</v>
      </c>
    </row>
    <row r="1345" spans="1:19" x14ac:dyDescent="0.3">
      <c r="A1345" s="13">
        <v>1344</v>
      </c>
      <c r="B1345" s="1">
        <v>7.5</v>
      </c>
      <c r="C1345" s="1">
        <v>0.51</v>
      </c>
      <c r="D1345" s="1">
        <v>0.02</v>
      </c>
      <c r="E1345" s="1">
        <v>1.7</v>
      </c>
      <c r="F1345" s="1">
        <v>8.4000000000000005E-2</v>
      </c>
      <c r="G1345" s="1">
        <v>13</v>
      </c>
      <c r="H1345" s="1">
        <v>31</v>
      </c>
      <c r="I1345" s="1">
        <v>0.99538000000000004</v>
      </c>
      <c r="J1345" s="1">
        <v>3.36</v>
      </c>
      <c r="K1345" s="1">
        <v>0.54</v>
      </c>
      <c r="L1345" s="1">
        <v>10.5</v>
      </c>
      <c r="M1345" s="2">
        <v>6</v>
      </c>
      <c r="N1345" s="2" t="str" cm="1">
        <f t="array" ref="N1345">_xlfn.IFS(Table1[[#This Row],[quality]]&lt;=4,"Low",Table1[[#This Row],[quality]]&lt;=6,"Medium",Table1[[#This Row],[quality]]&gt;=7,"High")</f>
        <v>Medium</v>
      </c>
      <c r="O1345" s="2" t="str">
        <f>IF(AND(Table1[[#This Row],[fixed acidity]]&gt;Sheet1!$C$4,Table1[[#This Row],[pH]]&lt;Sheet1!$K$4),"High","Normal")</f>
        <v>Normal</v>
      </c>
      <c r="P1345" s="1">
        <f>(Table1[[#This Row],[alcohol]]*2)+(Table1[[#This Row],[sulphates]]*1.5)-(Table1[[#This Row],[volatile acidity]]*2)</f>
        <v>20.79</v>
      </c>
      <c r="Q1345" s="1">
        <f>RANK(Table1[[#This Row],[Quality_score_index]],Table1[Quality_score_index],0)</f>
        <v>697</v>
      </c>
      <c r="R1345" s="1">
        <f>Table1[[#This Row],[total sulfur dioxide]]-Table1[[#This Row],[free sulfur dioxide]]</f>
        <v>18</v>
      </c>
      <c r="S1345" s="1" t="str">
        <f>IF(AND(Table1[[#This Row],[pH]]&gt;=3.2,Table1[[#This Row],[alcohol]]&gt;=10),"White wine","Red wine")</f>
        <v>White wine</v>
      </c>
    </row>
    <row r="1346" spans="1:19" x14ac:dyDescent="0.3">
      <c r="A1346" s="13">
        <v>1345</v>
      </c>
      <c r="B1346" s="1">
        <v>11.5</v>
      </c>
      <c r="C1346" s="1">
        <v>0.42</v>
      </c>
      <c r="D1346" s="1">
        <v>0.48</v>
      </c>
      <c r="E1346" s="1">
        <v>2.6</v>
      </c>
      <c r="F1346" s="1">
        <v>7.6999999999999999E-2</v>
      </c>
      <c r="G1346" s="1">
        <v>8</v>
      </c>
      <c r="H1346" s="1">
        <v>20</v>
      </c>
      <c r="I1346" s="1">
        <v>0.99851999999999996</v>
      </c>
      <c r="J1346" s="1">
        <v>3.09</v>
      </c>
      <c r="K1346" s="1">
        <v>0.53</v>
      </c>
      <c r="L1346" s="1">
        <v>11</v>
      </c>
      <c r="M1346" s="2">
        <v>5</v>
      </c>
      <c r="N1346" s="2" t="str" cm="1">
        <f t="array" ref="N1346">_xlfn.IFS(Table1[[#This Row],[quality]]&lt;=4,"Low",Table1[[#This Row],[quality]]&lt;=6,"Medium",Table1[[#This Row],[quality]]&gt;=7,"High")</f>
        <v>Medium</v>
      </c>
      <c r="O1346" s="2" t="str">
        <f>IF(AND(Table1[[#This Row],[fixed acidity]]&gt;Sheet1!$C$4,Table1[[#This Row],[pH]]&lt;Sheet1!$K$4),"High","Normal")</f>
        <v>High</v>
      </c>
      <c r="P1346" s="1">
        <f>(Table1[[#This Row],[alcohol]]*2)+(Table1[[#This Row],[sulphates]]*1.5)-(Table1[[#This Row],[volatile acidity]]*2)</f>
        <v>21.955000000000002</v>
      </c>
      <c r="Q1346" s="1">
        <f>RANK(Table1[[#This Row],[Quality_score_index]],Table1[Quality_score_index],0)</f>
        <v>461</v>
      </c>
      <c r="R1346" s="1">
        <f>Table1[[#This Row],[total sulfur dioxide]]-Table1[[#This Row],[free sulfur dioxide]]</f>
        <v>12</v>
      </c>
      <c r="S1346" s="1" t="str">
        <f>IF(AND(Table1[[#This Row],[pH]]&gt;=3.2,Table1[[#This Row],[alcohol]]&gt;=10),"White wine","Red wine")</f>
        <v>Red wine</v>
      </c>
    </row>
    <row r="1347" spans="1:19" x14ac:dyDescent="0.3">
      <c r="A1347" s="13">
        <v>1346</v>
      </c>
      <c r="B1347" s="1">
        <v>8.1999999999999993</v>
      </c>
      <c r="C1347" s="1">
        <v>0.44</v>
      </c>
      <c r="D1347" s="1">
        <v>0.24</v>
      </c>
      <c r="E1347" s="1">
        <v>2.2999999999999998</v>
      </c>
      <c r="F1347" s="1">
        <v>6.3E-2</v>
      </c>
      <c r="G1347" s="1">
        <v>10</v>
      </c>
      <c r="H1347" s="1">
        <v>28</v>
      </c>
      <c r="I1347" s="1">
        <v>0.99612999999999996</v>
      </c>
      <c r="J1347" s="1">
        <v>3.25</v>
      </c>
      <c r="K1347" s="1">
        <v>0.53</v>
      </c>
      <c r="L1347" s="1">
        <v>10.199999999999999</v>
      </c>
      <c r="M1347" s="2">
        <v>6</v>
      </c>
      <c r="N1347" s="2" t="str" cm="1">
        <f t="array" ref="N1347">_xlfn.IFS(Table1[[#This Row],[quality]]&lt;=4,"Low",Table1[[#This Row],[quality]]&lt;=6,"Medium",Table1[[#This Row],[quality]]&gt;=7,"High")</f>
        <v>Medium</v>
      </c>
      <c r="O1347" s="2" t="str">
        <f>IF(AND(Table1[[#This Row],[fixed acidity]]&gt;Sheet1!$C$4,Table1[[#This Row],[pH]]&lt;Sheet1!$K$4),"High","Normal")</f>
        <v>Normal</v>
      </c>
      <c r="P1347" s="1">
        <f>(Table1[[#This Row],[alcohol]]*2)+(Table1[[#This Row],[sulphates]]*1.5)-(Table1[[#This Row],[volatile acidity]]*2)</f>
        <v>20.315000000000001</v>
      </c>
      <c r="Q1347" s="1">
        <f>RANK(Table1[[#This Row],[Quality_score_index]],Table1[Quality_score_index],0)</f>
        <v>788</v>
      </c>
      <c r="R1347" s="1">
        <f>Table1[[#This Row],[total sulfur dioxide]]-Table1[[#This Row],[free sulfur dioxide]]</f>
        <v>18</v>
      </c>
      <c r="S1347" s="1" t="str">
        <f>IF(AND(Table1[[#This Row],[pH]]&gt;=3.2,Table1[[#This Row],[alcohol]]&gt;=10),"White wine","Red wine")</f>
        <v>White wine</v>
      </c>
    </row>
    <row r="1348" spans="1:19" x14ac:dyDescent="0.3">
      <c r="A1348" s="13">
        <v>1347</v>
      </c>
      <c r="B1348" s="1">
        <v>6.1</v>
      </c>
      <c r="C1348" s="1">
        <v>0.59</v>
      </c>
      <c r="D1348" s="1">
        <v>0.01</v>
      </c>
      <c r="E1348" s="1">
        <v>2.1</v>
      </c>
      <c r="F1348" s="1">
        <v>5.6000000000000001E-2</v>
      </c>
      <c r="G1348" s="1">
        <v>5</v>
      </c>
      <c r="H1348" s="1">
        <v>13</v>
      </c>
      <c r="I1348" s="1">
        <v>0.99472000000000005</v>
      </c>
      <c r="J1348" s="1">
        <v>3.52</v>
      </c>
      <c r="K1348" s="1">
        <v>0.56000000000000005</v>
      </c>
      <c r="L1348" s="1">
        <v>11.4</v>
      </c>
      <c r="M1348" s="2">
        <v>5</v>
      </c>
      <c r="N1348" s="2" t="str" cm="1">
        <f t="array" ref="N1348">_xlfn.IFS(Table1[[#This Row],[quality]]&lt;=4,"Low",Table1[[#This Row],[quality]]&lt;=6,"Medium",Table1[[#This Row],[quality]]&gt;=7,"High")</f>
        <v>Medium</v>
      </c>
      <c r="O1348" s="2" t="str">
        <f>IF(AND(Table1[[#This Row],[fixed acidity]]&gt;Sheet1!$C$4,Table1[[#This Row],[pH]]&lt;Sheet1!$K$4),"High","Normal")</f>
        <v>Normal</v>
      </c>
      <c r="P1348" s="1">
        <f>(Table1[[#This Row],[alcohol]]*2)+(Table1[[#This Row],[sulphates]]*1.5)-(Table1[[#This Row],[volatile acidity]]*2)</f>
        <v>22.46</v>
      </c>
      <c r="Q1348" s="1">
        <f>RANK(Table1[[#This Row],[Quality_score_index]],Table1[Quality_score_index],0)</f>
        <v>376</v>
      </c>
      <c r="R1348" s="1">
        <f>Table1[[#This Row],[total sulfur dioxide]]-Table1[[#This Row],[free sulfur dioxide]]</f>
        <v>8</v>
      </c>
      <c r="S1348" s="1" t="str">
        <f>IF(AND(Table1[[#This Row],[pH]]&gt;=3.2,Table1[[#This Row],[alcohol]]&gt;=10),"White wine","Red wine")</f>
        <v>White wine</v>
      </c>
    </row>
    <row r="1349" spans="1:19" x14ac:dyDescent="0.3">
      <c r="A1349" s="13">
        <v>1348</v>
      </c>
      <c r="B1349" s="1">
        <v>7.2</v>
      </c>
      <c r="C1349" s="1">
        <v>0.65500000000000003</v>
      </c>
      <c r="D1349" s="1">
        <v>0.03</v>
      </c>
      <c r="E1349" s="1">
        <v>1.8</v>
      </c>
      <c r="F1349" s="1">
        <v>7.8E-2</v>
      </c>
      <c r="G1349" s="1">
        <v>7</v>
      </c>
      <c r="H1349" s="1">
        <v>12</v>
      </c>
      <c r="I1349" s="1">
        <v>0.99587000000000003</v>
      </c>
      <c r="J1349" s="1">
        <v>3.34</v>
      </c>
      <c r="K1349" s="1">
        <v>0.39</v>
      </c>
      <c r="L1349" s="1">
        <v>9.5</v>
      </c>
      <c r="M1349" s="2">
        <v>5</v>
      </c>
      <c r="N1349" s="2" t="str" cm="1">
        <f t="array" ref="N1349">_xlfn.IFS(Table1[[#This Row],[quality]]&lt;=4,"Low",Table1[[#This Row],[quality]]&lt;=6,"Medium",Table1[[#This Row],[quality]]&gt;=7,"High")</f>
        <v>Medium</v>
      </c>
      <c r="O1349" s="2" t="str">
        <f>IF(AND(Table1[[#This Row],[fixed acidity]]&gt;Sheet1!$C$4,Table1[[#This Row],[pH]]&lt;Sheet1!$K$4),"High","Normal")</f>
        <v>Normal</v>
      </c>
      <c r="P1349" s="1">
        <f>(Table1[[#This Row],[alcohol]]*2)+(Table1[[#This Row],[sulphates]]*1.5)-(Table1[[#This Row],[volatile acidity]]*2)</f>
        <v>18.275000000000002</v>
      </c>
      <c r="Q1349" s="1">
        <f>RANK(Table1[[#This Row],[Quality_score_index]],Table1[Quality_score_index],0)</f>
        <v>1458</v>
      </c>
      <c r="R1349" s="1">
        <f>Table1[[#This Row],[total sulfur dioxide]]-Table1[[#This Row],[free sulfur dioxide]]</f>
        <v>5</v>
      </c>
      <c r="S1349" s="1" t="str">
        <f>IF(AND(Table1[[#This Row],[pH]]&gt;=3.2,Table1[[#This Row],[alcohol]]&gt;=10),"White wine","Red wine")</f>
        <v>Red wine</v>
      </c>
    </row>
    <row r="1350" spans="1:19" x14ac:dyDescent="0.3">
      <c r="A1350" s="13">
        <v>1349</v>
      </c>
      <c r="B1350" s="1">
        <v>7.2</v>
      </c>
      <c r="C1350" s="1">
        <v>0.65500000000000003</v>
      </c>
      <c r="D1350" s="1">
        <v>0.03</v>
      </c>
      <c r="E1350" s="1">
        <v>1.8</v>
      </c>
      <c r="F1350" s="1">
        <v>7.8E-2</v>
      </c>
      <c r="G1350" s="1">
        <v>7</v>
      </c>
      <c r="H1350" s="1">
        <v>12</v>
      </c>
      <c r="I1350" s="1">
        <v>0.99587000000000003</v>
      </c>
      <c r="J1350" s="1">
        <v>3.34</v>
      </c>
      <c r="K1350" s="1">
        <v>0.39</v>
      </c>
      <c r="L1350" s="1">
        <v>9.5</v>
      </c>
      <c r="M1350" s="2">
        <v>5</v>
      </c>
      <c r="N1350" s="2" t="str" cm="1">
        <f t="array" ref="N1350">_xlfn.IFS(Table1[[#This Row],[quality]]&lt;=4,"Low",Table1[[#This Row],[quality]]&lt;=6,"Medium",Table1[[#This Row],[quality]]&gt;=7,"High")</f>
        <v>Medium</v>
      </c>
      <c r="O1350" s="2" t="str">
        <f>IF(AND(Table1[[#This Row],[fixed acidity]]&gt;Sheet1!$C$4,Table1[[#This Row],[pH]]&lt;Sheet1!$K$4),"High","Normal")</f>
        <v>Normal</v>
      </c>
      <c r="P1350" s="1">
        <f>(Table1[[#This Row],[alcohol]]*2)+(Table1[[#This Row],[sulphates]]*1.5)-(Table1[[#This Row],[volatile acidity]]*2)</f>
        <v>18.275000000000002</v>
      </c>
      <c r="Q1350" s="1">
        <f>RANK(Table1[[#This Row],[Quality_score_index]],Table1[Quality_score_index],0)</f>
        <v>1458</v>
      </c>
      <c r="R1350" s="1">
        <f>Table1[[#This Row],[total sulfur dioxide]]-Table1[[#This Row],[free sulfur dioxide]]</f>
        <v>5</v>
      </c>
      <c r="S1350" s="1" t="str">
        <f>IF(AND(Table1[[#This Row],[pH]]&gt;=3.2,Table1[[#This Row],[alcohol]]&gt;=10),"White wine","Red wine")</f>
        <v>Red wine</v>
      </c>
    </row>
    <row r="1351" spans="1:19" x14ac:dyDescent="0.3">
      <c r="A1351" s="13">
        <v>1350</v>
      </c>
      <c r="B1351" s="1">
        <v>6.9</v>
      </c>
      <c r="C1351" s="1">
        <v>0.56999999999999995</v>
      </c>
      <c r="D1351" s="1">
        <v>0</v>
      </c>
      <c r="E1351" s="1">
        <v>2.8</v>
      </c>
      <c r="F1351" s="1">
        <v>8.1000000000000003E-2</v>
      </c>
      <c r="G1351" s="1">
        <v>21</v>
      </c>
      <c r="H1351" s="1">
        <v>41</v>
      </c>
      <c r="I1351" s="1">
        <v>0.99517999999999995</v>
      </c>
      <c r="J1351" s="1">
        <v>3.41</v>
      </c>
      <c r="K1351" s="1">
        <v>0.52</v>
      </c>
      <c r="L1351" s="1">
        <v>10.8</v>
      </c>
      <c r="M1351" s="2">
        <v>5</v>
      </c>
      <c r="N1351" s="2" t="str" cm="1">
        <f t="array" ref="N1351">_xlfn.IFS(Table1[[#This Row],[quality]]&lt;=4,"Low",Table1[[#This Row],[quality]]&lt;=6,"Medium",Table1[[#This Row],[quality]]&gt;=7,"High")</f>
        <v>Medium</v>
      </c>
      <c r="O1351" s="2" t="str">
        <f>IF(AND(Table1[[#This Row],[fixed acidity]]&gt;Sheet1!$C$4,Table1[[#This Row],[pH]]&lt;Sheet1!$K$4),"High","Normal")</f>
        <v>Normal</v>
      </c>
      <c r="P1351" s="1">
        <f>(Table1[[#This Row],[alcohol]]*2)+(Table1[[#This Row],[sulphates]]*1.5)-(Table1[[#This Row],[volatile acidity]]*2)</f>
        <v>21.240000000000002</v>
      </c>
      <c r="Q1351" s="1">
        <f>RANK(Table1[[#This Row],[Quality_score_index]],Table1[Quality_score_index],0)</f>
        <v>590</v>
      </c>
      <c r="R1351" s="1">
        <f>Table1[[#This Row],[total sulfur dioxide]]-Table1[[#This Row],[free sulfur dioxide]]</f>
        <v>20</v>
      </c>
      <c r="S1351" s="1" t="str">
        <f>IF(AND(Table1[[#This Row],[pH]]&gt;=3.2,Table1[[#This Row],[alcohol]]&gt;=10),"White wine","Red wine")</f>
        <v>White wine</v>
      </c>
    </row>
    <row r="1352" spans="1:19" x14ac:dyDescent="0.3">
      <c r="A1352" s="13">
        <v>1351</v>
      </c>
      <c r="B1352" s="1">
        <v>9</v>
      </c>
      <c r="C1352" s="1">
        <v>0.6</v>
      </c>
      <c r="D1352" s="1">
        <v>0.28999999999999998</v>
      </c>
      <c r="E1352" s="1">
        <v>2</v>
      </c>
      <c r="F1352" s="1">
        <v>6.9000000000000006E-2</v>
      </c>
      <c r="G1352" s="1">
        <v>32</v>
      </c>
      <c r="H1352" s="1">
        <v>73</v>
      </c>
      <c r="I1352" s="1">
        <v>0.99653999999999998</v>
      </c>
      <c r="J1352" s="1">
        <v>3.34</v>
      </c>
      <c r="K1352" s="1">
        <v>0.56999999999999995</v>
      </c>
      <c r="L1352" s="1">
        <v>10</v>
      </c>
      <c r="M1352" s="2">
        <v>5</v>
      </c>
      <c r="N1352" s="2" t="str" cm="1">
        <f t="array" ref="N1352">_xlfn.IFS(Table1[[#This Row],[quality]]&lt;=4,"Low",Table1[[#This Row],[quality]]&lt;=6,"Medium",Table1[[#This Row],[quality]]&gt;=7,"High")</f>
        <v>Medium</v>
      </c>
      <c r="O1352" s="2" t="str">
        <f>IF(AND(Table1[[#This Row],[fixed acidity]]&gt;Sheet1!$C$4,Table1[[#This Row],[pH]]&lt;Sheet1!$K$4),"High","Normal")</f>
        <v>Normal</v>
      </c>
      <c r="P1352" s="1">
        <f>(Table1[[#This Row],[alcohol]]*2)+(Table1[[#This Row],[sulphates]]*1.5)-(Table1[[#This Row],[volatile acidity]]*2)</f>
        <v>19.655000000000001</v>
      </c>
      <c r="Q1352" s="1">
        <f>RANK(Table1[[#This Row],[Quality_score_index]],Table1[Quality_score_index],0)</f>
        <v>936</v>
      </c>
      <c r="R1352" s="1">
        <f>Table1[[#This Row],[total sulfur dioxide]]-Table1[[#This Row],[free sulfur dioxide]]</f>
        <v>41</v>
      </c>
      <c r="S1352" s="1" t="str">
        <f>IF(AND(Table1[[#This Row],[pH]]&gt;=3.2,Table1[[#This Row],[alcohol]]&gt;=10),"White wine","Red wine")</f>
        <v>White wine</v>
      </c>
    </row>
    <row r="1353" spans="1:19" x14ac:dyDescent="0.3">
      <c r="A1353" s="13">
        <v>1352</v>
      </c>
      <c r="B1353" s="1">
        <v>7.2</v>
      </c>
      <c r="C1353" s="1">
        <v>0.62</v>
      </c>
      <c r="D1353" s="1">
        <v>0.01</v>
      </c>
      <c r="E1353" s="1">
        <v>2.2999999999999998</v>
      </c>
      <c r="F1353" s="1">
        <v>6.5000000000000002E-2</v>
      </c>
      <c r="G1353" s="1">
        <v>8</v>
      </c>
      <c r="H1353" s="1">
        <v>46</v>
      </c>
      <c r="I1353" s="1">
        <v>0.99331999999999998</v>
      </c>
      <c r="J1353" s="1">
        <v>3.32</v>
      </c>
      <c r="K1353" s="1">
        <v>0.51</v>
      </c>
      <c r="L1353" s="1">
        <v>11.8</v>
      </c>
      <c r="M1353" s="2">
        <v>6</v>
      </c>
      <c r="N1353" s="2" t="str" cm="1">
        <f t="array" ref="N1353">_xlfn.IFS(Table1[[#This Row],[quality]]&lt;=4,"Low",Table1[[#This Row],[quality]]&lt;=6,"Medium",Table1[[#This Row],[quality]]&gt;=7,"High")</f>
        <v>Medium</v>
      </c>
      <c r="O1353" s="2" t="str">
        <f>IF(AND(Table1[[#This Row],[fixed acidity]]&gt;Sheet1!$C$4,Table1[[#This Row],[pH]]&lt;Sheet1!$K$4),"High","Normal")</f>
        <v>Normal</v>
      </c>
      <c r="P1353" s="1">
        <f>(Table1[[#This Row],[alcohol]]*2)+(Table1[[#This Row],[sulphates]]*1.5)-(Table1[[#This Row],[volatile acidity]]*2)</f>
        <v>23.125000000000004</v>
      </c>
      <c r="Q1353" s="1">
        <f>RANK(Table1[[#This Row],[Quality_score_index]],Table1[Quality_score_index],0)</f>
        <v>256</v>
      </c>
      <c r="R1353" s="1">
        <f>Table1[[#This Row],[total sulfur dioxide]]-Table1[[#This Row],[free sulfur dioxide]]</f>
        <v>38</v>
      </c>
      <c r="S1353" s="1" t="str">
        <f>IF(AND(Table1[[#This Row],[pH]]&gt;=3.2,Table1[[#This Row],[alcohol]]&gt;=10),"White wine","Red wine")</f>
        <v>White wine</v>
      </c>
    </row>
    <row r="1354" spans="1:19" x14ac:dyDescent="0.3">
      <c r="A1354" s="13">
        <v>1353</v>
      </c>
      <c r="B1354" s="1">
        <v>7.6</v>
      </c>
      <c r="C1354" s="1">
        <v>0.64500000000000002</v>
      </c>
      <c r="D1354" s="1">
        <v>0.03</v>
      </c>
      <c r="E1354" s="1">
        <v>1.9</v>
      </c>
      <c r="F1354" s="1">
        <v>8.5999999999999993E-2</v>
      </c>
      <c r="G1354" s="1">
        <v>14</v>
      </c>
      <c r="H1354" s="1">
        <v>57</v>
      </c>
      <c r="I1354" s="1">
        <v>0.99690000000000001</v>
      </c>
      <c r="J1354" s="1">
        <v>3.37</v>
      </c>
      <c r="K1354" s="1">
        <v>0.46</v>
      </c>
      <c r="L1354" s="1">
        <v>10.3</v>
      </c>
      <c r="M1354" s="2">
        <v>5</v>
      </c>
      <c r="N1354" s="2" t="str" cm="1">
        <f t="array" ref="N1354">_xlfn.IFS(Table1[[#This Row],[quality]]&lt;=4,"Low",Table1[[#This Row],[quality]]&lt;=6,"Medium",Table1[[#This Row],[quality]]&gt;=7,"High")</f>
        <v>Medium</v>
      </c>
      <c r="O1354" s="2" t="str">
        <f>IF(AND(Table1[[#This Row],[fixed acidity]]&gt;Sheet1!$C$4,Table1[[#This Row],[pH]]&lt;Sheet1!$K$4),"High","Normal")</f>
        <v>Normal</v>
      </c>
      <c r="P1354" s="1">
        <f>(Table1[[#This Row],[alcohol]]*2)+(Table1[[#This Row],[sulphates]]*1.5)-(Table1[[#This Row],[volatile acidity]]*2)</f>
        <v>20.000000000000004</v>
      </c>
      <c r="Q1354" s="1">
        <f>RANK(Table1[[#This Row],[Quality_score_index]],Table1[Quality_score_index],0)</f>
        <v>854</v>
      </c>
      <c r="R1354" s="1">
        <f>Table1[[#This Row],[total sulfur dioxide]]-Table1[[#This Row],[free sulfur dioxide]]</f>
        <v>43</v>
      </c>
      <c r="S1354" s="1" t="str">
        <f>IF(AND(Table1[[#This Row],[pH]]&gt;=3.2,Table1[[#This Row],[alcohol]]&gt;=10),"White wine","Red wine")</f>
        <v>White wine</v>
      </c>
    </row>
    <row r="1355" spans="1:19" x14ac:dyDescent="0.3">
      <c r="A1355" s="13">
        <v>1354</v>
      </c>
      <c r="B1355" s="1">
        <v>7.6</v>
      </c>
      <c r="C1355" s="1">
        <v>0.64500000000000002</v>
      </c>
      <c r="D1355" s="1">
        <v>0.03</v>
      </c>
      <c r="E1355" s="1">
        <v>1.9</v>
      </c>
      <c r="F1355" s="1">
        <v>8.5999999999999993E-2</v>
      </c>
      <c r="G1355" s="1">
        <v>14</v>
      </c>
      <c r="H1355" s="1">
        <v>57</v>
      </c>
      <c r="I1355" s="1">
        <v>0.99690000000000001</v>
      </c>
      <c r="J1355" s="1">
        <v>3.37</v>
      </c>
      <c r="K1355" s="1">
        <v>0.46</v>
      </c>
      <c r="L1355" s="1">
        <v>10.3</v>
      </c>
      <c r="M1355" s="2">
        <v>5</v>
      </c>
      <c r="N1355" s="2" t="str" cm="1">
        <f t="array" ref="N1355">_xlfn.IFS(Table1[[#This Row],[quality]]&lt;=4,"Low",Table1[[#This Row],[quality]]&lt;=6,"Medium",Table1[[#This Row],[quality]]&gt;=7,"High")</f>
        <v>Medium</v>
      </c>
      <c r="O1355" s="2" t="str">
        <f>IF(AND(Table1[[#This Row],[fixed acidity]]&gt;Sheet1!$C$4,Table1[[#This Row],[pH]]&lt;Sheet1!$K$4),"High","Normal")</f>
        <v>Normal</v>
      </c>
      <c r="P1355" s="1">
        <f>(Table1[[#This Row],[alcohol]]*2)+(Table1[[#This Row],[sulphates]]*1.5)-(Table1[[#This Row],[volatile acidity]]*2)</f>
        <v>20.000000000000004</v>
      </c>
      <c r="Q1355" s="1">
        <f>RANK(Table1[[#This Row],[Quality_score_index]],Table1[Quality_score_index],0)</f>
        <v>854</v>
      </c>
      <c r="R1355" s="1">
        <f>Table1[[#This Row],[total sulfur dioxide]]-Table1[[#This Row],[free sulfur dioxide]]</f>
        <v>43</v>
      </c>
      <c r="S1355" s="1" t="str">
        <f>IF(AND(Table1[[#This Row],[pH]]&gt;=3.2,Table1[[#This Row],[alcohol]]&gt;=10),"White wine","Red wine")</f>
        <v>White wine</v>
      </c>
    </row>
    <row r="1356" spans="1:19" x14ac:dyDescent="0.3">
      <c r="A1356" s="13">
        <v>1355</v>
      </c>
      <c r="B1356" s="1">
        <v>7.2</v>
      </c>
      <c r="C1356" s="1">
        <v>0.57999999999999996</v>
      </c>
      <c r="D1356" s="1">
        <v>0.03</v>
      </c>
      <c r="E1356" s="1">
        <v>2.2999999999999998</v>
      </c>
      <c r="F1356" s="1">
        <v>7.6999999999999999E-2</v>
      </c>
      <c r="G1356" s="1">
        <v>7</v>
      </c>
      <c r="H1356" s="1">
        <v>28</v>
      </c>
      <c r="I1356" s="1">
        <v>0.99568000000000001</v>
      </c>
      <c r="J1356" s="1">
        <v>3.35</v>
      </c>
      <c r="K1356" s="1">
        <v>0.52</v>
      </c>
      <c r="L1356" s="1">
        <v>10</v>
      </c>
      <c r="M1356" s="2">
        <v>5</v>
      </c>
      <c r="N1356" s="2" t="str" cm="1">
        <f t="array" ref="N1356">_xlfn.IFS(Table1[[#This Row],[quality]]&lt;=4,"Low",Table1[[#This Row],[quality]]&lt;=6,"Medium",Table1[[#This Row],[quality]]&gt;=7,"High")</f>
        <v>Medium</v>
      </c>
      <c r="O1356" s="2" t="str">
        <f>IF(AND(Table1[[#This Row],[fixed acidity]]&gt;Sheet1!$C$4,Table1[[#This Row],[pH]]&lt;Sheet1!$K$4),"High","Normal")</f>
        <v>Normal</v>
      </c>
      <c r="P1356" s="1">
        <f>(Table1[[#This Row],[alcohol]]*2)+(Table1[[#This Row],[sulphates]]*1.5)-(Table1[[#This Row],[volatile acidity]]*2)</f>
        <v>19.62</v>
      </c>
      <c r="Q1356" s="1">
        <f>RANK(Table1[[#This Row],[Quality_score_index]],Table1[Quality_score_index],0)</f>
        <v>943</v>
      </c>
      <c r="R1356" s="1">
        <f>Table1[[#This Row],[total sulfur dioxide]]-Table1[[#This Row],[free sulfur dioxide]]</f>
        <v>21</v>
      </c>
      <c r="S1356" s="1" t="str">
        <f>IF(AND(Table1[[#This Row],[pH]]&gt;=3.2,Table1[[#This Row],[alcohol]]&gt;=10),"White wine","Red wine")</f>
        <v>White wine</v>
      </c>
    </row>
    <row r="1357" spans="1:19" x14ac:dyDescent="0.3">
      <c r="A1357" s="13">
        <v>1356</v>
      </c>
      <c r="B1357" s="1">
        <v>6.1</v>
      </c>
      <c r="C1357" s="1">
        <v>0.32</v>
      </c>
      <c r="D1357" s="1">
        <v>0.25</v>
      </c>
      <c r="E1357" s="1">
        <v>1.8</v>
      </c>
      <c r="F1357" s="1">
        <v>8.5999999999999993E-2</v>
      </c>
      <c r="G1357" s="1">
        <v>5</v>
      </c>
      <c r="H1357" s="1">
        <v>32</v>
      </c>
      <c r="I1357" s="1">
        <v>0.99463999999999997</v>
      </c>
      <c r="J1357" s="1">
        <v>3.36</v>
      </c>
      <c r="K1357" s="1">
        <v>0.44</v>
      </c>
      <c r="L1357" s="1">
        <v>10.1</v>
      </c>
      <c r="M1357" s="2">
        <v>5</v>
      </c>
      <c r="N1357" s="2" t="str" cm="1">
        <f t="array" ref="N1357">_xlfn.IFS(Table1[[#This Row],[quality]]&lt;=4,"Low",Table1[[#This Row],[quality]]&lt;=6,"Medium",Table1[[#This Row],[quality]]&gt;=7,"High")</f>
        <v>Medium</v>
      </c>
      <c r="O1357" s="2" t="str">
        <f>IF(AND(Table1[[#This Row],[fixed acidity]]&gt;Sheet1!$C$4,Table1[[#This Row],[pH]]&lt;Sheet1!$K$4),"High","Normal")</f>
        <v>Normal</v>
      </c>
      <c r="P1357" s="1">
        <f>(Table1[[#This Row],[alcohol]]*2)+(Table1[[#This Row],[sulphates]]*1.5)-(Table1[[#This Row],[volatile acidity]]*2)</f>
        <v>20.22</v>
      </c>
      <c r="Q1357" s="1">
        <f>RANK(Table1[[#This Row],[Quality_score_index]],Table1[Quality_score_index],0)</f>
        <v>809</v>
      </c>
      <c r="R1357" s="1">
        <f>Table1[[#This Row],[total sulfur dioxide]]-Table1[[#This Row],[free sulfur dioxide]]</f>
        <v>27</v>
      </c>
      <c r="S1357" s="1" t="str">
        <f>IF(AND(Table1[[#This Row],[pH]]&gt;=3.2,Table1[[#This Row],[alcohol]]&gt;=10),"White wine","Red wine")</f>
        <v>White wine</v>
      </c>
    </row>
    <row r="1358" spans="1:19" x14ac:dyDescent="0.3">
      <c r="A1358" s="13">
        <v>1357</v>
      </c>
      <c r="B1358" s="1">
        <v>6.1</v>
      </c>
      <c r="C1358" s="1">
        <v>0.34</v>
      </c>
      <c r="D1358" s="1">
        <v>0.25</v>
      </c>
      <c r="E1358" s="1">
        <v>1.8</v>
      </c>
      <c r="F1358" s="1">
        <v>8.4000000000000005E-2</v>
      </c>
      <c r="G1358" s="1">
        <v>4</v>
      </c>
      <c r="H1358" s="1">
        <v>28</v>
      </c>
      <c r="I1358" s="1">
        <v>0.99463999999999997</v>
      </c>
      <c r="J1358" s="1">
        <v>3.36</v>
      </c>
      <c r="K1358" s="1">
        <v>0.44</v>
      </c>
      <c r="L1358" s="1">
        <v>10.1</v>
      </c>
      <c r="M1358" s="2">
        <v>5</v>
      </c>
      <c r="N1358" s="2" t="str" cm="1">
        <f t="array" ref="N1358">_xlfn.IFS(Table1[[#This Row],[quality]]&lt;=4,"Low",Table1[[#This Row],[quality]]&lt;=6,"Medium",Table1[[#This Row],[quality]]&gt;=7,"High")</f>
        <v>Medium</v>
      </c>
      <c r="O1358" s="2" t="str">
        <f>IF(AND(Table1[[#This Row],[fixed acidity]]&gt;Sheet1!$C$4,Table1[[#This Row],[pH]]&lt;Sheet1!$K$4),"High","Normal")</f>
        <v>Normal</v>
      </c>
      <c r="P1358" s="1">
        <f>(Table1[[#This Row],[alcohol]]*2)+(Table1[[#This Row],[sulphates]]*1.5)-(Table1[[#This Row],[volatile acidity]]*2)</f>
        <v>20.18</v>
      </c>
      <c r="Q1358" s="1">
        <f>RANK(Table1[[#This Row],[Quality_score_index]],Table1[Quality_score_index],0)</f>
        <v>819</v>
      </c>
      <c r="R1358" s="1">
        <f>Table1[[#This Row],[total sulfur dioxide]]-Table1[[#This Row],[free sulfur dioxide]]</f>
        <v>24</v>
      </c>
      <c r="S1358" s="1" t="str">
        <f>IF(AND(Table1[[#This Row],[pH]]&gt;=3.2,Table1[[#This Row],[alcohol]]&gt;=10),"White wine","Red wine")</f>
        <v>White wine</v>
      </c>
    </row>
    <row r="1359" spans="1:19" x14ac:dyDescent="0.3">
      <c r="A1359" s="13">
        <v>1358</v>
      </c>
      <c r="B1359" s="1">
        <v>7.3</v>
      </c>
      <c r="C1359" s="1">
        <v>0.43</v>
      </c>
      <c r="D1359" s="1">
        <v>0.24</v>
      </c>
      <c r="E1359" s="1">
        <v>2.5</v>
      </c>
      <c r="F1359" s="1">
        <v>7.8E-2</v>
      </c>
      <c r="G1359" s="1">
        <v>27</v>
      </c>
      <c r="H1359" s="1">
        <v>67</v>
      </c>
      <c r="I1359" s="1">
        <v>0.99648000000000003</v>
      </c>
      <c r="J1359" s="1">
        <v>3.6</v>
      </c>
      <c r="K1359" s="1">
        <v>0.59</v>
      </c>
      <c r="L1359" s="1">
        <v>11.1</v>
      </c>
      <c r="M1359" s="2">
        <v>6</v>
      </c>
      <c r="N1359" s="2" t="str" cm="1">
        <f t="array" ref="N1359">_xlfn.IFS(Table1[[#This Row],[quality]]&lt;=4,"Low",Table1[[#This Row],[quality]]&lt;=6,"Medium",Table1[[#This Row],[quality]]&gt;=7,"High")</f>
        <v>Medium</v>
      </c>
      <c r="O1359" s="2" t="str">
        <f>IF(AND(Table1[[#This Row],[fixed acidity]]&gt;Sheet1!$C$4,Table1[[#This Row],[pH]]&lt;Sheet1!$K$4),"High","Normal")</f>
        <v>Normal</v>
      </c>
      <c r="P1359" s="1">
        <f>(Table1[[#This Row],[alcohol]]*2)+(Table1[[#This Row],[sulphates]]*1.5)-(Table1[[#This Row],[volatile acidity]]*2)</f>
        <v>22.225000000000001</v>
      </c>
      <c r="Q1359" s="1">
        <f>RANK(Table1[[#This Row],[Quality_score_index]],Table1[Quality_score_index],0)</f>
        <v>418</v>
      </c>
      <c r="R1359" s="1">
        <f>Table1[[#This Row],[total sulfur dioxide]]-Table1[[#This Row],[free sulfur dioxide]]</f>
        <v>40</v>
      </c>
      <c r="S1359" s="1" t="str">
        <f>IF(AND(Table1[[#This Row],[pH]]&gt;=3.2,Table1[[#This Row],[alcohol]]&gt;=10),"White wine","Red wine")</f>
        <v>White wine</v>
      </c>
    </row>
    <row r="1360" spans="1:19" x14ac:dyDescent="0.3">
      <c r="A1360" s="13">
        <v>1359</v>
      </c>
      <c r="B1360" s="1">
        <v>7.4</v>
      </c>
      <c r="C1360" s="1">
        <v>0.64</v>
      </c>
      <c r="D1360" s="1">
        <v>0.17</v>
      </c>
      <c r="E1360" s="1">
        <v>5.4</v>
      </c>
      <c r="F1360" s="1">
        <v>0.16800000000000001</v>
      </c>
      <c r="G1360" s="1">
        <v>52</v>
      </c>
      <c r="H1360" s="1">
        <v>98</v>
      </c>
      <c r="I1360" s="1">
        <v>0.99736000000000002</v>
      </c>
      <c r="J1360" s="1">
        <v>3.28</v>
      </c>
      <c r="K1360" s="1">
        <v>0.5</v>
      </c>
      <c r="L1360" s="1">
        <v>9.5</v>
      </c>
      <c r="M1360" s="2">
        <v>5</v>
      </c>
      <c r="N1360" s="2" t="str" cm="1">
        <f t="array" ref="N1360">_xlfn.IFS(Table1[[#This Row],[quality]]&lt;=4,"Low",Table1[[#This Row],[quality]]&lt;=6,"Medium",Table1[[#This Row],[quality]]&gt;=7,"High")</f>
        <v>Medium</v>
      </c>
      <c r="O1360" s="2" t="str">
        <f>IF(AND(Table1[[#This Row],[fixed acidity]]&gt;Sheet1!$C$4,Table1[[#This Row],[pH]]&lt;Sheet1!$K$4),"High","Normal")</f>
        <v>Normal</v>
      </c>
      <c r="P1360" s="1">
        <f>(Table1[[#This Row],[alcohol]]*2)+(Table1[[#This Row],[sulphates]]*1.5)-(Table1[[#This Row],[volatile acidity]]*2)</f>
        <v>18.47</v>
      </c>
      <c r="Q1360" s="1">
        <f>RANK(Table1[[#This Row],[Quality_score_index]],Table1[Quality_score_index],0)</f>
        <v>1384</v>
      </c>
      <c r="R1360" s="1">
        <f>Table1[[#This Row],[total sulfur dioxide]]-Table1[[#This Row],[free sulfur dioxide]]</f>
        <v>46</v>
      </c>
      <c r="S1360" s="1" t="str">
        <f>IF(AND(Table1[[#This Row],[pH]]&gt;=3.2,Table1[[#This Row],[alcohol]]&gt;=10),"White wine","Red wine")</f>
        <v>Red wine</v>
      </c>
    </row>
    <row r="1361" spans="1:19" x14ac:dyDescent="0.3">
      <c r="A1361" s="13">
        <v>1360</v>
      </c>
      <c r="B1361" s="1">
        <v>11.6</v>
      </c>
      <c r="C1361" s="1">
        <v>0.47499999999999998</v>
      </c>
      <c r="D1361" s="1">
        <v>0.4</v>
      </c>
      <c r="E1361" s="1">
        <v>1.4</v>
      </c>
      <c r="F1361" s="1">
        <v>9.0999999999999998E-2</v>
      </c>
      <c r="G1361" s="1">
        <v>6</v>
      </c>
      <c r="H1361" s="1">
        <v>28</v>
      </c>
      <c r="I1361" s="1">
        <v>0.99704000000000004</v>
      </c>
      <c r="J1361" s="1">
        <v>3.07</v>
      </c>
      <c r="K1361" s="1">
        <v>0.65</v>
      </c>
      <c r="L1361" s="1">
        <v>10.033333333333299</v>
      </c>
      <c r="M1361" s="2">
        <v>6</v>
      </c>
      <c r="N1361" s="2" t="str" cm="1">
        <f t="array" ref="N1361">_xlfn.IFS(Table1[[#This Row],[quality]]&lt;=4,"Low",Table1[[#This Row],[quality]]&lt;=6,"Medium",Table1[[#This Row],[quality]]&gt;=7,"High")</f>
        <v>Medium</v>
      </c>
      <c r="O1361" s="2" t="str">
        <f>IF(AND(Table1[[#This Row],[fixed acidity]]&gt;Sheet1!$C$4,Table1[[#This Row],[pH]]&lt;Sheet1!$K$4),"High","Normal")</f>
        <v>High</v>
      </c>
      <c r="P1361" s="1">
        <f>(Table1[[#This Row],[alcohol]]*2)+(Table1[[#This Row],[sulphates]]*1.5)-(Table1[[#This Row],[volatile acidity]]*2)</f>
        <v>20.091666666666601</v>
      </c>
      <c r="Q1361" s="1">
        <f>RANK(Table1[[#This Row],[Quality_score_index]],Table1[Quality_score_index],0)</f>
        <v>841</v>
      </c>
      <c r="R1361" s="1">
        <f>Table1[[#This Row],[total sulfur dioxide]]-Table1[[#This Row],[free sulfur dioxide]]</f>
        <v>22</v>
      </c>
      <c r="S1361" s="1" t="str">
        <f>IF(AND(Table1[[#This Row],[pH]]&gt;=3.2,Table1[[#This Row],[alcohol]]&gt;=10),"White wine","Red wine")</f>
        <v>Red wine</v>
      </c>
    </row>
    <row r="1362" spans="1:19" x14ac:dyDescent="0.3">
      <c r="A1362" s="13">
        <v>1361</v>
      </c>
      <c r="B1362" s="1">
        <v>9.1999999999999993</v>
      </c>
      <c r="C1362" s="1">
        <v>0.54</v>
      </c>
      <c r="D1362" s="1">
        <v>0.31</v>
      </c>
      <c r="E1362" s="1">
        <v>2.2999999999999998</v>
      </c>
      <c r="F1362" s="1">
        <v>0.112</v>
      </c>
      <c r="G1362" s="1">
        <v>11</v>
      </c>
      <c r="H1362" s="1">
        <v>38</v>
      </c>
      <c r="I1362" s="1">
        <v>0.99699000000000004</v>
      </c>
      <c r="J1362" s="1">
        <v>3.24</v>
      </c>
      <c r="K1362" s="1">
        <v>0.56000000000000005</v>
      </c>
      <c r="L1362" s="1">
        <v>10.9</v>
      </c>
      <c r="M1362" s="2">
        <v>5</v>
      </c>
      <c r="N1362" s="2" t="str" cm="1">
        <f t="array" ref="N1362">_xlfn.IFS(Table1[[#This Row],[quality]]&lt;=4,"Low",Table1[[#This Row],[quality]]&lt;=6,"Medium",Table1[[#This Row],[quality]]&gt;=7,"High")</f>
        <v>Medium</v>
      </c>
      <c r="O1362" s="2" t="str">
        <f>IF(AND(Table1[[#This Row],[fixed acidity]]&gt;Sheet1!$C$4,Table1[[#This Row],[pH]]&lt;Sheet1!$K$4),"High","Normal")</f>
        <v>High</v>
      </c>
      <c r="P1362" s="1">
        <f>(Table1[[#This Row],[alcohol]]*2)+(Table1[[#This Row],[sulphates]]*1.5)-(Table1[[#This Row],[volatile acidity]]*2)</f>
        <v>21.560000000000002</v>
      </c>
      <c r="Q1362" s="1">
        <f>RANK(Table1[[#This Row],[Quality_score_index]],Table1[Quality_score_index],0)</f>
        <v>536</v>
      </c>
      <c r="R1362" s="1">
        <f>Table1[[#This Row],[total sulfur dioxide]]-Table1[[#This Row],[free sulfur dioxide]]</f>
        <v>27</v>
      </c>
      <c r="S1362" s="1" t="str">
        <f>IF(AND(Table1[[#This Row],[pH]]&gt;=3.2,Table1[[#This Row],[alcohol]]&gt;=10),"White wine","Red wine")</f>
        <v>White wine</v>
      </c>
    </row>
    <row r="1363" spans="1:19" x14ac:dyDescent="0.3">
      <c r="A1363" s="13">
        <v>1362</v>
      </c>
      <c r="B1363" s="1">
        <v>8.3000000000000007</v>
      </c>
      <c r="C1363" s="1">
        <v>0.85</v>
      </c>
      <c r="D1363" s="1">
        <v>0.14000000000000001</v>
      </c>
      <c r="E1363" s="1">
        <v>2.5</v>
      </c>
      <c r="F1363" s="1">
        <v>9.2999999999999999E-2</v>
      </c>
      <c r="G1363" s="1">
        <v>13</v>
      </c>
      <c r="H1363" s="1">
        <v>54</v>
      </c>
      <c r="I1363" s="1">
        <v>0.99724000000000002</v>
      </c>
      <c r="J1363" s="1">
        <v>3.36</v>
      </c>
      <c r="K1363" s="1">
        <v>0.54</v>
      </c>
      <c r="L1363" s="1">
        <v>10.1</v>
      </c>
      <c r="M1363" s="2">
        <v>5</v>
      </c>
      <c r="N1363" s="2" t="str" cm="1">
        <f t="array" ref="N1363">_xlfn.IFS(Table1[[#This Row],[quality]]&lt;=4,"Low",Table1[[#This Row],[quality]]&lt;=6,"Medium",Table1[[#This Row],[quality]]&gt;=7,"High")</f>
        <v>Medium</v>
      </c>
      <c r="O1363" s="2" t="str">
        <f>IF(AND(Table1[[#This Row],[fixed acidity]]&gt;Sheet1!$C$4,Table1[[#This Row],[pH]]&lt;Sheet1!$K$4),"High","Normal")</f>
        <v>Normal</v>
      </c>
      <c r="P1363" s="1">
        <f>(Table1[[#This Row],[alcohol]]*2)+(Table1[[#This Row],[sulphates]]*1.5)-(Table1[[#This Row],[volatile acidity]]*2)</f>
        <v>19.309999999999999</v>
      </c>
      <c r="Q1363" s="1">
        <f>RANK(Table1[[#This Row],[Quality_score_index]],Table1[Quality_score_index],0)</f>
        <v>1037</v>
      </c>
      <c r="R1363" s="1">
        <f>Table1[[#This Row],[total sulfur dioxide]]-Table1[[#This Row],[free sulfur dioxide]]</f>
        <v>41</v>
      </c>
      <c r="S1363" s="1" t="str">
        <f>IF(AND(Table1[[#This Row],[pH]]&gt;=3.2,Table1[[#This Row],[alcohol]]&gt;=10),"White wine","Red wine")</f>
        <v>White wine</v>
      </c>
    </row>
    <row r="1364" spans="1:19" x14ac:dyDescent="0.3">
      <c r="A1364" s="13">
        <v>1363</v>
      </c>
      <c r="B1364" s="1">
        <v>11.6</v>
      </c>
      <c r="C1364" s="1">
        <v>0.47499999999999998</v>
      </c>
      <c r="D1364" s="1">
        <v>0.4</v>
      </c>
      <c r="E1364" s="1">
        <v>1.4</v>
      </c>
      <c r="F1364" s="1">
        <v>9.0999999999999998E-2</v>
      </c>
      <c r="G1364" s="1">
        <v>6</v>
      </c>
      <c r="H1364" s="1">
        <v>28</v>
      </c>
      <c r="I1364" s="1">
        <v>0.99704000000000004</v>
      </c>
      <c r="J1364" s="1">
        <v>3.07</v>
      </c>
      <c r="K1364" s="1">
        <v>0.65</v>
      </c>
      <c r="L1364" s="1">
        <v>10.033333333333299</v>
      </c>
      <c r="M1364" s="2">
        <v>6</v>
      </c>
      <c r="N1364" s="2" t="str" cm="1">
        <f t="array" ref="N1364">_xlfn.IFS(Table1[[#This Row],[quality]]&lt;=4,"Low",Table1[[#This Row],[quality]]&lt;=6,"Medium",Table1[[#This Row],[quality]]&gt;=7,"High")</f>
        <v>Medium</v>
      </c>
      <c r="O1364" s="2" t="str">
        <f>IF(AND(Table1[[#This Row],[fixed acidity]]&gt;Sheet1!$C$4,Table1[[#This Row],[pH]]&lt;Sheet1!$K$4),"High","Normal")</f>
        <v>High</v>
      </c>
      <c r="P1364" s="1">
        <f>(Table1[[#This Row],[alcohol]]*2)+(Table1[[#This Row],[sulphates]]*1.5)-(Table1[[#This Row],[volatile acidity]]*2)</f>
        <v>20.091666666666601</v>
      </c>
      <c r="Q1364" s="1">
        <f>RANK(Table1[[#This Row],[Quality_score_index]],Table1[Quality_score_index],0)</f>
        <v>841</v>
      </c>
      <c r="R1364" s="1">
        <f>Table1[[#This Row],[total sulfur dioxide]]-Table1[[#This Row],[free sulfur dioxide]]</f>
        <v>22</v>
      </c>
      <c r="S1364" s="1" t="str">
        <f>IF(AND(Table1[[#This Row],[pH]]&gt;=3.2,Table1[[#This Row],[alcohol]]&gt;=10),"White wine","Red wine")</f>
        <v>Red wine</v>
      </c>
    </row>
    <row r="1365" spans="1:19" x14ac:dyDescent="0.3">
      <c r="A1365" s="13">
        <v>1364</v>
      </c>
      <c r="B1365" s="1">
        <v>8</v>
      </c>
      <c r="C1365" s="1">
        <v>0.83</v>
      </c>
      <c r="D1365" s="1">
        <v>0.27</v>
      </c>
      <c r="E1365" s="1">
        <v>2</v>
      </c>
      <c r="F1365" s="1">
        <v>0.08</v>
      </c>
      <c r="G1365" s="1">
        <v>11</v>
      </c>
      <c r="H1365" s="1">
        <v>63</v>
      </c>
      <c r="I1365" s="1">
        <v>0.99651999999999996</v>
      </c>
      <c r="J1365" s="1">
        <v>3.29</v>
      </c>
      <c r="K1365" s="1">
        <v>0.48</v>
      </c>
      <c r="L1365" s="1">
        <v>9.8000000000000007</v>
      </c>
      <c r="M1365" s="2">
        <v>4</v>
      </c>
      <c r="N1365" s="2" t="str" cm="1">
        <f t="array" ref="N1365">_xlfn.IFS(Table1[[#This Row],[quality]]&lt;=4,"Low",Table1[[#This Row],[quality]]&lt;=6,"Medium",Table1[[#This Row],[quality]]&gt;=7,"High")</f>
        <v>Low</v>
      </c>
      <c r="O1365" s="2" t="str">
        <f>IF(AND(Table1[[#This Row],[fixed acidity]]&gt;Sheet1!$C$4,Table1[[#This Row],[pH]]&lt;Sheet1!$K$4),"High","Normal")</f>
        <v>Normal</v>
      </c>
      <c r="P1365" s="1">
        <f>(Table1[[#This Row],[alcohol]]*2)+(Table1[[#This Row],[sulphates]]*1.5)-(Table1[[#This Row],[volatile acidity]]*2)</f>
        <v>18.66</v>
      </c>
      <c r="Q1365" s="1">
        <f>RANK(Table1[[#This Row],[Quality_score_index]],Table1[Quality_score_index],0)</f>
        <v>1312</v>
      </c>
      <c r="R1365" s="1">
        <f>Table1[[#This Row],[total sulfur dioxide]]-Table1[[#This Row],[free sulfur dioxide]]</f>
        <v>52</v>
      </c>
      <c r="S1365" s="1" t="str">
        <f>IF(AND(Table1[[#This Row],[pH]]&gt;=3.2,Table1[[#This Row],[alcohol]]&gt;=10),"White wine","Red wine")</f>
        <v>Red wine</v>
      </c>
    </row>
    <row r="1366" spans="1:19" x14ac:dyDescent="0.3">
      <c r="A1366" s="13">
        <v>1365</v>
      </c>
      <c r="B1366" s="1">
        <v>7.2</v>
      </c>
      <c r="C1366" s="1">
        <v>0.60499999999999998</v>
      </c>
      <c r="D1366" s="1">
        <v>0.02</v>
      </c>
      <c r="E1366" s="1">
        <v>1.9</v>
      </c>
      <c r="F1366" s="1">
        <v>9.6000000000000002E-2</v>
      </c>
      <c r="G1366" s="1">
        <v>10</v>
      </c>
      <c r="H1366" s="1">
        <v>31</v>
      </c>
      <c r="I1366" s="1">
        <v>0.995</v>
      </c>
      <c r="J1366" s="1">
        <v>3.46</v>
      </c>
      <c r="K1366" s="1">
        <v>0.53</v>
      </c>
      <c r="L1366" s="1">
        <v>11.8</v>
      </c>
      <c r="M1366" s="2">
        <v>6</v>
      </c>
      <c r="N1366" s="2" t="str" cm="1">
        <f t="array" ref="N1366">_xlfn.IFS(Table1[[#This Row],[quality]]&lt;=4,"Low",Table1[[#This Row],[quality]]&lt;=6,"Medium",Table1[[#This Row],[quality]]&gt;=7,"High")</f>
        <v>Medium</v>
      </c>
      <c r="O1366" s="2" t="str">
        <f>IF(AND(Table1[[#This Row],[fixed acidity]]&gt;Sheet1!$C$4,Table1[[#This Row],[pH]]&lt;Sheet1!$K$4),"High","Normal")</f>
        <v>Normal</v>
      </c>
      <c r="P1366" s="1">
        <f>(Table1[[#This Row],[alcohol]]*2)+(Table1[[#This Row],[sulphates]]*1.5)-(Table1[[#This Row],[volatile acidity]]*2)</f>
        <v>23.185000000000002</v>
      </c>
      <c r="Q1366" s="1">
        <f>RANK(Table1[[#This Row],[Quality_score_index]],Table1[Quality_score_index],0)</f>
        <v>247</v>
      </c>
      <c r="R1366" s="1">
        <f>Table1[[#This Row],[total sulfur dioxide]]-Table1[[#This Row],[free sulfur dioxide]]</f>
        <v>21</v>
      </c>
      <c r="S1366" s="1" t="str">
        <f>IF(AND(Table1[[#This Row],[pH]]&gt;=3.2,Table1[[#This Row],[alcohol]]&gt;=10),"White wine","Red wine")</f>
        <v>White wine</v>
      </c>
    </row>
    <row r="1367" spans="1:19" x14ac:dyDescent="0.3">
      <c r="A1367" s="13">
        <v>1366</v>
      </c>
      <c r="B1367" s="1">
        <v>7.8</v>
      </c>
      <c r="C1367" s="1">
        <v>0.5</v>
      </c>
      <c r="D1367" s="1">
        <v>0.09</v>
      </c>
      <c r="E1367" s="1">
        <v>2.2000000000000002</v>
      </c>
      <c r="F1367" s="1">
        <v>0.115</v>
      </c>
      <c r="G1367" s="1">
        <v>10</v>
      </c>
      <c r="H1367" s="1">
        <v>42</v>
      </c>
      <c r="I1367" s="1">
        <v>0.99709999999999999</v>
      </c>
      <c r="J1367" s="1">
        <v>3.18</v>
      </c>
      <c r="K1367" s="1">
        <v>0.62</v>
      </c>
      <c r="L1367" s="1">
        <v>9.5</v>
      </c>
      <c r="M1367" s="2">
        <v>5</v>
      </c>
      <c r="N1367" s="2" t="str" cm="1">
        <f t="array" ref="N1367">_xlfn.IFS(Table1[[#This Row],[quality]]&lt;=4,"Low",Table1[[#This Row],[quality]]&lt;=6,"Medium",Table1[[#This Row],[quality]]&gt;=7,"High")</f>
        <v>Medium</v>
      </c>
      <c r="O1367" s="2" t="str">
        <f>IF(AND(Table1[[#This Row],[fixed acidity]]&gt;Sheet1!$C$4,Table1[[#This Row],[pH]]&lt;Sheet1!$K$4),"High","Normal")</f>
        <v>Normal</v>
      </c>
      <c r="P1367" s="1">
        <f>(Table1[[#This Row],[alcohol]]*2)+(Table1[[#This Row],[sulphates]]*1.5)-(Table1[[#This Row],[volatile acidity]]*2)</f>
        <v>18.93</v>
      </c>
      <c r="Q1367" s="1">
        <f>RANK(Table1[[#This Row],[Quality_score_index]],Table1[Quality_score_index],0)</f>
        <v>1191</v>
      </c>
      <c r="R1367" s="1">
        <f>Table1[[#This Row],[total sulfur dioxide]]-Table1[[#This Row],[free sulfur dioxide]]</f>
        <v>32</v>
      </c>
      <c r="S1367" s="1" t="str">
        <f>IF(AND(Table1[[#This Row],[pH]]&gt;=3.2,Table1[[#This Row],[alcohol]]&gt;=10),"White wine","Red wine")</f>
        <v>Red wine</v>
      </c>
    </row>
    <row r="1368" spans="1:19" x14ac:dyDescent="0.3">
      <c r="A1368" s="13">
        <v>1367</v>
      </c>
      <c r="B1368" s="1">
        <v>7.3</v>
      </c>
      <c r="C1368" s="1">
        <v>0.74</v>
      </c>
      <c r="D1368" s="1">
        <v>0.08</v>
      </c>
      <c r="E1368" s="1">
        <v>1.7</v>
      </c>
      <c r="F1368" s="1">
        <v>9.4E-2</v>
      </c>
      <c r="G1368" s="1">
        <v>10</v>
      </c>
      <c r="H1368" s="1">
        <v>45</v>
      </c>
      <c r="I1368" s="1">
        <v>0.99575999999999998</v>
      </c>
      <c r="J1368" s="1">
        <v>3.24</v>
      </c>
      <c r="K1368" s="1">
        <v>0.5</v>
      </c>
      <c r="L1368" s="1">
        <v>9.8000000000000007</v>
      </c>
      <c r="M1368" s="2">
        <v>5</v>
      </c>
      <c r="N1368" s="2" t="str" cm="1">
        <f t="array" ref="N1368">_xlfn.IFS(Table1[[#This Row],[quality]]&lt;=4,"Low",Table1[[#This Row],[quality]]&lt;=6,"Medium",Table1[[#This Row],[quality]]&gt;=7,"High")</f>
        <v>Medium</v>
      </c>
      <c r="O1368" s="2" t="str">
        <f>IF(AND(Table1[[#This Row],[fixed acidity]]&gt;Sheet1!$C$4,Table1[[#This Row],[pH]]&lt;Sheet1!$K$4),"High","Normal")</f>
        <v>Normal</v>
      </c>
      <c r="P1368" s="1">
        <f>(Table1[[#This Row],[alcohol]]*2)+(Table1[[#This Row],[sulphates]]*1.5)-(Table1[[#This Row],[volatile acidity]]*2)</f>
        <v>18.87</v>
      </c>
      <c r="Q1368" s="1">
        <f>RANK(Table1[[#This Row],[Quality_score_index]],Table1[Quality_score_index],0)</f>
        <v>1218</v>
      </c>
      <c r="R1368" s="1">
        <f>Table1[[#This Row],[total sulfur dioxide]]-Table1[[#This Row],[free sulfur dioxide]]</f>
        <v>35</v>
      </c>
      <c r="S1368" s="1" t="str">
        <f>IF(AND(Table1[[#This Row],[pH]]&gt;=3.2,Table1[[#This Row],[alcohol]]&gt;=10),"White wine","Red wine")</f>
        <v>Red wine</v>
      </c>
    </row>
    <row r="1369" spans="1:19" x14ac:dyDescent="0.3">
      <c r="A1369" s="13">
        <v>1368</v>
      </c>
      <c r="B1369" s="1">
        <v>6.9</v>
      </c>
      <c r="C1369" s="1">
        <v>0.54</v>
      </c>
      <c r="D1369" s="1">
        <v>0.3</v>
      </c>
      <c r="E1369" s="1">
        <v>2.2000000000000002</v>
      </c>
      <c r="F1369" s="1">
        <v>8.7999999999999995E-2</v>
      </c>
      <c r="G1369" s="1">
        <v>9</v>
      </c>
      <c r="H1369" s="1">
        <v>105</v>
      </c>
      <c r="I1369" s="1">
        <v>0.99724999999999997</v>
      </c>
      <c r="J1369" s="1">
        <v>3.25</v>
      </c>
      <c r="K1369" s="1">
        <v>1.18</v>
      </c>
      <c r="L1369" s="1">
        <v>10.5</v>
      </c>
      <c r="M1369" s="2">
        <v>6</v>
      </c>
      <c r="N1369" s="2" t="str" cm="1">
        <f t="array" ref="N1369">_xlfn.IFS(Table1[[#This Row],[quality]]&lt;=4,"Low",Table1[[#This Row],[quality]]&lt;=6,"Medium",Table1[[#This Row],[quality]]&gt;=7,"High")</f>
        <v>Medium</v>
      </c>
      <c r="O1369" s="2" t="str">
        <f>IF(AND(Table1[[#This Row],[fixed acidity]]&gt;Sheet1!$C$4,Table1[[#This Row],[pH]]&lt;Sheet1!$K$4),"High","Normal")</f>
        <v>Normal</v>
      </c>
      <c r="P1369" s="1">
        <f>(Table1[[#This Row],[alcohol]]*2)+(Table1[[#This Row],[sulphates]]*1.5)-(Table1[[#This Row],[volatile acidity]]*2)</f>
        <v>21.689999999999998</v>
      </c>
      <c r="Q1369" s="1">
        <f>RANK(Table1[[#This Row],[Quality_score_index]],Table1[Quality_score_index],0)</f>
        <v>508</v>
      </c>
      <c r="R1369" s="1">
        <f>Table1[[#This Row],[total sulfur dioxide]]-Table1[[#This Row],[free sulfur dioxide]]</f>
        <v>96</v>
      </c>
      <c r="S1369" s="1" t="str">
        <f>IF(AND(Table1[[#This Row],[pH]]&gt;=3.2,Table1[[#This Row],[alcohol]]&gt;=10),"White wine","Red wine")</f>
        <v>White wine</v>
      </c>
    </row>
    <row r="1370" spans="1:19" x14ac:dyDescent="0.3">
      <c r="A1370" s="13">
        <v>1369</v>
      </c>
      <c r="B1370" s="1">
        <v>8</v>
      </c>
      <c r="C1370" s="1">
        <v>0.77</v>
      </c>
      <c r="D1370" s="1">
        <v>0.32</v>
      </c>
      <c r="E1370" s="1">
        <v>2.1</v>
      </c>
      <c r="F1370" s="1">
        <v>7.9000000000000001E-2</v>
      </c>
      <c r="G1370" s="1">
        <v>16</v>
      </c>
      <c r="H1370" s="1">
        <v>74</v>
      </c>
      <c r="I1370" s="1">
        <v>0.99656</v>
      </c>
      <c r="J1370" s="1">
        <v>3.27</v>
      </c>
      <c r="K1370" s="1">
        <v>0.5</v>
      </c>
      <c r="L1370" s="1">
        <v>9.8000000000000007</v>
      </c>
      <c r="M1370" s="2">
        <v>6</v>
      </c>
      <c r="N1370" s="2" t="str" cm="1">
        <f t="array" ref="N1370">_xlfn.IFS(Table1[[#This Row],[quality]]&lt;=4,"Low",Table1[[#This Row],[quality]]&lt;=6,"Medium",Table1[[#This Row],[quality]]&gt;=7,"High")</f>
        <v>Medium</v>
      </c>
      <c r="O1370" s="2" t="str">
        <f>IF(AND(Table1[[#This Row],[fixed acidity]]&gt;Sheet1!$C$4,Table1[[#This Row],[pH]]&lt;Sheet1!$K$4),"High","Normal")</f>
        <v>Normal</v>
      </c>
      <c r="P1370" s="1">
        <f>(Table1[[#This Row],[alcohol]]*2)+(Table1[[#This Row],[sulphates]]*1.5)-(Table1[[#This Row],[volatile acidity]]*2)</f>
        <v>18.810000000000002</v>
      </c>
      <c r="Q1370" s="1">
        <f>RANK(Table1[[#This Row],[Quality_score_index]],Table1[Quality_score_index],0)</f>
        <v>1243</v>
      </c>
      <c r="R1370" s="1">
        <f>Table1[[#This Row],[total sulfur dioxide]]-Table1[[#This Row],[free sulfur dioxide]]</f>
        <v>58</v>
      </c>
      <c r="S1370" s="1" t="str">
        <f>IF(AND(Table1[[#This Row],[pH]]&gt;=3.2,Table1[[#This Row],[alcohol]]&gt;=10),"White wine","Red wine")</f>
        <v>Red wine</v>
      </c>
    </row>
    <row r="1371" spans="1:19" x14ac:dyDescent="0.3">
      <c r="A1371" s="13">
        <v>1370</v>
      </c>
      <c r="B1371" s="1">
        <v>6.6</v>
      </c>
      <c r="C1371" s="1">
        <v>0.61</v>
      </c>
      <c r="D1371" s="1">
        <v>0</v>
      </c>
      <c r="E1371" s="1">
        <v>1.6</v>
      </c>
      <c r="F1371" s="1">
        <v>6.9000000000000006E-2</v>
      </c>
      <c r="G1371" s="1">
        <v>4</v>
      </c>
      <c r="H1371" s="1">
        <v>8</v>
      </c>
      <c r="I1371" s="1">
        <v>0.99395999999999995</v>
      </c>
      <c r="J1371" s="1">
        <v>3.33</v>
      </c>
      <c r="K1371" s="1">
        <v>0.37</v>
      </c>
      <c r="L1371" s="1">
        <v>10.4</v>
      </c>
      <c r="M1371" s="2">
        <v>4</v>
      </c>
      <c r="N1371" s="2" t="str" cm="1">
        <f t="array" ref="N1371">_xlfn.IFS(Table1[[#This Row],[quality]]&lt;=4,"Low",Table1[[#This Row],[quality]]&lt;=6,"Medium",Table1[[#This Row],[quality]]&gt;=7,"High")</f>
        <v>Low</v>
      </c>
      <c r="O1371" s="2" t="str">
        <f>IF(AND(Table1[[#This Row],[fixed acidity]]&gt;Sheet1!$C$4,Table1[[#This Row],[pH]]&lt;Sheet1!$K$4),"High","Normal")</f>
        <v>Normal</v>
      </c>
      <c r="P1371" s="1">
        <f>(Table1[[#This Row],[alcohol]]*2)+(Table1[[#This Row],[sulphates]]*1.5)-(Table1[[#This Row],[volatile acidity]]*2)</f>
        <v>20.135000000000002</v>
      </c>
      <c r="Q1371" s="1">
        <f>RANK(Table1[[#This Row],[Quality_score_index]],Table1[Quality_score_index],0)</f>
        <v>830</v>
      </c>
      <c r="R1371" s="1">
        <f>Table1[[#This Row],[total sulfur dioxide]]-Table1[[#This Row],[free sulfur dioxide]]</f>
        <v>4</v>
      </c>
      <c r="S1371" s="1" t="str">
        <f>IF(AND(Table1[[#This Row],[pH]]&gt;=3.2,Table1[[#This Row],[alcohol]]&gt;=10),"White wine","Red wine")</f>
        <v>White wine</v>
      </c>
    </row>
    <row r="1372" spans="1:19" x14ac:dyDescent="0.3">
      <c r="A1372" s="13">
        <v>1371</v>
      </c>
      <c r="B1372" s="1">
        <v>8.6999999999999993</v>
      </c>
      <c r="C1372" s="1">
        <v>0.78</v>
      </c>
      <c r="D1372" s="1">
        <v>0.51</v>
      </c>
      <c r="E1372" s="1">
        <v>1.7</v>
      </c>
      <c r="F1372" s="1">
        <v>0.41499999999999998</v>
      </c>
      <c r="G1372" s="1">
        <v>12</v>
      </c>
      <c r="H1372" s="1">
        <v>66</v>
      </c>
      <c r="I1372" s="1">
        <v>0.99622999999999995</v>
      </c>
      <c r="J1372" s="1">
        <v>3</v>
      </c>
      <c r="K1372" s="1">
        <v>1.17</v>
      </c>
      <c r="L1372" s="1">
        <v>9.1999999999999993</v>
      </c>
      <c r="M1372" s="2">
        <v>5</v>
      </c>
      <c r="N1372" s="2" t="str" cm="1">
        <f t="array" ref="N1372">_xlfn.IFS(Table1[[#This Row],[quality]]&lt;=4,"Low",Table1[[#This Row],[quality]]&lt;=6,"Medium",Table1[[#This Row],[quality]]&gt;=7,"High")</f>
        <v>Medium</v>
      </c>
      <c r="O1372" s="2" t="str">
        <f>IF(AND(Table1[[#This Row],[fixed acidity]]&gt;Sheet1!$C$4,Table1[[#This Row],[pH]]&lt;Sheet1!$K$4),"High","Normal")</f>
        <v>High</v>
      </c>
      <c r="P1372" s="1">
        <f>(Table1[[#This Row],[alcohol]]*2)+(Table1[[#This Row],[sulphates]]*1.5)-(Table1[[#This Row],[volatile acidity]]*2)</f>
        <v>18.594999999999999</v>
      </c>
      <c r="Q1372" s="1">
        <f>RANK(Table1[[#This Row],[Quality_score_index]],Table1[Quality_score_index],0)</f>
        <v>1346</v>
      </c>
      <c r="R1372" s="1">
        <f>Table1[[#This Row],[total sulfur dioxide]]-Table1[[#This Row],[free sulfur dioxide]]</f>
        <v>54</v>
      </c>
      <c r="S1372" s="1" t="str">
        <f>IF(AND(Table1[[#This Row],[pH]]&gt;=3.2,Table1[[#This Row],[alcohol]]&gt;=10),"White wine","Red wine")</f>
        <v>Red wine</v>
      </c>
    </row>
    <row r="1373" spans="1:19" x14ac:dyDescent="0.3">
      <c r="A1373" s="13">
        <v>1372</v>
      </c>
      <c r="B1373" s="1">
        <v>7.5</v>
      </c>
      <c r="C1373" s="1">
        <v>0.57999999999999996</v>
      </c>
      <c r="D1373" s="1">
        <v>0.56000000000000005</v>
      </c>
      <c r="E1373" s="1">
        <v>3.1</v>
      </c>
      <c r="F1373" s="1">
        <v>0.153</v>
      </c>
      <c r="G1373" s="1">
        <v>5</v>
      </c>
      <c r="H1373" s="1">
        <v>14</v>
      </c>
      <c r="I1373" s="1">
        <v>0.99475999999999998</v>
      </c>
      <c r="J1373" s="1">
        <v>3.21</v>
      </c>
      <c r="K1373" s="1">
        <v>1.03</v>
      </c>
      <c r="L1373" s="1">
        <v>11.6</v>
      </c>
      <c r="M1373" s="2">
        <v>6</v>
      </c>
      <c r="N1373" s="2" t="str" cm="1">
        <f t="array" ref="N1373">_xlfn.IFS(Table1[[#This Row],[quality]]&lt;=4,"Low",Table1[[#This Row],[quality]]&lt;=6,"Medium",Table1[[#This Row],[quality]]&gt;=7,"High")</f>
        <v>Medium</v>
      </c>
      <c r="O1373" s="2" t="str">
        <f>IF(AND(Table1[[#This Row],[fixed acidity]]&gt;Sheet1!$C$4,Table1[[#This Row],[pH]]&lt;Sheet1!$K$4),"High","Normal")</f>
        <v>Normal</v>
      </c>
      <c r="P1373" s="1">
        <f>(Table1[[#This Row],[alcohol]]*2)+(Table1[[#This Row],[sulphates]]*1.5)-(Table1[[#This Row],[volatile acidity]]*2)</f>
        <v>23.584999999999997</v>
      </c>
      <c r="Q1373" s="1">
        <f>RANK(Table1[[#This Row],[Quality_score_index]],Table1[Quality_score_index],0)</f>
        <v>209</v>
      </c>
      <c r="R1373" s="1">
        <f>Table1[[#This Row],[total sulfur dioxide]]-Table1[[#This Row],[free sulfur dioxide]]</f>
        <v>9</v>
      </c>
      <c r="S1373" s="1" t="str">
        <f>IF(AND(Table1[[#This Row],[pH]]&gt;=3.2,Table1[[#This Row],[alcohol]]&gt;=10),"White wine","Red wine")</f>
        <v>White wine</v>
      </c>
    </row>
    <row r="1374" spans="1:19" x14ac:dyDescent="0.3">
      <c r="A1374" s="13">
        <v>1373</v>
      </c>
      <c r="B1374" s="1">
        <v>8.6999999999999993</v>
      </c>
      <c r="C1374" s="1">
        <v>0.78</v>
      </c>
      <c r="D1374" s="1">
        <v>0.51</v>
      </c>
      <c r="E1374" s="1">
        <v>1.7</v>
      </c>
      <c r="F1374" s="1">
        <v>0.41499999999999998</v>
      </c>
      <c r="G1374" s="1">
        <v>12</v>
      </c>
      <c r="H1374" s="1">
        <v>66</v>
      </c>
      <c r="I1374" s="1">
        <v>0.99622999999999995</v>
      </c>
      <c r="J1374" s="1">
        <v>3</v>
      </c>
      <c r="K1374" s="1">
        <v>1.17</v>
      </c>
      <c r="L1374" s="1">
        <v>9.1999999999999993</v>
      </c>
      <c r="M1374" s="2">
        <v>5</v>
      </c>
      <c r="N1374" s="2" t="str" cm="1">
        <f t="array" ref="N1374">_xlfn.IFS(Table1[[#This Row],[quality]]&lt;=4,"Low",Table1[[#This Row],[quality]]&lt;=6,"Medium",Table1[[#This Row],[quality]]&gt;=7,"High")</f>
        <v>Medium</v>
      </c>
      <c r="O1374" s="2" t="str">
        <f>IF(AND(Table1[[#This Row],[fixed acidity]]&gt;Sheet1!$C$4,Table1[[#This Row],[pH]]&lt;Sheet1!$K$4),"High","Normal")</f>
        <v>High</v>
      </c>
      <c r="P1374" s="1">
        <f>(Table1[[#This Row],[alcohol]]*2)+(Table1[[#This Row],[sulphates]]*1.5)-(Table1[[#This Row],[volatile acidity]]*2)</f>
        <v>18.594999999999999</v>
      </c>
      <c r="Q1374" s="1">
        <f>RANK(Table1[[#This Row],[Quality_score_index]],Table1[Quality_score_index],0)</f>
        <v>1346</v>
      </c>
      <c r="R1374" s="1">
        <f>Table1[[#This Row],[total sulfur dioxide]]-Table1[[#This Row],[free sulfur dioxide]]</f>
        <v>54</v>
      </c>
      <c r="S1374" s="1" t="str">
        <f>IF(AND(Table1[[#This Row],[pH]]&gt;=3.2,Table1[[#This Row],[alcohol]]&gt;=10),"White wine","Red wine")</f>
        <v>Red wine</v>
      </c>
    </row>
    <row r="1375" spans="1:19" x14ac:dyDescent="0.3">
      <c r="A1375" s="13">
        <v>1374</v>
      </c>
      <c r="B1375" s="1">
        <v>7.7</v>
      </c>
      <c r="C1375" s="1">
        <v>0.75</v>
      </c>
      <c r="D1375" s="1">
        <v>0.27</v>
      </c>
      <c r="E1375" s="1">
        <v>3.8</v>
      </c>
      <c r="F1375" s="1">
        <v>0.11</v>
      </c>
      <c r="G1375" s="1">
        <v>34</v>
      </c>
      <c r="H1375" s="1">
        <v>89</v>
      </c>
      <c r="I1375" s="1">
        <v>0.99663999999999997</v>
      </c>
      <c r="J1375" s="1">
        <v>3.24</v>
      </c>
      <c r="K1375" s="1">
        <v>0.45</v>
      </c>
      <c r="L1375" s="1">
        <v>9.3000000000000007</v>
      </c>
      <c r="M1375" s="2">
        <v>5</v>
      </c>
      <c r="N1375" s="2" t="str" cm="1">
        <f t="array" ref="N1375">_xlfn.IFS(Table1[[#This Row],[quality]]&lt;=4,"Low",Table1[[#This Row],[quality]]&lt;=6,"Medium",Table1[[#This Row],[quality]]&gt;=7,"High")</f>
        <v>Medium</v>
      </c>
      <c r="O1375" s="2" t="str">
        <f>IF(AND(Table1[[#This Row],[fixed acidity]]&gt;Sheet1!$C$4,Table1[[#This Row],[pH]]&lt;Sheet1!$K$4),"High","Normal")</f>
        <v>Normal</v>
      </c>
      <c r="P1375" s="1">
        <f>(Table1[[#This Row],[alcohol]]*2)+(Table1[[#This Row],[sulphates]]*1.5)-(Table1[[#This Row],[volatile acidity]]*2)</f>
        <v>17.775000000000002</v>
      </c>
      <c r="Q1375" s="1">
        <f>RANK(Table1[[#This Row],[Quality_score_index]],Table1[Quality_score_index],0)</f>
        <v>1560</v>
      </c>
      <c r="R1375" s="1">
        <f>Table1[[#This Row],[total sulfur dioxide]]-Table1[[#This Row],[free sulfur dioxide]]</f>
        <v>55</v>
      </c>
      <c r="S1375" s="1" t="str">
        <f>IF(AND(Table1[[#This Row],[pH]]&gt;=3.2,Table1[[#This Row],[alcohol]]&gt;=10),"White wine","Red wine")</f>
        <v>Red wine</v>
      </c>
    </row>
    <row r="1376" spans="1:19" x14ac:dyDescent="0.3">
      <c r="A1376" s="13">
        <v>1375</v>
      </c>
      <c r="B1376" s="1">
        <v>6.8</v>
      </c>
      <c r="C1376" s="1">
        <v>0.81499999999999995</v>
      </c>
      <c r="D1376" s="1">
        <v>0</v>
      </c>
      <c r="E1376" s="1">
        <v>1.2</v>
      </c>
      <c r="F1376" s="1">
        <v>0.26700000000000002</v>
      </c>
      <c r="G1376" s="1">
        <v>16</v>
      </c>
      <c r="H1376" s="1">
        <v>29</v>
      </c>
      <c r="I1376" s="1">
        <v>0.99470999999999998</v>
      </c>
      <c r="J1376" s="1">
        <v>3.32</v>
      </c>
      <c r="K1376" s="1">
        <v>0.51</v>
      </c>
      <c r="L1376" s="1">
        <v>9.8000000000000007</v>
      </c>
      <c r="M1376" s="2">
        <v>3</v>
      </c>
      <c r="N1376" s="2" t="str" cm="1">
        <f t="array" ref="N1376">_xlfn.IFS(Table1[[#This Row],[quality]]&lt;=4,"Low",Table1[[#This Row],[quality]]&lt;=6,"Medium",Table1[[#This Row],[quality]]&gt;=7,"High")</f>
        <v>Low</v>
      </c>
      <c r="O1376" s="2" t="str">
        <f>IF(AND(Table1[[#This Row],[fixed acidity]]&gt;Sheet1!$C$4,Table1[[#This Row],[pH]]&lt;Sheet1!$K$4),"High","Normal")</f>
        <v>Normal</v>
      </c>
      <c r="P1376" s="1">
        <f>(Table1[[#This Row],[alcohol]]*2)+(Table1[[#This Row],[sulphates]]*1.5)-(Table1[[#This Row],[volatile acidity]]*2)</f>
        <v>18.735000000000003</v>
      </c>
      <c r="Q1376" s="1">
        <f>RANK(Table1[[#This Row],[Quality_score_index]],Table1[Quality_score_index],0)</f>
        <v>1268</v>
      </c>
      <c r="R1376" s="1">
        <f>Table1[[#This Row],[total sulfur dioxide]]-Table1[[#This Row],[free sulfur dioxide]]</f>
        <v>13</v>
      </c>
      <c r="S1376" s="1" t="str">
        <f>IF(AND(Table1[[#This Row],[pH]]&gt;=3.2,Table1[[#This Row],[alcohol]]&gt;=10),"White wine","Red wine")</f>
        <v>Red wine</v>
      </c>
    </row>
    <row r="1377" spans="1:19" x14ac:dyDescent="0.3">
      <c r="A1377" s="13">
        <v>1376</v>
      </c>
      <c r="B1377" s="1">
        <v>7.2</v>
      </c>
      <c r="C1377" s="1">
        <v>0.56000000000000005</v>
      </c>
      <c r="D1377" s="1">
        <v>0.26</v>
      </c>
      <c r="E1377" s="1">
        <v>2</v>
      </c>
      <c r="F1377" s="1">
        <v>8.3000000000000004E-2</v>
      </c>
      <c r="G1377" s="1">
        <v>13</v>
      </c>
      <c r="H1377" s="1">
        <v>100</v>
      </c>
      <c r="I1377" s="1">
        <v>0.99585999999999997</v>
      </c>
      <c r="J1377" s="1">
        <v>3.26</v>
      </c>
      <c r="K1377" s="1">
        <v>0.52</v>
      </c>
      <c r="L1377" s="1">
        <v>9.9</v>
      </c>
      <c r="M1377" s="2">
        <v>5</v>
      </c>
      <c r="N1377" s="2" t="str" cm="1">
        <f t="array" ref="N1377">_xlfn.IFS(Table1[[#This Row],[quality]]&lt;=4,"Low",Table1[[#This Row],[quality]]&lt;=6,"Medium",Table1[[#This Row],[quality]]&gt;=7,"High")</f>
        <v>Medium</v>
      </c>
      <c r="O1377" s="2" t="str">
        <f>IF(AND(Table1[[#This Row],[fixed acidity]]&gt;Sheet1!$C$4,Table1[[#This Row],[pH]]&lt;Sheet1!$K$4),"High","Normal")</f>
        <v>Normal</v>
      </c>
      <c r="P1377" s="1">
        <f>(Table1[[#This Row],[alcohol]]*2)+(Table1[[#This Row],[sulphates]]*1.5)-(Table1[[#This Row],[volatile acidity]]*2)</f>
        <v>19.46</v>
      </c>
      <c r="Q1377" s="1">
        <f>RANK(Table1[[#This Row],[Quality_score_index]],Table1[Quality_score_index],0)</f>
        <v>991</v>
      </c>
      <c r="R1377" s="1">
        <f>Table1[[#This Row],[total sulfur dioxide]]-Table1[[#This Row],[free sulfur dioxide]]</f>
        <v>87</v>
      </c>
      <c r="S1377" s="1" t="str">
        <f>IF(AND(Table1[[#This Row],[pH]]&gt;=3.2,Table1[[#This Row],[alcohol]]&gt;=10),"White wine","Red wine")</f>
        <v>Red wine</v>
      </c>
    </row>
    <row r="1378" spans="1:19" x14ac:dyDescent="0.3">
      <c r="A1378" s="13">
        <v>1377</v>
      </c>
      <c r="B1378" s="1">
        <v>8.1999999999999993</v>
      </c>
      <c r="C1378" s="1">
        <v>0.88500000000000001</v>
      </c>
      <c r="D1378" s="1">
        <v>0.2</v>
      </c>
      <c r="E1378" s="1">
        <v>1.4</v>
      </c>
      <c r="F1378" s="1">
        <v>8.5999999999999993E-2</v>
      </c>
      <c r="G1378" s="1">
        <v>7</v>
      </c>
      <c r="H1378" s="1">
        <v>31</v>
      </c>
      <c r="I1378" s="1">
        <v>0.99460000000000004</v>
      </c>
      <c r="J1378" s="1">
        <v>3.11</v>
      </c>
      <c r="K1378" s="1">
        <v>0.46</v>
      </c>
      <c r="L1378" s="1">
        <v>10</v>
      </c>
      <c r="M1378" s="2">
        <v>5</v>
      </c>
      <c r="N1378" s="2" t="str" cm="1">
        <f t="array" ref="N1378">_xlfn.IFS(Table1[[#This Row],[quality]]&lt;=4,"Low",Table1[[#This Row],[quality]]&lt;=6,"Medium",Table1[[#This Row],[quality]]&gt;=7,"High")</f>
        <v>Medium</v>
      </c>
      <c r="O1378" s="2" t="str">
        <f>IF(AND(Table1[[#This Row],[fixed acidity]]&gt;Sheet1!$C$4,Table1[[#This Row],[pH]]&lt;Sheet1!$K$4),"High","Normal")</f>
        <v>Normal</v>
      </c>
      <c r="P1378" s="1">
        <f>(Table1[[#This Row],[alcohol]]*2)+(Table1[[#This Row],[sulphates]]*1.5)-(Table1[[#This Row],[volatile acidity]]*2)</f>
        <v>18.920000000000002</v>
      </c>
      <c r="Q1378" s="1">
        <f>RANK(Table1[[#This Row],[Quality_score_index]],Table1[Quality_score_index],0)</f>
        <v>1195</v>
      </c>
      <c r="R1378" s="1">
        <f>Table1[[#This Row],[total sulfur dioxide]]-Table1[[#This Row],[free sulfur dioxide]]</f>
        <v>24</v>
      </c>
      <c r="S1378" s="1" t="str">
        <f>IF(AND(Table1[[#This Row],[pH]]&gt;=3.2,Table1[[#This Row],[alcohol]]&gt;=10),"White wine","Red wine")</f>
        <v>Red wine</v>
      </c>
    </row>
    <row r="1379" spans="1:19" x14ac:dyDescent="0.3">
      <c r="A1379" s="13">
        <v>1378</v>
      </c>
      <c r="B1379" s="1">
        <v>5.2</v>
      </c>
      <c r="C1379" s="1">
        <v>0.49</v>
      </c>
      <c r="D1379" s="1">
        <v>0.26</v>
      </c>
      <c r="E1379" s="1">
        <v>2.2999999999999998</v>
      </c>
      <c r="F1379" s="1">
        <v>0.09</v>
      </c>
      <c r="G1379" s="1">
        <v>23</v>
      </c>
      <c r="H1379" s="1">
        <v>74</v>
      </c>
      <c r="I1379" s="1">
        <v>0.99529999999999996</v>
      </c>
      <c r="J1379" s="1">
        <v>3.71</v>
      </c>
      <c r="K1379" s="1">
        <v>0.62</v>
      </c>
      <c r="L1379" s="1">
        <v>12.2</v>
      </c>
      <c r="M1379" s="2">
        <v>6</v>
      </c>
      <c r="N1379" s="2" t="str" cm="1">
        <f t="array" ref="N1379">_xlfn.IFS(Table1[[#This Row],[quality]]&lt;=4,"Low",Table1[[#This Row],[quality]]&lt;=6,"Medium",Table1[[#This Row],[quality]]&gt;=7,"High")</f>
        <v>Medium</v>
      </c>
      <c r="O1379" s="2" t="str">
        <f>IF(AND(Table1[[#This Row],[fixed acidity]]&gt;Sheet1!$C$4,Table1[[#This Row],[pH]]&lt;Sheet1!$K$4),"High","Normal")</f>
        <v>Normal</v>
      </c>
      <c r="P1379" s="1">
        <f>(Table1[[#This Row],[alcohol]]*2)+(Table1[[#This Row],[sulphates]]*1.5)-(Table1[[#This Row],[volatile acidity]]*2)</f>
        <v>24.349999999999998</v>
      </c>
      <c r="Q1379" s="1">
        <f>RANK(Table1[[#This Row],[Quality_score_index]],Table1[Quality_score_index],0)</f>
        <v>147</v>
      </c>
      <c r="R1379" s="1">
        <f>Table1[[#This Row],[total sulfur dioxide]]-Table1[[#This Row],[free sulfur dioxide]]</f>
        <v>51</v>
      </c>
      <c r="S1379" s="1" t="str">
        <f>IF(AND(Table1[[#This Row],[pH]]&gt;=3.2,Table1[[#This Row],[alcohol]]&gt;=10),"White wine","Red wine")</f>
        <v>White wine</v>
      </c>
    </row>
    <row r="1380" spans="1:19" x14ac:dyDescent="0.3">
      <c r="A1380" s="13">
        <v>1379</v>
      </c>
      <c r="B1380" s="1">
        <v>7.2</v>
      </c>
      <c r="C1380" s="1">
        <v>0.45</v>
      </c>
      <c r="D1380" s="1">
        <v>0.15</v>
      </c>
      <c r="E1380" s="1">
        <v>2</v>
      </c>
      <c r="F1380" s="1">
        <v>7.8E-2</v>
      </c>
      <c r="G1380" s="1">
        <v>10</v>
      </c>
      <c r="H1380" s="1">
        <v>28</v>
      </c>
      <c r="I1380" s="1">
        <v>0.99609000000000003</v>
      </c>
      <c r="J1380" s="1">
        <v>3.29</v>
      </c>
      <c r="K1380" s="1">
        <v>0.51</v>
      </c>
      <c r="L1380" s="1">
        <v>9.9</v>
      </c>
      <c r="M1380" s="2">
        <v>6</v>
      </c>
      <c r="N1380" s="2" t="str" cm="1">
        <f t="array" ref="N1380">_xlfn.IFS(Table1[[#This Row],[quality]]&lt;=4,"Low",Table1[[#This Row],[quality]]&lt;=6,"Medium",Table1[[#This Row],[quality]]&gt;=7,"High")</f>
        <v>Medium</v>
      </c>
      <c r="O1380" s="2" t="str">
        <f>IF(AND(Table1[[#This Row],[fixed acidity]]&gt;Sheet1!$C$4,Table1[[#This Row],[pH]]&lt;Sheet1!$K$4),"High","Normal")</f>
        <v>Normal</v>
      </c>
      <c r="P1380" s="1">
        <f>(Table1[[#This Row],[alcohol]]*2)+(Table1[[#This Row],[sulphates]]*1.5)-(Table1[[#This Row],[volatile acidity]]*2)</f>
        <v>19.665000000000003</v>
      </c>
      <c r="Q1380" s="1">
        <f>RANK(Table1[[#This Row],[Quality_score_index]],Table1[Quality_score_index],0)</f>
        <v>934</v>
      </c>
      <c r="R1380" s="1">
        <f>Table1[[#This Row],[total sulfur dioxide]]-Table1[[#This Row],[free sulfur dioxide]]</f>
        <v>18</v>
      </c>
      <c r="S1380" s="1" t="str">
        <f>IF(AND(Table1[[#This Row],[pH]]&gt;=3.2,Table1[[#This Row],[alcohol]]&gt;=10),"White wine","Red wine")</f>
        <v>Red wine</v>
      </c>
    </row>
    <row r="1381" spans="1:19" x14ac:dyDescent="0.3">
      <c r="A1381" s="13">
        <v>1380</v>
      </c>
      <c r="B1381" s="1">
        <v>7.5</v>
      </c>
      <c r="C1381" s="1">
        <v>0.56999999999999995</v>
      </c>
      <c r="D1381" s="1">
        <v>0.02</v>
      </c>
      <c r="E1381" s="1">
        <v>2.6</v>
      </c>
      <c r="F1381" s="1">
        <v>7.6999999999999999E-2</v>
      </c>
      <c r="G1381" s="1">
        <v>11</v>
      </c>
      <c r="H1381" s="1">
        <v>35</v>
      </c>
      <c r="I1381" s="1">
        <v>0.99556999999999995</v>
      </c>
      <c r="J1381" s="1">
        <v>3.36</v>
      </c>
      <c r="K1381" s="1">
        <v>0.62</v>
      </c>
      <c r="L1381" s="1">
        <v>10.8</v>
      </c>
      <c r="M1381" s="2">
        <v>6</v>
      </c>
      <c r="N1381" s="2" t="str" cm="1">
        <f t="array" ref="N1381">_xlfn.IFS(Table1[[#This Row],[quality]]&lt;=4,"Low",Table1[[#This Row],[quality]]&lt;=6,"Medium",Table1[[#This Row],[quality]]&gt;=7,"High")</f>
        <v>Medium</v>
      </c>
      <c r="O1381" s="2" t="str">
        <f>IF(AND(Table1[[#This Row],[fixed acidity]]&gt;Sheet1!$C$4,Table1[[#This Row],[pH]]&lt;Sheet1!$K$4),"High","Normal")</f>
        <v>Normal</v>
      </c>
      <c r="P1381" s="1">
        <f>(Table1[[#This Row],[alcohol]]*2)+(Table1[[#This Row],[sulphates]]*1.5)-(Table1[[#This Row],[volatile acidity]]*2)</f>
        <v>21.39</v>
      </c>
      <c r="Q1381" s="1">
        <f>RANK(Table1[[#This Row],[Quality_score_index]],Table1[Quality_score_index],0)</f>
        <v>559</v>
      </c>
      <c r="R1381" s="1">
        <f>Table1[[#This Row],[total sulfur dioxide]]-Table1[[#This Row],[free sulfur dioxide]]</f>
        <v>24</v>
      </c>
      <c r="S1381" s="1" t="str">
        <f>IF(AND(Table1[[#This Row],[pH]]&gt;=3.2,Table1[[#This Row],[alcohol]]&gt;=10),"White wine","Red wine")</f>
        <v>White wine</v>
      </c>
    </row>
    <row r="1382" spans="1:19" x14ac:dyDescent="0.3">
      <c r="A1382" s="13">
        <v>1381</v>
      </c>
      <c r="B1382" s="1">
        <v>7.5</v>
      </c>
      <c r="C1382" s="1">
        <v>0.56999999999999995</v>
      </c>
      <c r="D1382" s="1">
        <v>0.02</v>
      </c>
      <c r="E1382" s="1">
        <v>2.6</v>
      </c>
      <c r="F1382" s="1">
        <v>7.6999999999999999E-2</v>
      </c>
      <c r="G1382" s="1">
        <v>11</v>
      </c>
      <c r="H1382" s="1">
        <v>35</v>
      </c>
      <c r="I1382" s="1">
        <v>0.99556999999999995</v>
      </c>
      <c r="J1382" s="1">
        <v>3.36</v>
      </c>
      <c r="K1382" s="1">
        <v>0.62</v>
      </c>
      <c r="L1382" s="1">
        <v>10.8</v>
      </c>
      <c r="M1382" s="2">
        <v>6</v>
      </c>
      <c r="N1382" s="2" t="str" cm="1">
        <f t="array" ref="N1382">_xlfn.IFS(Table1[[#This Row],[quality]]&lt;=4,"Low",Table1[[#This Row],[quality]]&lt;=6,"Medium",Table1[[#This Row],[quality]]&gt;=7,"High")</f>
        <v>Medium</v>
      </c>
      <c r="O1382" s="2" t="str">
        <f>IF(AND(Table1[[#This Row],[fixed acidity]]&gt;Sheet1!$C$4,Table1[[#This Row],[pH]]&lt;Sheet1!$K$4),"High","Normal")</f>
        <v>Normal</v>
      </c>
      <c r="P1382" s="1">
        <f>(Table1[[#This Row],[alcohol]]*2)+(Table1[[#This Row],[sulphates]]*1.5)-(Table1[[#This Row],[volatile acidity]]*2)</f>
        <v>21.39</v>
      </c>
      <c r="Q1382" s="1">
        <f>RANK(Table1[[#This Row],[Quality_score_index]],Table1[Quality_score_index],0)</f>
        <v>559</v>
      </c>
      <c r="R1382" s="1">
        <f>Table1[[#This Row],[total sulfur dioxide]]-Table1[[#This Row],[free sulfur dioxide]]</f>
        <v>24</v>
      </c>
      <c r="S1382" s="1" t="str">
        <f>IF(AND(Table1[[#This Row],[pH]]&gt;=3.2,Table1[[#This Row],[alcohol]]&gt;=10),"White wine","Red wine")</f>
        <v>White wine</v>
      </c>
    </row>
    <row r="1383" spans="1:19" x14ac:dyDescent="0.3">
      <c r="A1383" s="13">
        <v>1382</v>
      </c>
      <c r="B1383" s="1">
        <v>6.8</v>
      </c>
      <c r="C1383" s="1">
        <v>0.83</v>
      </c>
      <c r="D1383" s="1">
        <v>0.09</v>
      </c>
      <c r="E1383" s="1">
        <v>1.8</v>
      </c>
      <c r="F1383" s="1">
        <v>7.3999999999999996E-2</v>
      </c>
      <c r="G1383" s="1">
        <v>4</v>
      </c>
      <c r="H1383" s="1">
        <v>25</v>
      </c>
      <c r="I1383" s="1">
        <v>0.99534</v>
      </c>
      <c r="J1383" s="1">
        <v>3.38</v>
      </c>
      <c r="K1383" s="1">
        <v>0.45</v>
      </c>
      <c r="L1383" s="1">
        <v>9.6</v>
      </c>
      <c r="M1383" s="2">
        <v>5</v>
      </c>
      <c r="N1383" s="2" t="str" cm="1">
        <f t="array" ref="N1383">_xlfn.IFS(Table1[[#This Row],[quality]]&lt;=4,"Low",Table1[[#This Row],[quality]]&lt;=6,"Medium",Table1[[#This Row],[quality]]&gt;=7,"High")</f>
        <v>Medium</v>
      </c>
      <c r="O1383" s="2" t="str">
        <f>IF(AND(Table1[[#This Row],[fixed acidity]]&gt;Sheet1!$C$4,Table1[[#This Row],[pH]]&lt;Sheet1!$K$4),"High","Normal")</f>
        <v>Normal</v>
      </c>
      <c r="P1383" s="1">
        <f>(Table1[[#This Row],[alcohol]]*2)+(Table1[[#This Row],[sulphates]]*1.5)-(Table1[[#This Row],[volatile acidity]]*2)</f>
        <v>18.215</v>
      </c>
      <c r="Q1383" s="1">
        <f>RANK(Table1[[#This Row],[Quality_score_index]],Table1[Quality_score_index],0)</f>
        <v>1479</v>
      </c>
      <c r="R1383" s="1">
        <f>Table1[[#This Row],[total sulfur dioxide]]-Table1[[#This Row],[free sulfur dioxide]]</f>
        <v>21</v>
      </c>
      <c r="S1383" s="1" t="str">
        <f>IF(AND(Table1[[#This Row],[pH]]&gt;=3.2,Table1[[#This Row],[alcohol]]&gt;=10),"White wine","Red wine")</f>
        <v>Red wine</v>
      </c>
    </row>
    <row r="1384" spans="1:19" x14ac:dyDescent="0.3">
      <c r="A1384" s="13">
        <v>1383</v>
      </c>
      <c r="B1384" s="1">
        <v>8</v>
      </c>
      <c r="C1384" s="1">
        <v>0.6</v>
      </c>
      <c r="D1384" s="1">
        <v>0.22</v>
      </c>
      <c r="E1384" s="1">
        <v>2.1</v>
      </c>
      <c r="F1384" s="1">
        <v>0.08</v>
      </c>
      <c r="G1384" s="1">
        <v>25</v>
      </c>
      <c r="H1384" s="1">
        <v>105</v>
      </c>
      <c r="I1384" s="1">
        <v>0.99612999999999996</v>
      </c>
      <c r="J1384" s="1">
        <v>3.3</v>
      </c>
      <c r="K1384" s="1">
        <v>0.49</v>
      </c>
      <c r="L1384" s="1">
        <v>9.9</v>
      </c>
      <c r="M1384" s="2">
        <v>5</v>
      </c>
      <c r="N1384" s="2" t="str" cm="1">
        <f t="array" ref="N1384">_xlfn.IFS(Table1[[#This Row],[quality]]&lt;=4,"Low",Table1[[#This Row],[quality]]&lt;=6,"Medium",Table1[[#This Row],[quality]]&gt;=7,"High")</f>
        <v>Medium</v>
      </c>
      <c r="O1384" s="2" t="str">
        <f>IF(AND(Table1[[#This Row],[fixed acidity]]&gt;Sheet1!$C$4,Table1[[#This Row],[pH]]&lt;Sheet1!$K$4),"High","Normal")</f>
        <v>Normal</v>
      </c>
      <c r="P1384" s="1">
        <f>(Table1[[#This Row],[alcohol]]*2)+(Table1[[#This Row],[sulphates]]*1.5)-(Table1[[#This Row],[volatile acidity]]*2)</f>
        <v>19.335000000000001</v>
      </c>
      <c r="Q1384" s="1">
        <f>RANK(Table1[[#This Row],[Quality_score_index]],Table1[Quality_score_index],0)</f>
        <v>1029</v>
      </c>
      <c r="R1384" s="1">
        <f>Table1[[#This Row],[total sulfur dioxide]]-Table1[[#This Row],[free sulfur dioxide]]</f>
        <v>80</v>
      </c>
      <c r="S1384" s="1" t="str">
        <f>IF(AND(Table1[[#This Row],[pH]]&gt;=3.2,Table1[[#This Row],[alcohol]]&gt;=10),"White wine","Red wine")</f>
        <v>Red wine</v>
      </c>
    </row>
    <row r="1385" spans="1:19" x14ac:dyDescent="0.3">
      <c r="A1385" s="13">
        <v>1384</v>
      </c>
      <c r="B1385" s="1">
        <v>8</v>
      </c>
      <c r="C1385" s="1">
        <v>0.6</v>
      </c>
      <c r="D1385" s="1">
        <v>0.22</v>
      </c>
      <c r="E1385" s="1">
        <v>2.1</v>
      </c>
      <c r="F1385" s="1">
        <v>0.08</v>
      </c>
      <c r="G1385" s="1">
        <v>25</v>
      </c>
      <c r="H1385" s="1">
        <v>105</v>
      </c>
      <c r="I1385" s="1">
        <v>0.99612999999999996</v>
      </c>
      <c r="J1385" s="1">
        <v>3.3</v>
      </c>
      <c r="K1385" s="1">
        <v>0.49</v>
      </c>
      <c r="L1385" s="1">
        <v>9.9</v>
      </c>
      <c r="M1385" s="2">
        <v>5</v>
      </c>
      <c r="N1385" s="2" t="str" cm="1">
        <f t="array" ref="N1385">_xlfn.IFS(Table1[[#This Row],[quality]]&lt;=4,"Low",Table1[[#This Row],[quality]]&lt;=6,"Medium",Table1[[#This Row],[quality]]&gt;=7,"High")</f>
        <v>Medium</v>
      </c>
      <c r="O1385" s="2" t="str">
        <f>IF(AND(Table1[[#This Row],[fixed acidity]]&gt;Sheet1!$C$4,Table1[[#This Row],[pH]]&lt;Sheet1!$K$4),"High","Normal")</f>
        <v>Normal</v>
      </c>
      <c r="P1385" s="1">
        <f>(Table1[[#This Row],[alcohol]]*2)+(Table1[[#This Row],[sulphates]]*1.5)-(Table1[[#This Row],[volatile acidity]]*2)</f>
        <v>19.335000000000001</v>
      </c>
      <c r="Q1385" s="1">
        <f>RANK(Table1[[#This Row],[Quality_score_index]],Table1[Quality_score_index],0)</f>
        <v>1029</v>
      </c>
      <c r="R1385" s="1">
        <f>Table1[[#This Row],[total sulfur dioxide]]-Table1[[#This Row],[free sulfur dioxide]]</f>
        <v>80</v>
      </c>
      <c r="S1385" s="1" t="str">
        <f>IF(AND(Table1[[#This Row],[pH]]&gt;=3.2,Table1[[#This Row],[alcohol]]&gt;=10),"White wine","Red wine")</f>
        <v>Red wine</v>
      </c>
    </row>
    <row r="1386" spans="1:19" x14ac:dyDescent="0.3">
      <c r="A1386" s="13">
        <v>1385</v>
      </c>
      <c r="B1386" s="1">
        <v>7.1</v>
      </c>
      <c r="C1386" s="1">
        <v>0.755</v>
      </c>
      <c r="D1386" s="1">
        <v>0.15</v>
      </c>
      <c r="E1386" s="1">
        <v>1.8</v>
      </c>
      <c r="F1386" s="1">
        <v>0.107</v>
      </c>
      <c r="G1386" s="1">
        <v>20</v>
      </c>
      <c r="H1386" s="1">
        <v>84</v>
      </c>
      <c r="I1386" s="1">
        <v>0.99592999999999998</v>
      </c>
      <c r="J1386" s="1">
        <v>3.19</v>
      </c>
      <c r="K1386" s="1">
        <v>0.5</v>
      </c>
      <c r="L1386" s="1">
        <v>9.5</v>
      </c>
      <c r="M1386" s="2">
        <v>5</v>
      </c>
      <c r="N1386" s="2" t="str" cm="1">
        <f t="array" ref="N1386">_xlfn.IFS(Table1[[#This Row],[quality]]&lt;=4,"Low",Table1[[#This Row],[quality]]&lt;=6,"Medium",Table1[[#This Row],[quality]]&gt;=7,"High")</f>
        <v>Medium</v>
      </c>
      <c r="O1386" s="2" t="str">
        <f>IF(AND(Table1[[#This Row],[fixed acidity]]&gt;Sheet1!$C$4,Table1[[#This Row],[pH]]&lt;Sheet1!$K$4),"High","Normal")</f>
        <v>Normal</v>
      </c>
      <c r="P1386" s="1">
        <f>(Table1[[#This Row],[alcohol]]*2)+(Table1[[#This Row],[sulphates]]*1.5)-(Table1[[#This Row],[volatile acidity]]*2)</f>
        <v>18.239999999999998</v>
      </c>
      <c r="Q1386" s="1">
        <f>RANK(Table1[[#This Row],[Quality_score_index]],Table1[Quality_score_index],0)</f>
        <v>1472</v>
      </c>
      <c r="R1386" s="1">
        <f>Table1[[#This Row],[total sulfur dioxide]]-Table1[[#This Row],[free sulfur dioxide]]</f>
        <v>64</v>
      </c>
      <c r="S1386" s="1" t="str">
        <f>IF(AND(Table1[[#This Row],[pH]]&gt;=3.2,Table1[[#This Row],[alcohol]]&gt;=10),"White wine","Red wine")</f>
        <v>Red wine</v>
      </c>
    </row>
    <row r="1387" spans="1:19" x14ac:dyDescent="0.3">
      <c r="A1387" s="13">
        <v>1386</v>
      </c>
      <c r="B1387" s="1">
        <v>8</v>
      </c>
      <c r="C1387" s="1">
        <v>0.81</v>
      </c>
      <c r="D1387" s="1">
        <v>0.25</v>
      </c>
      <c r="E1387" s="1">
        <v>3.4</v>
      </c>
      <c r="F1387" s="1">
        <v>7.5999999999999998E-2</v>
      </c>
      <c r="G1387" s="1">
        <v>34</v>
      </c>
      <c r="H1387" s="1">
        <v>85</v>
      </c>
      <c r="I1387" s="1">
        <v>0.99668000000000001</v>
      </c>
      <c r="J1387" s="1">
        <v>3.19</v>
      </c>
      <c r="K1387" s="1">
        <v>0.42</v>
      </c>
      <c r="L1387" s="1">
        <v>9.1999999999999993</v>
      </c>
      <c r="M1387" s="2">
        <v>5</v>
      </c>
      <c r="N1387" s="2" t="str" cm="1">
        <f t="array" ref="N1387">_xlfn.IFS(Table1[[#This Row],[quality]]&lt;=4,"Low",Table1[[#This Row],[quality]]&lt;=6,"Medium",Table1[[#This Row],[quality]]&gt;=7,"High")</f>
        <v>Medium</v>
      </c>
      <c r="O1387" s="2" t="str">
        <f>IF(AND(Table1[[#This Row],[fixed acidity]]&gt;Sheet1!$C$4,Table1[[#This Row],[pH]]&lt;Sheet1!$K$4),"High","Normal")</f>
        <v>Normal</v>
      </c>
      <c r="P1387" s="1">
        <f>(Table1[[#This Row],[alcohol]]*2)+(Table1[[#This Row],[sulphates]]*1.5)-(Table1[[#This Row],[volatile acidity]]*2)</f>
        <v>17.409999999999997</v>
      </c>
      <c r="Q1387" s="1">
        <f>RANK(Table1[[#This Row],[Quality_score_index]],Table1[Quality_score_index],0)</f>
        <v>1589</v>
      </c>
      <c r="R1387" s="1">
        <f>Table1[[#This Row],[total sulfur dioxide]]-Table1[[#This Row],[free sulfur dioxide]]</f>
        <v>51</v>
      </c>
      <c r="S1387" s="1" t="str">
        <f>IF(AND(Table1[[#This Row],[pH]]&gt;=3.2,Table1[[#This Row],[alcohol]]&gt;=10),"White wine","Red wine")</f>
        <v>Red wine</v>
      </c>
    </row>
    <row r="1388" spans="1:19" x14ac:dyDescent="0.3">
      <c r="A1388" s="13">
        <v>1387</v>
      </c>
      <c r="B1388" s="1">
        <v>7.4</v>
      </c>
      <c r="C1388" s="1">
        <v>0.64</v>
      </c>
      <c r="D1388" s="1">
        <v>7.0000000000000007E-2</v>
      </c>
      <c r="E1388" s="1">
        <v>1.8</v>
      </c>
      <c r="F1388" s="1">
        <v>0.1</v>
      </c>
      <c r="G1388" s="1">
        <v>8</v>
      </c>
      <c r="H1388" s="1">
        <v>23</v>
      </c>
      <c r="I1388" s="1">
        <v>0.99609999999999999</v>
      </c>
      <c r="J1388" s="1">
        <v>3.3</v>
      </c>
      <c r="K1388" s="1">
        <v>0.57999999999999996</v>
      </c>
      <c r="L1388" s="1">
        <v>9.6</v>
      </c>
      <c r="M1388" s="2">
        <v>5</v>
      </c>
      <c r="N1388" s="2" t="str" cm="1">
        <f t="array" ref="N1388">_xlfn.IFS(Table1[[#This Row],[quality]]&lt;=4,"Low",Table1[[#This Row],[quality]]&lt;=6,"Medium",Table1[[#This Row],[quality]]&gt;=7,"High")</f>
        <v>Medium</v>
      </c>
      <c r="O1388" s="2" t="str">
        <f>IF(AND(Table1[[#This Row],[fixed acidity]]&gt;Sheet1!$C$4,Table1[[#This Row],[pH]]&lt;Sheet1!$K$4),"High","Normal")</f>
        <v>Normal</v>
      </c>
      <c r="P1388" s="1">
        <f>(Table1[[#This Row],[alcohol]]*2)+(Table1[[#This Row],[sulphates]]*1.5)-(Table1[[#This Row],[volatile acidity]]*2)</f>
        <v>18.79</v>
      </c>
      <c r="Q1388" s="1">
        <f>RANK(Table1[[#This Row],[Quality_score_index]],Table1[Quality_score_index],0)</f>
        <v>1249</v>
      </c>
      <c r="R1388" s="1">
        <f>Table1[[#This Row],[total sulfur dioxide]]-Table1[[#This Row],[free sulfur dioxide]]</f>
        <v>15</v>
      </c>
      <c r="S1388" s="1" t="str">
        <f>IF(AND(Table1[[#This Row],[pH]]&gt;=3.2,Table1[[#This Row],[alcohol]]&gt;=10),"White wine","Red wine")</f>
        <v>Red wine</v>
      </c>
    </row>
    <row r="1389" spans="1:19" x14ac:dyDescent="0.3">
      <c r="A1389" s="13">
        <v>1388</v>
      </c>
      <c r="B1389" s="1">
        <v>7.4</v>
      </c>
      <c r="C1389" s="1">
        <v>0.64</v>
      </c>
      <c r="D1389" s="1">
        <v>7.0000000000000007E-2</v>
      </c>
      <c r="E1389" s="1">
        <v>1.8</v>
      </c>
      <c r="F1389" s="1">
        <v>0.1</v>
      </c>
      <c r="G1389" s="1">
        <v>8</v>
      </c>
      <c r="H1389" s="1">
        <v>23</v>
      </c>
      <c r="I1389" s="1">
        <v>0.99609999999999999</v>
      </c>
      <c r="J1389" s="1">
        <v>3.3</v>
      </c>
      <c r="K1389" s="1">
        <v>0.57999999999999996</v>
      </c>
      <c r="L1389" s="1">
        <v>9.6</v>
      </c>
      <c r="M1389" s="2">
        <v>5</v>
      </c>
      <c r="N1389" s="2" t="str" cm="1">
        <f t="array" ref="N1389">_xlfn.IFS(Table1[[#This Row],[quality]]&lt;=4,"Low",Table1[[#This Row],[quality]]&lt;=6,"Medium",Table1[[#This Row],[quality]]&gt;=7,"High")</f>
        <v>Medium</v>
      </c>
      <c r="O1389" s="2" t="str">
        <f>IF(AND(Table1[[#This Row],[fixed acidity]]&gt;Sheet1!$C$4,Table1[[#This Row],[pH]]&lt;Sheet1!$K$4),"High","Normal")</f>
        <v>Normal</v>
      </c>
      <c r="P1389" s="1">
        <f>(Table1[[#This Row],[alcohol]]*2)+(Table1[[#This Row],[sulphates]]*1.5)-(Table1[[#This Row],[volatile acidity]]*2)</f>
        <v>18.79</v>
      </c>
      <c r="Q1389" s="1">
        <f>RANK(Table1[[#This Row],[Quality_score_index]],Table1[Quality_score_index],0)</f>
        <v>1249</v>
      </c>
      <c r="R1389" s="1">
        <f>Table1[[#This Row],[total sulfur dioxide]]-Table1[[#This Row],[free sulfur dioxide]]</f>
        <v>15</v>
      </c>
      <c r="S1389" s="1" t="str">
        <f>IF(AND(Table1[[#This Row],[pH]]&gt;=3.2,Table1[[#This Row],[alcohol]]&gt;=10),"White wine","Red wine")</f>
        <v>Red wine</v>
      </c>
    </row>
    <row r="1390" spans="1:19" x14ac:dyDescent="0.3">
      <c r="A1390" s="13">
        <v>1389</v>
      </c>
      <c r="B1390" s="1">
        <v>6.6</v>
      </c>
      <c r="C1390" s="1">
        <v>0.64</v>
      </c>
      <c r="D1390" s="1">
        <v>0.31</v>
      </c>
      <c r="E1390" s="1">
        <v>6.1</v>
      </c>
      <c r="F1390" s="1">
        <v>8.3000000000000004E-2</v>
      </c>
      <c r="G1390" s="1">
        <v>7</v>
      </c>
      <c r="H1390" s="1">
        <v>49</v>
      </c>
      <c r="I1390" s="1">
        <v>0.99717999999999996</v>
      </c>
      <c r="J1390" s="1">
        <v>3.35</v>
      </c>
      <c r="K1390" s="1">
        <v>0.68</v>
      </c>
      <c r="L1390" s="1">
        <v>10.3</v>
      </c>
      <c r="M1390" s="2">
        <v>5</v>
      </c>
      <c r="N1390" s="2" t="str" cm="1">
        <f t="array" ref="N1390">_xlfn.IFS(Table1[[#This Row],[quality]]&lt;=4,"Low",Table1[[#This Row],[quality]]&lt;=6,"Medium",Table1[[#This Row],[quality]]&gt;=7,"High")</f>
        <v>Medium</v>
      </c>
      <c r="O1390" s="2" t="str">
        <f>IF(AND(Table1[[#This Row],[fixed acidity]]&gt;Sheet1!$C$4,Table1[[#This Row],[pH]]&lt;Sheet1!$K$4),"High","Normal")</f>
        <v>Normal</v>
      </c>
      <c r="P1390" s="1">
        <f>(Table1[[#This Row],[alcohol]]*2)+(Table1[[#This Row],[sulphates]]*1.5)-(Table1[[#This Row],[volatile acidity]]*2)</f>
        <v>20.34</v>
      </c>
      <c r="Q1390" s="1">
        <f>RANK(Table1[[#This Row],[Quality_score_index]],Table1[Quality_score_index],0)</f>
        <v>782</v>
      </c>
      <c r="R1390" s="1">
        <f>Table1[[#This Row],[total sulfur dioxide]]-Table1[[#This Row],[free sulfur dioxide]]</f>
        <v>42</v>
      </c>
      <c r="S1390" s="1" t="str">
        <f>IF(AND(Table1[[#This Row],[pH]]&gt;=3.2,Table1[[#This Row],[alcohol]]&gt;=10),"White wine","Red wine")</f>
        <v>White wine</v>
      </c>
    </row>
    <row r="1391" spans="1:19" x14ac:dyDescent="0.3">
      <c r="A1391" s="13">
        <v>1390</v>
      </c>
      <c r="B1391" s="1">
        <v>6.7</v>
      </c>
      <c r="C1391" s="1">
        <v>0.48</v>
      </c>
      <c r="D1391" s="1">
        <v>0.02</v>
      </c>
      <c r="E1391" s="1">
        <v>2.2000000000000002</v>
      </c>
      <c r="F1391" s="1">
        <v>0.08</v>
      </c>
      <c r="G1391" s="1">
        <v>36</v>
      </c>
      <c r="H1391" s="1">
        <v>111</v>
      </c>
      <c r="I1391" s="1">
        <v>0.99524000000000001</v>
      </c>
      <c r="J1391" s="1">
        <v>3.1</v>
      </c>
      <c r="K1391" s="1">
        <v>0.53</v>
      </c>
      <c r="L1391" s="1">
        <v>9.6999999999999993</v>
      </c>
      <c r="M1391" s="2">
        <v>5</v>
      </c>
      <c r="N1391" s="2" t="str" cm="1">
        <f t="array" ref="N1391">_xlfn.IFS(Table1[[#This Row],[quality]]&lt;=4,"Low",Table1[[#This Row],[quality]]&lt;=6,"Medium",Table1[[#This Row],[quality]]&gt;=7,"High")</f>
        <v>Medium</v>
      </c>
      <c r="O1391" s="2" t="str">
        <f>IF(AND(Table1[[#This Row],[fixed acidity]]&gt;Sheet1!$C$4,Table1[[#This Row],[pH]]&lt;Sheet1!$K$4),"High","Normal")</f>
        <v>Normal</v>
      </c>
      <c r="P1391" s="1">
        <f>(Table1[[#This Row],[alcohol]]*2)+(Table1[[#This Row],[sulphates]]*1.5)-(Table1[[#This Row],[volatile acidity]]*2)</f>
        <v>19.234999999999999</v>
      </c>
      <c r="Q1391" s="1">
        <f>RANK(Table1[[#This Row],[Quality_score_index]],Table1[Quality_score_index],0)</f>
        <v>1066</v>
      </c>
      <c r="R1391" s="1">
        <f>Table1[[#This Row],[total sulfur dioxide]]-Table1[[#This Row],[free sulfur dioxide]]</f>
        <v>75</v>
      </c>
      <c r="S1391" s="1" t="str">
        <f>IF(AND(Table1[[#This Row],[pH]]&gt;=3.2,Table1[[#This Row],[alcohol]]&gt;=10),"White wine","Red wine")</f>
        <v>Red wine</v>
      </c>
    </row>
    <row r="1392" spans="1:19" x14ac:dyDescent="0.3">
      <c r="A1392" s="13">
        <v>1391</v>
      </c>
      <c r="B1392" s="1">
        <v>6</v>
      </c>
      <c r="C1392" s="1">
        <v>0.49</v>
      </c>
      <c r="D1392" s="1">
        <v>0</v>
      </c>
      <c r="E1392" s="1">
        <v>2.2999999999999998</v>
      </c>
      <c r="F1392" s="1">
        <v>6.8000000000000005E-2</v>
      </c>
      <c r="G1392" s="1">
        <v>15</v>
      </c>
      <c r="H1392" s="1">
        <v>33</v>
      </c>
      <c r="I1392" s="1">
        <v>0.99292000000000002</v>
      </c>
      <c r="J1392" s="1">
        <v>3.58</v>
      </c>
      <c r="K1392" s="1">
        <v>0.59</v>
      </c>
      <c r="L1392" s="1">
        <v>12.5</v>
      </c>
      <c r="M1392" s="2">
        <v>6</v>
      </c>
      <c r="N1392" s="2" t="str" cm="1">
        <f t="array" ref="N1392">_xlfn.IFS(Table1[[#This Row],[quality]]&lt;=4,"Low",Table1[[#This Row],[quality]]&lt;=6,"Medium",Table1[[#This Row],[quality]]&gt;=7,"High")</f>
        <v>Medium</v>
      </c>
      <c r="O1392" s="2" t="str">
        <f>IF(AND(Table1[[#This Row],[fixed acidity]]&gt;Sheet1!$C$4,Table1[[#This Row],[pH]]&lt;Sheet1!$K$4),"High","Normal")</f>
        <v>Normal</v>
      </c>
      <c r="P1392" s="1">
        <f>(Table1[[#This Row],[alcohol]]*2)+(Table1[[#This Row],[sulphates]]*1.5)-(Table1[[#This Row],[volatile acidity]]*2)</f>
        <v>24.905000000000001</v>
      </c>
      <c r="Q1392" s="1">
        <f>RANK(Table1[[#This Row],[Quality_score_index]],Table1[Quality_score_index],0)</f>
        <v>97</v>
      </c>
      <c r="R1392" s="1">
        <f>Table1[[#This Row],[total sulfur dioxide]]-Table1[[#This Row],[free sulfur dioxide]]</f>
        <v>18</v>
      </c>
      <c r="S1392" s="1" t="str">
        <f>IF(AND(Table1[[#This Row],[pH]]&gt;=3.2,Table1[[#This Row],[alcohol]]&gt;=10),"White wine","Red wine")</f>
        <v>White wine</v>
      </c>
    </row>
    <row r="1393" spans="1:19" x14ac:dyDescent="0.3">
      <c r="A1393" s="13">
        <v>1392</v>
      </c>
      <c r="B1393" s="1">
        <v>8</v>
      </c>
      <c r="C1393" s="1">
        <v>0.64</v>
      </c>
      <c r="D1393" s="1">
        <v>0.22</v>
      </c>
      <c r="E1393" s="1">
        <v>2.4</v>
      </c>
      <c r="F1393" s="1">
        <v>9.4E-2</v>
      </c>
      <c r="G1393" s="1">
        <v>5</v>
      </c>
      <c r="H1393" s="1">
        <v>33</v>
      </c>
      <c r="I1393" s="1">
        <v>0.99612000000000001</v>
      </c>
      <c r="J1393" s="1">
        <v>3.37</v>
      </c>
      <c r="K1393" s="1">
        <v>0.57999999999999996</v>
      </c>
      <c r="L1393" s="1">
        <v>11</v>
      </c>
      <c r="M1393" s="2">
        <v>5</v>
      </c>
      <c r="N1393" s="2" t="str" cm="1">
        <f t="array" ref="N1393">_xlfn.IFS(Table1[[#This Row],[quality]]&lt;=4,"Low",Table1[[#This Row],[quality]]&lt;=6,"Medium",Table1[[#This Row],[quality]]&gt;=7,"High")</f>
        <v>Medium</v>
      </c>
      <c r="O1393" s="2" t="str">
        <f>IF(AND(Table1[[#This Row],[fixed acidity]]&gt;Sheet1!$C$4,Table1[[#This Row],[pH]]&lt;Sheet1!$K$4),"High","Normal")</f>
        <v>Normal</v>
      </c>
      <c r="P1393" s="1">
        <f>(Table1[[#This Row],[alcohol]]*2)+(Table1[[#This Row],[sulphates]]*1.5)-(Table1[[#This Row],[volatile acidity]]*2)</f>
        <v>21.59</v>
      </c>
      <c r="Q1393" s="1">
        <f>RANK(Table1[[#This Row],[Quality_score_index]],Table1[Quality_score_index],0)</f>
        <v>528</v>
      </c>
      <c r="R1393" s="1">
        <f>Table1[[#This Row],[total sulfur dioxide]]-Table1[[#This Row],[free sulfur dioxide]]</f>
        <v>28</v>
      </c>
      <c r="S1393" s="1" t="str">
        <f>IF(AND(Table1[[#This Row],[pH]]&gt;=3.2,Table1[[#This Row],[alcohol]]&gt;=10),"White wine","Red wine")</f>
        <v>White wine</v>
      </c>
    </row>
    <row r="1394" spans="1:19" x14ac:dyDescent="0.3">
      <c r="A1394" s="13">
        <v>1393</v>
      </c>
      <c r="B1394" s="1">
        <v>7.1</v>
      </c>
      <c r="C1394" s="1">
        <v>0.62</v>
      </c>
      <c r="D1394" s="1">
        <v>0.06</v>
      </c>
      <c r="E1394" s="1">
        <v>1.3</v>
      </c>
      <c r="F1394" s="1">
        <v>7.0000000000000007E-2</v>
      </c>
      <c r="G1394" s="1">
        <v>5</v>
      </c>
      <c r="H1394" s="1">
        <v>12</v>
      </c>
      <c r="I1394" s="1">
        <v>0.99419999999999997</v>
      </c>
      <c r="J1394" s="1">
        <v>3.17</v>
      </c>
      <c r="K1394" s="1">
        <v>0.48</v>
      </c>
      <c r="L1394" s="1">
        <v>9.8000000000000007</v>
      </c>
      <c r="M1394" s="2">
        <v>5</v>
      </c>
      <c r="N1394" s="2" t="str" cm="1">
        <f t="array" ref="N1394">_xlfn.IFS(Table1[[#This Row],[quality]]&lt;=4,"Low",Table1[[#This Row],[quality]]&lt;=6,"Medium",Table1[[#This Row],[quality]]&gt;=7,"High")</f>
        <v>Medium</v>
      </c>
      <c r="O1394" s="2" t="str">
        <f>IF(AND(Table1[[#This Row],[fixed acidity]]&gt;Sheet1!$C$4,Table1[[#This Row],[pH]]&lt;Sheet1!$K$4),"High","Normal")</f>
        <v>Normal</v>
      </c>
      <c r="P1394" s="1">
        <f>(Table1[[#This Row],[alcohol]]*2)+(Table1[[#This Row],[sulphates]]*1.5)-(Table1[[#This Row],[volatile acidity]]*2)</f>
        <v>19.080000000000002</v>
      </c>
      <c r="Q1394" s="1">
        <f>RANK(Table1[[#This Row],[Quality_score_index]],Table1[Quality_score_index],0)</f>
        <v>1131</v>
      </c>
      <c r="R1394" s="1">
        <f>Table1[[#This Row],[total sulfur dioxide]]-Table1[[#This Row],[free sulfur dioxide]]</f>
        <v>7</v>
      </c>
      <c r="S1394" s="1" t="str">
        <f>IF(AND(Table1[[#This Row],[pH]]&gt;=3.2,Table1[[#This Row],[alcohol]]&gt;=10),"White wine","Red wine")</f>
        <v>Red wine</v>
      </c>
    </row>
    <row r="1395" spans="1:19" x14ac:dyDescent="0.3">
      <c r="A1395" s="13">
        <v>1394</v>
      </c>
      <c r="B1395" s="1">
        <v>8</v>
      </c>
      <c r="C1395" s="1">
        <v>0.52</v>
      </c>
      <c r="D1395" s="1">
        <v>0.25</v>
      </c>
      <c r="E1395" s="1">
        <v>2</v>
      </c>
      <c r="F1395" s="1">
        <v>7.8E-2</v>
      </c>
      <c r="G1395" s="1">
        <v>19</v>
      </c>
      <c r="H1395" s="1">
        <v>59</v>
      </c>
      <c r="I1395" s="1">
        <v>0.99612000000000001</v>
      </c>
      <c r="J1395" s="1">
        <v>3.3</v>
      </c>
      <c r="K1395" s="1">
        <v>0.48</v>
      </c>
      <c r="L1395" s="1">
        <v>10.199999999999999</v>
      </c>
      <c r="M1395" s="2">
        <v>5</v>
      </c>
      <c r="N1395" s="2" t="str" cm="1">
        <f t="array" ref="N1395">_xlfn.IFS(Table1[[#This Row],[quality]]&lt;=4,"Low",Table1[[#This Row],[quality]]&lt;=6,"Medium",Table1[[#This Row],[quality]]&gt;=7,"High")</f>
        <v>Medium</v>
      </c>
      <c r="O1395" s="2" t="str">
        <f>IF(AND(Table1[[#This Row],[fixed acidity]]&gt;Sheet1!$C$4,Table1[[#This Row],[pH]]&lt;Sheet1!$K$4),"High","Normal")</f>
        <v>Normal</v>
      </c>
      <c r="P1395" s="1">
        <f>(Table1[[#This Row],[alcohol]]*2)+(Table1[[#This Row],[sulphates]]*1.5)-(Table1[[#This Row],[volatile acidity]]*2)</f>
        <v>20.079999999999998</v>
      </c>
      <c r="Q1395" s="1">
        <f>RANK(Table1[[#This Row],[Quality_score_index]],Table1[Quality_score_index],0)</f>
        <v>844</v>
      </c>
      <c r="R1395" s="1">
        <f>Table1[[#This Row],[total sulfur dioxide]]-Table1[[#This Row],[free sulfur dioxide]]</f>
        <v>40</v>
      </c>
      <c r="S1395" s="1" t="str">
        <f>IF(AND(Table1[[#This Row],[pH]]&gt;=3.2,Table1[[#This Row],[alcohol]]&gt;=10),"White wine","Red wine")</f>
        <v>White wine</v>
      </c>
    </row>
    <row r="1396" spans="1:19" x14ac:dyDescent="0.3">
      <c r="A1396" s="13">
        <v>1395</v>
      </c>
      <c r="B1396" s="1">
        <v>6.4</v>
      </c>
      <c r="C1396" s="1">
        <v>0.56999999999999995</v>
      </c>
      <c r="D1396" s="1">
        <v>0.14000000000000001</v>
      </c>
      <c r="E1396" s="1">
        <v>3.9</v>
      </c>
      <c r="F1396" s="1">
        <v>7.0000000000000007E-2</v>
      </c>
      <c r="G1396" s="1">
        <v>27</v>
      </c>
      <c r="H1396" s="1">
        <v>73</v>
      </c>
      <c r="I1396" s="1">
        <v>0.99668999999999996</v>
      </c>
      <c r="J1396" s="1">
        <v>3.32</v>
      </c>
      <c r="K1396" s="1">
        <v>0.48</v>
      </c>
      <c r="L1396" s="1">
        <v>9.1999999999999993</v>
      </c>
      <c r="M1396" s="2">
        <v>5</v>
      </c>
      <c r="N1396" s="2" t="str" cm="1">
        <f t="array" ref="N1396">_xlfn.IFS(Table1[[#This Row],[quality]]&lt;=4,"Low",Table1[[#This Row],[quality]]&lt;=6,"Medium",Table1[[#This Row],[quality]]&gt;=7,"High")</f>
        <v>Medium</v>
      </c>
      <c r="O1396" s="2" t="str">
        <f>IF(AND(Table1[[#This Row],[fixed acidity]]&gt;Sheet1!$C$4,Table1[[#This Row],[pH]]&lt;Sheet1!$K$4),"High","Normal")</f>
        <v>Normal</v>
      </c>
      <c r="P1396" s="1">
        <f>(Table1[[#This Row],[alcohol]]*2)+(Table1[[#This Row],[sulphates]]*1.5)-(Table1[[#This Row],[volatile acidity]]*2)</f>
        <v>17.979999999999997</v>
      </c>
      <c r="Q1396" s="1">
        <f>RANK(Table1[[#This Row],[Quality_score_index]],Table1[Quality_score_index],0)</f>
        <v>1525</v>
      </c>
      <c r="R1396" s="1">
        <f>Table1[[#This Row],[total sulfur dioxide]]-Table1[[#This Row],[free sulfur dioxide]]</f>
        <v>46</v>
      </c>
      <c r="S1396" s="1" t="str">
        <f>IF(AND(Table1[[#This Row],[pH]]&gt;=3.2,Table1[[#This Row],[alcohol]]&gt;=10),"White wine","Red wine")</f>
        <v>Red wine</v>
      </c>
    </row>
    <row r="1397" spans="1:19" x14ac:dyDescent="0.3">
      <c r="A1397" s="13">
        <v>1396</v>
      </c>
      <c r="B1397" s="1">
        <v>8.6</v>
      </c>
      <c r="C1397" s="1">
        <v>0.68500000000000005</v>
      </c>
      <c r="D1397" s="1">
        <v>0.1</v>
      </c>
      <c r="E1397" s="1">
        <v>1.6</v>
      </c>
      <c r="F1397" s="1">
        <v>9.1999999999999998E-2</v>
      </c>
      <c r="G1397" s="1">
        <v>3</v>
      </c>
      <c r="H1397" s="1">
        <v>12</v>
      </c>
      <c r="I1397" s="1">
        <v>0.99744999999999995</v>
      </c>
      <c r="J1397" s="1">
        <v>3.31</v>
      </c>
      <c r="K1397" s="1">
        <v>0.65</v>
      </c>
      <c r="L1397" s="1">
        <v>9.5500000000000007</v>
      </c>
      <c r="M1397" s="2">
        <v>6</v>
      </c>
      <c r="N1397" s="2" t="str" cm="1">
        <f t="array" ref="N1397">_xlfn.IFS(Table1[[#This Row],[quality]]&lt;=4,"Low",Table1[[#This Row],[quality]]&lt;=6,"Medium",Table1[[#This Row],[quality]]&gt;=7,"High")</f>
        <v>Medium</v>
      </c>
      <c r="O1397" s="2" t="str">
        <f>IF(AND(Table1[[#This Row],[fixed acidity]]&gt;Sheet1!$C$4,Table1[[#This Row],[pH]]&lt;Sheet1!$K$4),"High","Normal")</f>
        <v>High</v>
      </c>
      <c r="P1397" s="1">
        <f>(Table1[[#This Row],[alcohol]]*2)+(Table1[[#This Row],[sulphates]]*1.5)-(Table1[[#This Row],[volatile acidity]]*2)</f>
        <v>18.705000000000002</v>
      </c>
      <c r="Q1397" s="1">
        <f>RANK(Table1[[#This Row],[Quality_score_index]],Table1[Quality_score_index],0)</f>
        <v>1288</v>
      </c>
      <c r="R1397" s="1">
        <f>Table1[[#This Row],[total sulfur dioxide]]-Table1[[#This Row],[free sulfur dioxide]]</f>
        <v>9</v>
      </c>
      <c r="S1397" s="1" t="str">
        <f>IF(AND(Table1[[#This Row],[pH]]&gt;=3.2,Table1[[#This Row],[alcohol]]&gt;=10),"White wine","Red wine")</f>
        <v>Red wine</v>
      </c>
    </row>
    <row r="1398" spans="1:19" x14ac:dyDescent="0.3">
      <c r="A1398" s="13">
        <v>1397</v>
      </c>
      <c r="B1398" s="1">
        <v>8.6999999999999993</v>
      </c>
      <c r="C1398" s="1">
        <v>0.67500000000000004</v>
      </c>
      <c r="D1398" s="1">
        <v>0.1</v>
      </c>
      <c r="E1398" s="1">
        <v>1.6</v>
      </c>
      <c r="F1398" s="1">
        <v>0.09</v>
      </c>
      <c r="G1398" s="1">
        <v>4</v>
      </c>
      <c r="H1398" s="1">
        <v>11</v>
      </c>
      <c r="I1398" s="1">
        <v>0.99744999999999995</v>
      </c>
      <c r="J1398" s="1">
        <v>3.31</v>
      </c>
      <c r="K1398" s="1">
        <v>0.65</v>
      </c>
      <c r="L1398" s="1">
        <v>9.5500000000000007</v>
      </c>
      <c r="M1398" s="2">
        <v>5</v>
      </c>
      <c r="N1398" s="2" t="str" cm="1">
        <f t="array" ref="N1398">_xlfn.IFS(Table1[[#This Row],[quality]]&lt;=4,"Low",Table1[[#This Row],[quality]]&lt;=6,"Medium",Table1[[#This Row],[quality]]&gt;=7,"High")</f>
        <v>Medium</v>
      </c>
      <c r="O1398" s="2" t="str">
        <f>IF(AND(Table1[[#This Row],[fixed acidity]]&gt;Sheet1!$C$4,Table1[[#This Row],[pH]]&lt;Sheet1!$K$4),"High","Normal")</f>
        <v>High</v>
      </c>
      <c r="P1398" s="1">
        <f>(Table1[[#This Row],[alcohol]]*2)+(Table1[[#This Row],[sulphates]]*1.5)-(Table1[[#This Row],[volatile acidity]]*2)</f>
        <v>18.725000000000001</v>
      </c>
      <c r="Q1398" s="1">
        <f>RANK(Table1[[#This Row],[Quality_score_index]],Table1[Quality_score_index],0)</f>
        <v>1274</v>
      </c>
      <c r="R1398" s="1">
        <f>Table1[[#This Row],[total sulfur dioxide]]-Table1[[#This Row],[free sulfur dioxide]]</f>
        <v>7</v>
      </c>
      <c r="S1398" s="1" t="str">
        <f>IF(AND(Table1[[#This Row],[pH]]&gt;=3.2,Table1[[#This Row],[alcohol]]&gt;=10),"White wine","Red wine")</f>
        <v>Red wine</v>
      </c>
    </row>
    <row r="1399" spans="1:19" x14ac:dyDescent="0.3">
      <c r="A1399" s="13">
        <v>1398</v>
      </c>
      <c r="B1399" s="1">
        <v>7.3</v>
      </c>
      <c r="C1399" s="1">
        <v>0.59</v>
      </c>
      <c r="D1399" s="1">
        <v>0.26</v>
      </c>
      <c r="E1399" s="1">
        <v>2</v>
      </c>
      <c r="F1399" s="1">
        <v>0.08</v>
      </c>
      <c r="G1399" s="1">
        <v>17</v>
      </c>
      <c r="H1399" s="1">
        <v>104</v>
      </c>
      <c r="I1399" s="1">
        <v>0.99583999999999995</v>
      </c>
      <c r="J1399" s="1">
        <v>3.28</v>
      </c>
      <c r="K1399" s="1">
        <v>0.52</v>
      </c>
      <c r="L1399" s="1">
        <v>9.9</v>
      </c>
      <c r="M1399" s="2">
        <v>5</v>
      </c>
      <c r="N1399" s="2" t="str" cm="1">
        <f t="array" ref="N1399">_xlfn.IFS(Table1[[#This Row],[quality]]&lt;=4,"Low",Table1[[#This Row],[quality]]&lt;=6,"Medium",Table1[[#This Row],[quality]]&gt;=7,"High")</f>
        <v>Medium</v>
      </c>
      <c r="O1399" s="2" t="str">
        <f>IF(AND(Table1[[#This Row],[fixed acidity]]&gt;Sheet1!$C$4,Table1[[#This Row],[pH]]&lt;Sheet1!$K$4),"High","Normal")</f>
        <v>Normal</v>
      </c>
      <c r="P1399" s="1">
        <f>(Table1[[#This Row],[alcohol]]*2)+(Table1[[#This Row],[sulphates]]*1.5)-(Table1[[#This Row],[volatile acidity]]*2)</f>
        <v>19.400000000000002</v>
      </c>
      <c r="Q1399" s="1">
        <f>RANK(Table1[[#This Row],[Quality_score_index]],Table1[Quality_score_index],0)</f>
        <v>1004</v>
      </c>
      <c r="R1399" s="1">
        <f>Table1[[#This Row],[total sulfur dioxide]]-Table1[[#This Row],[free sulfur dioxide]]</f>
        <v>87</v>
      </c>
      <c r="S1399" s="1" t="str">
        <f>IF(AND(Table1[[#This Row],[pH]]&gt;=3.2,Table1[[#This Row],[alcohol]]&gt;=10),"White wine","Red wine")</f>
        <v>Red wine</v>
      </c>
    </row>
    <row r="1400" spans="1:19" x14ac:dyDescent="0.3">
      <c r="A1400" s="13">
        <v>1399</v>
      </c>
      <c r="B1400" s="1">
        <v>7</v>
      </c>
      <c r="C1400" s="1">
        <v>0.6</v>
      </c>
      <c r="D1400" s="1">
        <v>0.12</v>
      </c>
      <c r="E1400" s="1">
        <v>2.2000000000000002</v>
      </c>
      <c r="F1400" s="1">
        <v>8.3000000000000004E-2</v>
      </c>
      <c r="G1400" s="1">
        <v>13</v>
      </c>
      <c r="H1400" s="1">
        <v>28</v>
      </c>
      <c r="I1400" s="1">
        <v>0.99660000000000004</v>
      </c>
      <c r="J1400" s="1">
        <v>3.52</v>
      </c>
      <c r="K1400" s="1">
        <v>0.62</v>
      </c>
      <c r="L1400" s="1">
        <v>10.199999999999999</v>
      </c>
      <c r="M1400" s="2">
        <v>7</v>
      </c>
      <c r="N1400" s="2" t="str" cm="1">
        <f t="array" ref="N1400">_xlfn.IFS(Table1[[#This Row],[quality]]&lt;=4,"Low",Table1[[#This Row],[quality]]&lt;=6,"Medium",Table1[[#This Row],[quality]]&gt;=7,"High")</f>
        <v>High</v>
      </c>
      <c r="O1400" s="2" t="str">
        <f>IF(AND(Table1[[#This Row],[fixed acidity]]&gt;Sheet1!$C$4,Table1[[#This Row],[pH]]&lt;Sheet1!$K$4),"High","Normal")</f>
        <v>Normal</v>
      </c>
      <c r="P1400" s="1">
        <f>(Table1[[#This Row],[alcohol]]*2)+(Table1[[#This Row],[sulphates]]*1.5)-(Table1[[#This Row],[volatile acidity]]*2)</f>
        <v>20.13</v>
      </c>
      <c r="Q1400" s="1">
        <f>RANK(Table1[[#This Row],[Quality_score_index]],Table1[Quality_score_index],0)</f>
        <v>831</v>
      </c>
      <c r="R1400" s="1">
        <f>Table1[[#This Row],[total sulfur dioxide]]-Table1[[#This Row],[free sulfur dioxide]]</f>
        <v>15</v>
      </c>
      <c r="S1400" s="1" t="str">
        <f>IF(AND(Table1[[#This Row],[pH]]&gt;=3.2,Table1[[#This Row],[alcohol]]&gt;=10),"White wine","Red wine")</f>
        <v>White wine</v>
      </c>
    </row>
    <row r="1401" spans="1:19" x14ac:dyDescent="0.3">
      <c r="A1401" s="13">
        <v>1400</v>
      </c>
      <c r="B1401" s="1">
        <v>7.2</v>
      </c>
      <c r="C1401" s="1">
        <v>0.67</v>
      </c>
      <c r="D1401" s="1">
        <v>0</v>
      </c>
      <c r="E1401" s="1">
        <v>2.2000000000000002</v>
      </c>
      <c r="F1401" s="1">
        <v>6.8000000000000005E-2</v>
      </c>
      <c r="G1401" s="1">
        <v>10</v>
      </c>
      <c r="H1401" s="1">
        <v>24</v>
      </c>
      <c r="I1401" s="1">
        <v>0.99560000000000004</v>
      </c>
      <c r="J1401" s="1">
        <v>3.42</v>
      </c>
      <c r="K1401" s="1">
        <v>0.72</v>
      </c>
      <c r="L1401" s="1">
        <v>11.1</v>
      </c>
      <c r="M1401" s="2">
        <v>6</v>
      </c>
      <c r="N1401" s="2" t="str" cm="1">
        <f t="array" ref="N1401">_xlfn.IFS(Table1[[#This Row],[quality]]&lt;=4,"Low",Table1[[#This Row],[quality]]&lt;=6,"Medium",Table1[[#This Row],[quality]]&gt;=7,"High")</f>
        <v>Medium</v>
      </c>
      <c r="O1401" s="2" t="str">
        <f>IF(AND(Table1[[#This Row],[fixed acidity]]&gt;Sheet1!$C$4,Table1[[#This Row],[pH]]&lt;Sheet1!$K$4),"High","Normal")</f>
        <v>Normal</v>
      </c>
      <c r="P1401" s="1">
        <f>(Table1[[#This Row],[alcohol]]*2)+(Table1[[#This Row],[sulphates]]*1.5)-(Table1[[#This Row],[volatile acidity]]*2)</f>
        <v>21.94</v>
      </c>
      <c r="Q1401" s="1">
        <f>RANK(Table1[[#This Row],[Quality_score_index]],Table1[Quality_score_index],0)</f>
        <v>465</v>
      </c>
      <c r="R1401" s="1">
        <f>Table1[[#This Row],[total sulfur dioxide]]-Table1[[#This Row],[free sulfur dioxide]]</f>
        <v>14</v>
      </c>
      <c r="S1401" s="1" t="str">
        <f>IF(AND(Table1[[#This Row],[pH]]&gt;=3.2,Table1[[#This Row],[alcohol]]&gt;=10),"White wine","Red wine")</f>
        <v>White wine</v>
      </c>
    </row>
    <row r="1402" spans="1:19" x14ac:dyDescent="0.3">
      <c r="A1402" s="13">
        <v>1401</v>
      </c>
      <c r="B1402" s="1">
        <v>7.9</v>
      </c>
      <c r="C1402" s="1">
        <v>0.69</v>
      </c>
      <c r="D1402" s="1">
        <v>0.21</v>
      </c>
      <c r="E1402" s="1">
        <v>2.1</v>
      </c>
      <c r="F1402" s="1">
        <v>0.08</v>
      </c>
      <c r="G1402" s="1">
        <v>33</v>
      </c>
      <c r="H1402" s="1">
        <v>141</v>
      </c>
      <c r="I1402" s="1">
        <v>0.99619999999999997</v>
      </c>
      <c r="J1402" s="1">
        <v>3.25</v>
      </c>
      <c r="K1402" s="1">
        <v>0.51</v>
      </c>
      <c r="L1402" s="1">
        <v>9.9</v>
      </c>
      <c r="M1402" s="2">
        <v>5</v>
      </c>
      <c r="N1402" s="2" t="str" cm="1">
        <f t="array" ref="N1402">_xlfn.IFS(Table1[[#This Row],[quality]]&lt;=4,"Low",Table1[[#This Row],[quality]]&lt;=6,"Medium",Table1[[#This Row],[quality]]&gt;=7,"High")</f>
        <v>Medium</v>
      </c>
      <c r="O1402" s="2" t="str">
        <f>IF(AND(Table1[[#This Row],[fixed acidity]]&gt;Sheet1!$C$4,Table1[[#This Row],[pH]]&lt;Sheet1!$K$4),"High","Normal")</f>
        <v>Normal</v>
      </c>
      <c r="P1402" s="1">
        <f>(Table1[[#This Row],[alcohol]]*2)+(Table1[[#This Row],[sulphates]]*1.5)-(Table1[[#This Row],[volatile acidity]]*2)</f>
        <v>19.185000000000002</v>
      </c>
      <c r="Q1402" s="1">
        <f>RANK(Table1[[#This Row],[Quality_score_index]],Table1[Quality_score_index],0)</f>
        <v>1088</v>
      </c>
      <c r="R1402" s="1">
        <f>Table1[[#This Row],[total sulfur dioxide]]-Table1[[#This Row],[free sulfur dioxide]]</f>
        <v>108</v>
      </c>
      <c r="S1402" s="1" t="str">
        <f>IF(AND(Table1[[#This Row],[pH]]&gt;=3.2,Table1[[#This Row],[alcohol]]&gt;=10),"White wine","Red wine")</f>
        <v>Red wine</v>
      </c>
    </row>
    <row r="1403" spans="1:19" x14ac:dyDescent="0.3">
      <c r="A1403" s="13">
        <v>1402</v>
      </c>
      <c r="B1403" s="1">
        <v>7.9</v>
      </c>
      <c r="C1403" s="1">
        <v>0.69</v>
      </c>
      <c r="D1403" s="1">
        <v>0.21</v>
      </c>
      <c r="E1403" s="1">
        <v>2.1</v>
      </c>
      <c r="F1403" s="1">
        <v>0.08</v>
      </c>
      <c r="G1403" s="1">
        <v>33</v>
      </c>
      <c r="H1403" s="1">
        <v>141</v>
      </c>
      <c r="I1403" s="1">
        <v>0.99619999999999997</v>
      </c>
      <c r="J1403" s="1">
        <v>3.25</v>
      </c>
      <c r="K1403" s="1">
        <v>0.51</v>
      </c>
      <c r="L1403" s="1">
        <v>9.9</v>
      </c>
      <c r="M1403" s="2">
        <v>5</v>
      </c>
      <c r="N1403" s="2" t="str" cm="1">
        <f t="array" ref="N1403">_xlfn.IFS(Table1[[#This Row],[quality]]&lt;=4,"Low",Table1[[#This Row],[quality]]&lt;=6,"Medium",Table1[[#This Row],[quality]]&gt;=7,"High")</f>
        <v>Medium</v>
      </c>
      <c r="O1403" s="2" t="str">
        <f>IF(AND(Table1[[#This Row],[fixed acidity]]&gt;Sheet1!$C$4,Table1[[#This Row],[pH]]&lt;Sheet1!$K$4),"High","Normal")</f>
        <v>Normal</v>
      </c>
      <c r="P1403" s="1">
        <f>(Table1[[#This Row],[alcohol]]*2)+(Table1[[#This Row],[sulphates]]*1.5)-(Table1[[#This Row],[volatile acidity]]*2)</f>
        <v>19.185000000000002</v>
      </c>
      <c r="Q1403" s="1">
        <f>RANK(Table1[[#This Row],[Quality_score_index]],Table1[Quality_score_index],0)</f>
        <v>1088</v>
      </c>
      <c r="R1403" s="1">
        <f>Table1[[#This Row],[total sulfur dioxide]]-Table1[[#This Row],[free sulfur dioxide]]</f>
        <v>108</v>
      </c>
      <c r="S1403" s="1" t="str">
        <f>IF(AND(Table1[[#This Row],[pH]]&gt;=3.2,Table1[[#This Row],[alcohol]]&gt;=10),"White wine","Red wine")</f>
        <v>Red wine</v>
      </c>
    </row>
    <row r="1404" spans="1:19" x14ac:dyDescent="0.3">
      <c r="A1404" s="13">
        <v>1403</v>
      </c>
      <c r="B1404" s="1">
        <v>7.6</v>
      </c>
      <c r="C1404" s="1">
        <v>0.3</v>
      </c>
      <c r="D1404" s="1">
        <v>0.42</v>
      </c>
      <c r="E1404" s="1">
        <v>2</v>
      </c>
      <c r="F1404" s="1">
        <v>5.1999999999999998E-2</v>
      </c>
      <c r="G1404" s="1">
        <v>6</v>
      </c>
      <c r="H1404" s="1">
        <v>24</v>
      </c>
      <c r="I1404" s="1">
        <v>0.99629999999999996</v>
      </c>
      <c r="J1404" s="1">
        <v>3.44</v>
      </c>
      <c r="K1404" s="1">
        <v>0.82</v>
      </c>
      <c r="L1404" s="1">
        <v>11.9</v>
      </c>
      <c r="M1404" s="2">
        <v>6</v>
      </c>
      <c r="N1404" s="2" t="str" cm="1">
        <f t="array" ref="N1404">_xlfn.IFS(Table1[[#This Row],[quality]]&lt;=4,"Low",Table1[[#This Row],[quality]]&lt;=6,"Medium",Table1[[#This Row],[quality]]&gt;=7,"High")</f>
        <v>Medium</v>
      </c>
      <c r="O1404" s="2" t="str">
        <f>IF(AND(Table1[[#This Row],[fixed acidity]]&gt;Sheet1!$C$4,Table1[[#This Row],[pH]]&lt;Sheet1!$K$4),"High","Normal")</f>
        <v>Normal</v>
      </c>
      <c r="P1404" s="1">
        <f>(Table1[[#This Row],[alcohol]]*2)+(Table1[[#This Row],[sulphates]]*1.5)-(Table1[[#This Row],[volatile acidity]]*2)</f>
        <v>24.43</v>
      </c>
      <c r="Q1404" s="1">
        <f>RANK(Table1[[#This Row],[Quality_score_index]],Table1[Quality_score_index],0)</f>
        <v>132</v>
      </c>
      <c r="R1404" s="1">
        <f>Table1[[#This Row],[total sulfur dioxide]]-Table1[[#This Row],[free sulfur dioxide]]</f>
        <v>18</v>
      </c>
      <c r="S1404" s="1" t="str">
        <f>IF(AND(Table1[[#This Row],[pH]]&gt;=3.2,Table1[[#This Row],[alcohol]]&gt;=10),"White wine","Red wine")</f>
        <v>White wine</v>
      </c>
    </row>
    <row r="1405" spans="1:19" x14ac:dyDescent="0.3">
      <c r="A1405" s="13">
        <v>1404</v>
      </c>
      <c r="B1405" s="1">
        <v>7.2</v>
      </c>
      <c r="C1405" s="1">
        <v>0.33</v>
      </c>
      <c r="D1405" s="1">
        <v>0.33</v>
      </c>
      <c r="E1405" s="1">
        <v>1.7</v>
      </c>
      <c r="F1405" s="1">
        <v>6.0999999999999999E-2</v>
      </c>
      <c r="G1405" s="1">
        <v>3</v>
      </c>
      <c r="H1405" s="1">
        <v>13</v>
      </c>
      <c r="I1405" s="1">
        <v>0.996</v>
      </c>
      <c r="J1405" s="1">
        <v>3.23</v>
      </c>
      <c r="K1405" s="1">
        <v>1.1000000000000001</v>
      </c>
      <c r="L1405" s="1">
        <v>10</v>
      </c>
      <c r="M1405" s="2">
        <v>8</v>
      </c>
      <c r="N1405" s="2" t="str" cm="1">
        <f t="array" ref="N1405">_xlfn.IFS(Table1[[#This Row],[quality]]&lt;=4,"Low",Table1[[#This Row],[quality]]&lt;=6,"Medium",Table1[[#This Row],[quality]]&gt;=7,"High")</f>
        <v>High</v>
      </c>
      <c r="O1405" s="2" t="str">
        <f>IF(AND(Table1[[#This Row],[fixed acidity]]&gt;Sheet1!$C$4,Table1[[#This Row],[pH]]&lt;Sheet1!$K$4),"High","Normal")</f>
        <v>Normal</v>
      </c>
      <c r="P1405" s="1">
        <f>(Table1[[#This Row],[alcohol]]*2)+(Table1[[#This Row],[sulphates]]*1.5)-(Table1[[#This Row],[volatile acidity]]*2)</f>
        <v>20.99</v>
      </c>
      <c r="Q1405" s="1">
        <f>RANK(Table1[[#This Row],[Quality_score_index]],Table1[Quality_score_index],0)</f>
        <v>654</v>
      </c>
      <c r="R1405" s="1">
        <f>Table1[[#This Row],[total sulfur dioxide]]-Table1[[#This Row],[free sulfur dioxide]]</f>
        <v>10</v>
      </c>
      <c r="S1405" s="1" t="str">
        <f>IF(AND(Table1[[#This Row],[pH]]&gt;=3.2,Table1[[#This Row],[alcohol]]&gt;=10),"White wine","Red wine")</f>
        <v>White wine</v>
      </c>
    </row>
    <row r="1406" spans="1:19" x14ac:dyDescent="0.3">
      <c r="A1406" s="13">
        <v>1405</v>
      </c>
      <c r="B1406" s="1">
        <v>8</v>
      </c>
      <c r="C1406" s="1">
        <v>0.5</v>
      </c>
      <c r="D1406" s="1">
        <v>0.39</v>
      </c>
      <c r="E1406" s="1">
        <v>2.6</v>
      </c>
      <c r="F1406" s="1">
        <v>8.2000000000000003E-2</v>
      </c>
      <c r="G1406" s="1">
        <v>12</v>
      </c>
      <c r="H1406" s="1">
        <v>46</v>
      </c>
      <c r="I1406" s="1">
        <v>0.99850000000000005</v>
      </c>
      <c r="J1406" s="1">
        <v>3.43</v>
      </c>
      <c r="K1406" s="1">
        <v>0.62</v>
      </c>
      <c r="L1406" s="1">
        <v>10.7</v>
      </c>
      <c r="M1406" s="2">
        <v>6</v>
      </c>
      <c r="N1406" s="2" t="str" cm="1">
        <f t="array" ref="N1406">_xlfn.IFS(Table1[[#This Row],[quality]]&lt;=4,"Low",Table1[[#This Row],[quality]]&lt;=6,"Medium",Table1[[#This Row],[quality]]&gt;=7,"High")</f>
        <v>Medium</v>
      </c>
      <c r="O1406" s="2" t="str">
        <f>IF(AND(Table1[[#This Row],[fixed acidity]]&gt;Sheet1!$C$4,Table1[[#This Row],[pH]]&lt;Sheet1!$K$4),"High","Normal")</f>
        <v>Normal</v>
      </c>
      <c r="P1406" s="1">
        <f>(Table1[[#This Row],[alcohol]]*2)+(Table1[[#This Row],[sulphates]]*1.5)-(Table1[[#This Row],[volatile acidity]]*2)</f>
        <v>21.33</v>
      </c>
      <c r="Q1406" s="1">
        <f>RANK(Table1[[#This Row],[Quality_score_index]],Table1[Quality_score_index],0)</f>
        <v>573</v>
      </c>
      <c r="R1406" s="1">
        <f>Table1[[#This Row],[total sulfur dioxide]]-Table1[[#This Row],[free sulfur dioxide]]</f>
        <v>34</v>
      </c>
      <c r="S1406" s="1" t="str">
        <f>IF(AND(Table1[[#This Row],[pH]]&gt;=3.2,Table1[[#This Row],[alcohol]]&gt;=10),"White wine","Red wine")</f>
        <v>White wine</v>
      </c>
    </row>
    <row r="1407" spans="1:19" x14ac:dyDescent="0.3">
      <c r="A1407" s="13">
        <v>1406</v>
      </c>
      <c r="B1407" s="1">
        <v>7.7</v>
      </c>
      <c r="C1407" s="1">
        <v>0.28000000000000003</v>
      </c>
      <c r="D1407" s="1">
        <v>0.3</v>
      </c>
      <c r="E1407" s="1">
        <v>2</v>
      </c>
      <c r="F1407" s="1">
        <v>6.2E-2</v>
      </c>
      <c r="G1407" s="1">
        <v>18</v>
      </c>
      <c r="H1407" s="1">
        <v>34</v>
      </c>
      <c r="I1407" s="1">
        <v>0.99519999999999997</v>
      </c>
      <c r="J1407" s="1">
        <v>3.28</v>
      </c>
      <c r="K1407" s="1">
        <v>0.9</v>
      </c>
      <c r="L1407" s="1">
        <v>11.3</v>
      </c>
      <c r="M1407" s="2">
        <v>7</v>
      </c>
      <c r="N1407" s="2" t="str" cm="1">
        <f t="array" ref="N1407">_xlfn.IFS(Table1[[#This Row],[quality]]&lt;=4,"Low",Table1[[#This Row],[quality]]&lt;=6,"Medium",Table1[[#This Row],[quality]]&gt;=7,"High")</f>
        <v>High</v>
      </c>
      <c r="O1407" s="2" t="str">
        <f>IF(AND(Table1[[#This Row],[fixed acidity]]&gt;Sheet1!$C$4,Table1[[#This Row],[pH]]&lt;Sheet1!$K$4),"High","Normal")</f>
        <v>Normal</v>
      </c>
      <c r="P1407" s="1">
        <f>(Table1[[#This Row],[alcohol]]*2)+(Table1[[#This Row],[sulphates]]*1.5)-(Table1[[#This Row],[volatile acidity]]*2)</f>
        <v>23.390000000000004</v>
      </c>
      <c r="Q1407" s="1">
        <f>RANK(Table1[[#This Row],[Quality_score_index]],Table1[Quality_score_index],0)</f>
        <v>230</v>
      </c>
      <c r="R1407" s="1">
        <f>Table1[[#This Row],[total sulfur dioxide]]-Table1[[#This Row],[free sulfur dioxide]]</f>
        <v>16</v>
      </c>
      <c r="S1407" s="1" t="str">
        <f>IF(AND(Table1[[#This Row],[pH]]&gt;=3.2,Table1[[#This Row],[alcohol]]&gt;=10),"White wine","Red wine")</f>
        <v>White wine</v>
      </c>
    </row>
    <row r="1408" spans="1:19" x14ac:dyDescent="0.3">
      <c r="A1408" s="13">
        <v>1407</v>
      </c>
      <c r="B1408" s="1">
        <v>8.1999999999999993</v>
      </c>
      <c r="C1408" s="1">
        <v>0.24</v>
      </c>
      <c r="D1408" s="1">
        <v>0.34</v>
      </c>
      <c r="E1408" s="1">
        <v>5.0999999999999996</v>
      </c>
      <c r="F1408" s="1">
        <v>6.2E-2</v>
      </c>
      <c r="G1408" s="1">
        <v>8</v>
      </c>
      <c r="H1408" s="1">
        <v>22</v>
      </c>
      <c r="I1408" s="1">
        <v>0.99739999999999995</v>
      </c>
      <c r="J1408" s="1">
        <v>3.22</v>
      </c>
      <c r="K1408" s="1">
        <v>0.94</v>
      </c>
      <c r="L1408" s="1">
        <v>10.9</v>
      </c>
      <c r="M1408" s="2">
        <v>6</v>
      </c>
      <c r="N1408" s="2" t="str" cm="1">
        <f t="array" ref="N1408">_xlfn.IFS(Table1[[#This Row],[quality]]&lt;=4,"Low",Table1[[#This Row],[quality]]&lt;=6,"Medium",Table1[[#This Row],[quality]]&gt;=7,"High")</f>
        <v>Medium</v>
      </c>
      <c r="O1408" s="2" t="str">
        <f>IF(AND(Table1[[#This Row],[fixed acidity]]&gt;Sheet1!$C$4,Table1[[#This Row],[pH]]&lt;Sheet1!$K$4),"High","Normal")</f>
        <v>Normal</v>
      </c>
      <c r="P1408" s="1">
        <f>(Table1[[#This Row],[alcohol]]*2)+(Table1[[#This Row],[sulphates]]*1.5)-(Table1[[#This Row],[volatile acidity]]*2)</f>
        <v>22.73</v>
      </c>
      <c r="Q1408" s="1">
        <f>RANK(Table1[[#This Row],[Quality_score_index]],Table1[Quality_score_index],0)</f>
        <v>322</v>
      </c>
      <c r="R1408" s="1">
        <f>Table1[[#This Row],[total sulfur dioxide]]-Table1[[#This Row],[free sulfur dioxide]]</f>
        <v>14</v>
      </c>
      <c r="S1408" s="1" t="str">
        <f>IF(AND(Table1[[#This Row],[pH]]&gt;=3.2,Table1[[#This Row],[alcohol]]&gt;=10),"White wine","Red wine")</f>
        <v>White wine</v>
      </c>
    </row>
    <row r="1409" spans="1:19" x14ac:dyDescent="0.3">
      <c r="A1409" s="13">
        <v>1408</v>
      </c>
      <c r="B1409" s="1">
        <v>6</v>
      </c>
      <c r="C1409" s="1">
        <v>0.51</v>
      </c>
      <c r="D1409" s="1">
        <v>0</v>
      </c>
      <c r="E1409" s="1">
        <v>2.1</v>
      </c>
      <c r="F1409" s="1">
        <v>6.4000000000000001E-2</v>
      </c>
      <c r="G1409" s="1">
        <v>40</v>
      </c>
      <c r="H1409" s="1">
        <v>54</v>
      </c>
      <c r="I1409" s="1">
        <v>0.995</v>
      </c>
      <c r="J1409" s="1">
        <v>3.54</v>
      </c>
      <c r="K1409" s="1">
        <v>0.93</v>
      </c>
      <c r="L1409" s="1">
        <v>10.7</v>
      </c>
      <c r="M1409" s="2">
        <v>6</v>
      </c>
      <c r="N1409" s="2" t="str" cm="1">
        <f t="array" ref="N1409">_xlfn.IFS(Table1[[#This Row],[quality]]&lt;=4,"Low",Table1[[#This Row],[quality]]&lt;=6,"Medium",Table1[[#This Row],[quality]]&gt;=7,"High")</f>
        <v>Medium</v>
      </c>
      <c r="O1409" s="2" t="str">
        <f>IF(AND(Table1[[#This Row],[fixed acidity]]&gt;Sheet1!$C$4,Table1[[#This Row],[pH]]&lt;Sheet1!$K$4),"High","Normal")</f>
        <v>Normal</v>
      </c>
      <c r="P1409" s="1">
        <f>(Table1[[#This Row],[alcohol]]*2)+(Table1[[#This Row],[sulphates]]*1.5)-(Table1[[#This Row],[volatile acidity]]*2)</f>
        <v>21.774999999999999</v>
      </c>
      <c r="Q1409" s="1">
        <f>RANK(Table1[[#This Row],[Quality_score_index]],Table1[Quality_score_index],0)</f>
        <v>486</v>
      </c>
      <c r="R1409" s="1">
        <f>Table1[[#This Row],[total sulfur dioxide]]-Table1[[#This Row],[free sulfur dioxide]]</f>
        <v>14</v>
      </c>
      <c r="S1409" s="1" t="str">
        <f>IF(AND(Table1[[#This Row],[pH]]&gt;=3.2,Table1[[#This Row],[alcohol]]&gt;=10),"White wine","Red wine")</f>
        <v>White wine</v>
      </c>
    </row>
    <row r="1410" spans="1:19" x14ac:dyDescent="0.3">
      <c r="A1410" s="13">
        <v>1409</v>
      </c>
      <c r="B1410" s="1">
        <v>8.1</v>
      </c>
      <c r="C1410" s="1">
        <v>0.28999999999999998</v>
      </c>
      <c r="D1410" s="1">
        <v>0.36</v>
      </c>
      <c r="E1410" s="1">
        <v>2.2000000000000002</v>
      </c>
      <c r="F1410" s="1">
        <v>4.8000000000000001E-2</v>
      </c>
      <c r="G1410" s="1">
        <v>35</v>
      </c>
      <c r="H1410" s="1">
        <v>53</v>
      </c>
      <c r="I1410" s="1">
        <v>0.995</v>
      </c>
      <c r="J1410" s="1">
        <v>3.27</v>
      </c>
      <c r="K1410" s="1">
        <v>1.01</v>
      </c>
      <c r="L1410" s="1">
        <v>12.4</v>
      </c>
      <c r="M1410" s="2">
        <v>7</v>
      </c>
      <c r="N1410" s="2" t="str" cm="1">
        <f t="array" ref="N1410">_xlfn.IFS(Table1[[#This Row],[quality]]&lt;=4,"Low",Table1[[#This Row],[quality]]&lt;=6,"Medium",Table1[[#This Row],[quality]]&gt;=7,"High")</f>
        <v>High</v>
      </c>
      <c r="O1410" s="2" t="str">
        <f>IF(AND(Table1[[#This Row],[fixed acidity]]&gt;Sheet1!$C$4,Table1[[#This Row],[pH]]&lt;Sheet1!$K$4),"High","Normal")</f>
        <v>Normal</v>
      </c>
      <c r="P1410" s="1">
        <f>(Table1[[#This Row],[alcohol]]*2)+(Table1[[#This Row],[sulphates]]*1.5)-(Table1[[#This Row],[volatile acidity]]*2)</f>
        <v>25.735000000000003</v>
      </c>
      <c r="Q1410" s="1">
        <f>RANK(Table1[[#This Row],[Quality_score_index]],Table1[Quality_score_index],0)</f>
        <v>40</v>
      </c>
      <c r="R1410" s="1">
        <f>Table1[[#This Row],[total sulfur dioxide]]-Table1[[#This Row],[free sulfur dioxide]]</f>
        <v>18</v>
      </c>
      <c r="S1410" s="1" t="str">
        <f>IF(AND(Table1[[#This Row],[pH]]&gt;=3.2,Table1[[#This Row],[alcohol]]&gt;=10),"White wine","Red wine")</f>
        <v>White wine</v>
      </c>
    </row>
    <row r="1411" spans="1:19" x14ac:dyDescent="0.3">
      <c r="A1411" s="13">
        <v>1410</v>
      </c>
      <c r="B1411" s="1">
        <v>6</v>
      </c>
      <c r="C1411" s="1">
        <v>0.51</v>
      </c>
      <c r="D1411" s="1">
        <v>0</v>
      </c>
      <c r="E1411" s="1">
        <v>2.1</v>
      </c>
      <c r="F1411" s="1">
        <v>6.4000000000000001E-2</v>
      </c>
      <c r="G1411" s="1">
        <v>40</v>
      </c>
      <c r="H1411" s="1">
        <v>54</v>
      </c>
      <c r="I1411" s="1">
        <v>0.995</v>
      </c>
      <c r="J1411" s="1">
        <v>3.54</v>
      </c>
      <c r="K1411" s="1">
        <v>0.93</v>
      </c>
      <c r="L1411" s="1">
        <v>10.7</v>
      </c>
      <c r="M1411" s="2">
        <v>6</v>
      </c>
      <c r="N1411" s="2" t="str" cm="1">
        <f t="array" ref="N1411">_xlfn.IFS(Table1[[#This Row],[quality]]&lt;=4,"Low",Table1[[#This Row],[quality]]&lt;=6,"Medium",Table1[[#This Row],[quality]]&gt;=7,"High")</f>
        <v>Medium</v>
      </c>
      <c r="O1411" s="2" t="str">
        <f>IF(AND(Table1[[#This Row],[fixed acidity]]&gt;Sheet1!$C$4,Table1[[#This Row],[pH]]&lt;Sheet1!$K$4),"High","Normal")</f>
        <v>Normal</v>
      </c>
      <c r="P1411" s="1">
        <f>(Table1[[#This Row],[alcohol]]*2)+(Table1[[#This Row],[sulphates]]*1.5)-(Table1[[#This Row],[volatile acidity]]*2)</f>
        <v>21.774999999999999</v>
      </c>
      <c r="Q1411" s="1">
        <f>RANK(Table1[[#This Row],[Quality_score_index]],Table1[Quality_score_index],0)</f>
        <v>486</v>
      </c>
      <c r="R1411" s="1">
        <f>Table1[[#This Row],[total sulfur dioxide]]-Table1[[#This Row],[free sulfur dioxide]]</f>
        <v>14</v>
      </c>
      <c r="S1411" s="1" t="str">
        <f>IF(AND(Table1[[#This Row],[pH]]&gt;=3.2,Table1[[#This Row],[alcohol]]&gt;=10),"White wine","Red wine")</f>
        <v>White wine</v>
      </c>
    </row>
    <row r="1412" spans="1:19" x14ac:dyDescent="0.3">
      <c r="A1412" s="13">
        <v>1411</v>
      </c>
      <c r="B1412" s="1">
        <v>6.6</v>
      </c>
      <c r="C1412" s="1">
        <v>0.96</v>
      </c>
      <c r="D1412" s="1">
        <v>0</v>
      </c>
      <c r="E1412" s="1">
        <v>1.8</v>
      </c>
      <c r="F1412" s="1">
        <v>8.2000000000000003E-2</v>
      </c>
      <c r="G1412" s="1">
        <v>5</v>
      </c>
      <c r="H1412" s="1">
        <v>16</v>
      </c>
      <c r="I1412" s="1">
        <v>0.99360000000000004</v>
      </c>
      <c r="J1412" s="1">
        <v>3.5</v>
      </c>
      <c r="K1412" s="1">
        <v>0.44</v>
      </c>
      <c r="L1412" s="1">
        <v>11.9</v>
      </c>
      <c r="M1412" s="2">
        <v>6</v>
      </c>
      <c r="N1412" s="2" t="str" cm="1">
        <f t="array" ref="N1412">_xlfn.IFS(Table1[[#This Row],[quality]]&lt;=4,"Low",Table1[[#This Row],[quality]]&lt;=6,"Medium",Table1[[#This Row],[quality]]&gt;=7,"High")</f>
        <v>Medium</v>
      </c>
      <c r="O1412" s="2" t="str">
        <f>IF(AND(Table1[[#This Row],[fixed acidity]]&gt;Sheet1!$C$4,Table1[[#This Row],[pH]]&lt;Sheet1!$K$4),"High","Normal")</f>
        <v>Normal</v>
      </c>
      <c r="P1412" s="1">
        <f>(Table1[[#This Row],[alcohol]]*2)+(Table1[[#This Row],[sulphates]]*1.5)-(Table1[[#This Row],[volatile acidity]]*2)</f>
        <v>22.54</v>
      </c>
      <c r="Q1412" s="1">
        <f>RANK(Table1[[#This Row],[Quality_score_index]],Table1[Quality_score_index],0)</f>
        <v>354</v>
      </c>
      <c r="R1412" s="1">
        <f>Table1[[#This Row],[total sulfur dioxide]]-Table1[[#This Row],[free sulfur dioxide]]</f>
        <v>11</v>
      </c>
      <c r="S1412" s="1" t="str">
        <f>IF(AND(Table1[[#This Row],[pH]]&gt;=3.2,Table1[[#This Row],[alcohol]]&gt;=10),"White wine","Red wine")</f>
        <v>White wine</v>
      </c>
    </row>
    <row r="1413" spans="1:19" x14ac:dyDescent="0.3">
      <c r="A1413" s="13">
        <v>1412</v>
      </c>
      <c r="B1413" s="1">
        <v>6.4</v>
      </c>
      <c r="C1413" s="1">
        <v>0.47</v>
      </c>
      <c r="D1413" s="1">
        <v>0.4</v>
      </c>
      <c r="E1413" s="1">
        <v>2.4</v>
      </c>
      <c r="F1413" s="1">
        <v>7.0999999999999994E-2</v>
      </c>
      <c r="G1413" s="1">
        <v>8</v>
      </c>
      <c r="H1413" s="1">
        <v>19</v>
      </c>
      <c r="I1413" s="1">
        <v>0.99629999999999996</v>
      </c>
      <c r="J1413" s="1">
        <v>3.56</v>
      </c>
      <c r="K1413" s="1">
        <v>0.73</v>
      </c>
      <c r="L1413" s="1">
        <v>10.6</v>
      </c>
      <c r="M1413" s="2">
        <v>6</v>
      </c>
      <c r="N1413" s="2" t="str" cm="1">
        <f t="array" ref="N1413">_xlfn.IFS(Table1[[#This Row],[quality]]&lt;=4,"Low",Table1[[#This Row],[quality]]&lt;=6,"Medium",Table1[[#This Row],[quality]]&gt;=7,"High")</f>
        <v>Medium</v>
      </c>
      <c r="O1413" s="2" t="str">
        <f>IF(AND(Table1[[#This Row],[fixed acidity]]&gt;Sheet1!$C$4,Table1[[#This Row],[pH]]&lt;Sheet1!$K$4),"High","Normal")</f>
        <v>Normal</v>
      </c>
      <c r="P1413" s="1">
        <f>(Table1[[#This Row],[alcohol]]*2)+(Table1[[#This Row],[sulphates]]*1.5)-(Table1[[#This Row],[volatile acidity]]*2)</f>
        <v>21.354999999999997</v>
      </c>
      <c r="Q1413" s="1">
        <f>RANK(Table1[[#This Row],[Quality_score_index]],Table1[Quality_score_index],0)</f>
        <v>569</v>
      </c>
      <c r="R1413" s="1">
        <f>Table1[[#This Row],[total sulfur dioxide]]-Table1[[#This Row],[free sulfur dioxide]]</f>
        <v>11</v>
      </c>
      <c r="S1413" s="1" t="str">
        <f>IF(AND(Table1[[#This Row],[pH]]&gt;=3.2,Table1[[#This Row],[alcohol]]&gt;=10),"White wine","Red wine")</f>
        <v>White wine</v>
      </c>
    </row>
    <row r="1414" spans="1:19" x14ac:dyDescent="0.3">
      <c r="A1414" s="13">
        <v>1413</v>
      </c>
      <c r="B1414" s="1">
        <v>8.1999999999999993</v>
      </c>
      <c r="C1414" s="1">
        <v>0.24</v>
      </c>
      <c r="D1414" s="1">
        <v>0.34</v>
      </c>
      <c r="E1414" s="1">
        <v>5.0999999999999996</v>
      </c>
      <c r="F1414" s="1">
        <v>6.2E-2</v>
      </c>
      <c r="G1414" s="1">
        <v>8</v>
      </c>
      <c r="H1414" s="1">
        <v>22</v>
      </c>
      <c r="I1414" s="1">
        <v>0.99739999999999995</v>
      </c>
      <c r="J1414" s="1">
        <v>3.22</v>
      </c>
      <c r="K1414" s="1">
        <v>0.94</v>
      </c>
      <c r="L1414" s="1">
        <v>10.9</v>
      </c>
      <c r="M1414" s="2">
        <v>6</v>
      </c>
      <c r="N1414" s="2" t="str" cm="1">
        <f t="array" ref="N1414">_xlfn.IFS(Table1[[#This Row],[quality]]&lt;=4,"Low",Table1[[#This Row],[quality]]&lt;=6,"Medium",Table1[[#This Row],[quality]]&gt;=7,"High")</f>
        <v>Medium</v>
      </c>
      <c r="O1414" s="2" t="str">
        <f>IF(AND(Table1[[#This Row],[fixed acidity]]&gt;Sheet1!$C$4,Table1[[#This Row],[pH]]&lt;Sheet1!$K$4),"High","Normal")</f>
        <v>Normal</v>
      </c>
      <c r="P1414" s="1">
        <f>(Table1[[#This Row],[alcohol]]*2)+(Table1[[#This Row],[sulphates]]*1.5)-(Table1[[#This Row],[volatile acidity]]*2)</f>
        <v>22.73</v>
      </c>
      <c r="Q1414" s="1">
        <f>RANK(Table1[[#This Row],[Quality_score_index]],Table1[Quality_score_index],0)</f>
        <v>322</v>
      </c>
      <c r="R1414" s="1">
        <f>Table1[[#This Row],[total sulfur dioxide]]-Table1[[#This Row],[free sulfur dioxide]]</f>
        <v>14</v>
      </c>
      <c r="S1414" s="1" t="str">
        <f>IF(AND(Table1[[#This Row],[pH]]&gt;=3.2,Table1[[#This Row],[alcohol]]&gt;=10),"White wine","Red wine")</f>
        <v>White wine</v>
      </c>
    </row>
    <row r="1415" spans="1:19" x14ac:dyDescent="0.3">
      <c r="A1415" s="13">
        <v>1414</v>
      </c>
      <c r="B1415" s="1">
        <v>9.9</v>
      </c>
      <c r="C1415" s="1">
        <v>0.56999999999999995</v>
      </c>
      <c r="D1415" s="1">
        <v>0.25</v>
      </c>
      <c r="E1415" s="1">
        <v>2</v>
      </c>
      <c r="F1415" s="1">
        <v>0.104</v>
      </c>
      <c r="G1415" s="1">
        <v>12</v>
      </c>
      <c r="H1415" s="1">
        <v>89</v>
      </c>
      <c r="I1415" s="1">
        <v>0.99629999999999996</v>
      </c>
      <c r="J1415" s="1">
        <v>3.04</v>
      </c>
      <c r="K1415" s="1">
        <v>0.9</v>
      </c>
      <c r="L1415" s="1">
        <v>10.1</v>
      </c>
      <c r="M1415" s="2">
        <v>5</v>
      </c>
      <c r="N1415" s="2" t="str" cm="1">
        <f t="array" ref="N1415">_xlfn.IFS(Table1[[#This Row],[quality]]&lt;=4,"Low",Table1[[#This Row],[quality]]&lt;=6,"Medium",Table1[[#This Row],[quality]]&gt;=7,"High")</f>
        <v>Medium</v>
      </c>
      <c r="O1415" s="2" t="str">
        <f>IF(AND(Table1[[#This Row],[fixed acidity]]&gt;Sheet1!$C$4,Table1[[#This Row],[pH]]&lt;Sheet1!$K$4),"High","Normal")</f>
        <v>High</v>
      </c>
      <c r="P1415" s="1">
        <f>(Table1[[#This Row],[alcohol]]*2)+(Table1[[#This Row],[sulphates]]*1.5)-(Table1[[#This Row],[volatile acidity]]*2)</f>
        <v>20.41</v>
      </c>
      <c r="Q1415" s="1">
        <f>RANK(Table1[[#This Row],[Quality_score_index]],Table1[Quality_score_index],0)</f>
        <v>767</v>
      </c>
      <c r="R1415" s="1">
        <f>Table1[[#This Row],[total sulfur dioxide]]-Table1[[#This Row],[free sulfur dioxide]]</f>
        <v>77</v>
      </c>
      <c r="S1415" s="1" t="str">
        <f>IF(AND(Table1[[#This Row],[pH]]&gt;=3.2,Table1[[#This Row],[alcohol]]&gt;=10),"White wine","Red wine")</f>
        <v>Red wine</v>
      </c>
    </row>
    <row r="1416" spans="1:19" x14ac:dyDescent="0.3">
      <c r="A1416" s="13">
        <v>1415</v>
      </c>
      <c r="B1416" s="1">
        <v>10</v>
      </c>
      <c r="C1416" s="1">
        <v>0.32</v>
      </c>
      <c r="D1416" s="1">
        <v>0.59</v>
      </c>
      <c r="E1416" s="1">
        <v>2.2000000000000002</v>
      </c>
      <c r="F1416" s="1">
        <v>7.6999999999999999E-2</v>
      </c>
      <c r="G1416" s="1">
        <v>3</v>
      </c>
      <c r="H1416" s="1">
        <v>15</v>
      </c>
      <c r="I1416" s="1">
        <v>0.99939999999999996</v>
      </c>
      <c r="J1416" s="1">
        <v>3.2</v>
      </c>
      <c r="K1416" s="1">
        <v>0.78</v>
      </c>
      <c r="L1416" s="1">
        <v>9.6</v>
      </c>
      <c r="M1416" s="2">
        <v>5</v>
      </c>
      <c r="N1416" s="2" t="str" cm="1">
        <f t="array" ref="N1416">_xlfn.IFS(Table1[[#This Row],[quality]]&lt;=4,"Low",Table1[[#This Row],[quality]]&lt;=6,"Medium",Table1[[#This Row],[quality]]&gt;=7,"High")</f>
        <v>Medium</v>
      </c>
      <c r="O1416" s="2" t="str">
        <f>IF(AND(Table1[[#This Row],[fixed acidity]]&gt;Sheet1!$C$4,Table1[[#This Row],[pH]]&lt;Sheet1!$K$4),"High","Normal")</f>
        <v>High</v>
      </c>
      <c r="P1416" s="1">
        <f>(Table1[[#This Row],[alcohol]]*2)+(Table1[[#This Row],[sulphates]]*1.5)-(Table1[[#This Row],[volatile acidity]]*2)</f>
        <v>19.729999999999997</v>
      </c>
      <c r="Q1416" s="1">
        <f>RANK(Table1[[#This Row],[Quality_score_index]],Table1[Quality_score_index],0)</f>
        <v>924</v>
      </c>
      <c r="R1416" s="1">
        <f>Table1[[#This Row],[total sulfur dioxide]]-Table1[[#This Row],[free sulfur dioxide]]</f>
        <v>12</v>
      </c>
      <c r="S1416" s="1" t="str">
        <f>IF(AND(Table1[[#This Row],[pH]]&gt;=3.2,Table1[[#This Row],[alcohol]]&gt;=10),"White wine","Red wine")</f>
        <v>Red wine</v>
      </c>
    </row>
    <row r="1417" spans="1:19" x14ac:dyDescent="0.3">
      <c r="A1417" s="13">
        <v>1416</v>
      </c>
      <c r="B1417" s="1">
        <v>6.2</v>
      </c>
      <c r="C1417" s="1">
        <v>0.57999999999999996</v>
      </c>
      <c r="D1417" s="1">
        <v>0</v>
      </c>
      <c r="E1417" s="1">
        <v>1.6</v>
      </c>
      <c r="F1417" s="1">
        <v>6.5000000000000002E-2</v>
      </c>
      <c r="G1417" s="1">
        <v>8</v>
      </c>
      <c r="H1417" s="1">
        <v>18</v>
      </c>
      <c r="I1417" s="1">
        <v>0.99660000000000004</v>
      </c>
      <c r="J1417" s="1">
        <v>3.56</v>
      </c>
      <c r="K1417" s="1">
        <v>0.84</v>
      </c>
      <c r="L1417" s="1">
        <v>9.4</v>
      </c>
      <c r="M1417" s="2">
        <v>5</v>
      </c>
      <c r="N1417" s="2" t="str" cm="1">
        <f t="array" ref="N1417">_xlfn.IFS(Table1[[#This Row],[quality]]&lt;=4,"Low",Table1[[#This Row],[quality]]&lt;=6,"Medium",Table1[[#This Row],[quality]]&gt;=7,"High")</f>
        <v>Medium</v>
      </c>
      <c r="O1417" s="2" t="str">
        <f>IF(AND(Table1[[#This Row],[fixed acidity]]&gt;Sheet1!$C$4,Table1[[#This Row],[pH]]&lt;Sheet1!$K$4),"High","Normal")</f>
        <v>Normal</v>
      </c>
      <c r="P1417" s="1">
        <f>(Table1[[#This Row],[alcohol]]*2)+(Table1[[#This Row],[sulphates]]*1.5)-(Table1[[#This Row],[volatile acidity]]*2)</f>
        <v>18.900000000000002</v>
      </c>
      <c r="Q1417" s="1">
        <f>RANK(Table1[[#This Row],[Quality_score_index]],Table1[Quality_score_index],0)</f>
        <v>1204</v>
      </c>
      <c r="R1417" s="1">
        <f>Table1[[#This Row],[total sulfur dioxide]]-Table1[[#This Row],[free sulfur dioxide]]</f>
        <v>10</v>
      </c>
      <c r="S1417" s="1" t="str">
        <f>IF(AND(Table1[[#This Row],[pH]]&gt;=3.2,Table1[[#This Row],[alcohol]]&gt;=10),"White wine","Red wine")</f>
        <v>Red wine</v>
      </c>
    </row>
    <row r="1418" spans="1:19" x14ac:dyDescent="0.3">
      <c r="A1418" s="13">
        <v>1417</v>
      </c>
      <c r="B1418" s="1">
        <v>10</v>
      </c>
      <c r="C1418" s="1">
        <v>0.32</v>
      </c>
      <c r="D1418" s="1">
        <v>0.59</v>
      </c>
      <c r="E1418" s="1">
        <v>2.2000000000000002</v>
      </c>
      <c r="F1418" s="1">
        <v>7.6999999999999999E-2</v>
      </c>
      <c r="G1418" s="1">
        <v>3</v>
      </c>
      <c r="H1418" s="1">
        <v>15</v>
      </c>
      <c r="I1418" s="1">
        <v>0.99939999999999996</v>
      </c>
      <c r="J1418" s="1">
        <v>3.2</v>
      </c>
      <c r="K1418" s="1">
        <v>0.78</v>
      </c>
      <c r="L1418" s="1">
        <v>9.6</v>
      </c>
      <c r="M1418" s="2">
        <v>5</v>
      </c>
      <c r="N1418" s="2" t="str" cm="1">
        <f t="array" ref="N1418">_xlfn.IFS(Table1[[#This Row],[quality]]&lt;=4,"Low",Table1[[#This Row],[quality]]&lt;=6,"Medium",Table1[[#This Row],[quality]]&gt;=7,"High")</f>
        <v>Medium</v>
      </c>
      <c r="O1418" s="2" t="str">
        <f>IF(AND(Table1[[#This Row],[fixed acidity]]&gt;Sheet1!$C$4,Table1[[#This Row],[pH]]&lt;Sheet1!$K$4),"High","Normal")</f>
        <v>High</v>
      </c>
      <c r="P1418" s="1">
        <f>(Table1[[#This Row],[alcohol]]*2)+(Table1[[#This Row],[sulphates]]*1.5)-(Table1[[#This Row],[volatile acidity]]*2)</f>
        <v>19.729999999999997</v>
      </c>
      <c r="Q1418" s="1">
        <f>RANK(Table1[[#This Row],[Quality_score_index]],Table1[Quality_score_index],0)</f>
        <v>924</v>
      </c>
      <c r="R1418" s="1">
        <f>Table1[[#This Row],[total sulfur dioxide]]-Table1[[#This Row],[free sulfur dioxide]]</f>
        <v>12</v>
      </c>
      <c r="S1418" s="1" t="str">
        <f>IF(AND(Table1[[#This Row],[pH]]&gt;=3.2,Table1[[#This Row],[alcohol]]&gt;=10),"White wine","Red wine")</f>
        <v>Red wine</v>
      </c>
    </row>
    <row r="1419" spans="1:19" x14ac:dyDescent="0.3">
      <c r="A1419" s="13">
        <v>1418</v>
      </c>
      <c r="B1419" s="1">
        <v>7.3</v>
      </c>
      <c r="C1419" s="1">
        <v>0.34</v>
      </c>
      <c r="D1419" s="1">
        <v>0.33</v>
      </c>
      <c r="E1419" s="1">
        <v>2.5</v>
      </c>
      <c r="F1419" s="1">
        <v>6.4000000000000001E-2</v>
      </c>
      <c r="G1419" s="1">
        <v>21</v>
      </c>
      <c r="H1419" s="1">
        <v>37</v>
      </c>
      <c r="I1419" s="1">
        <v>0.99519999999999997</v>
      </c>
      <c r="J1419" s="1">
        <v>3.35</v>
      </c>
      <c r="K1419" s="1">
        <v>0.77</v>
      </c>
      <c r="L1419" s="1">
        <v>12.1</v>
      </c>
      <c r="M1419" s="2">
        <v>7</v>
      </c>
      <c r="N1419" s="2" t="str" cm="1">
        <f t="array" ref="N1419">_xlfn.IFS(Table1[[#This Row],[quality]]&lt;=4,"Low",Table1[[#This Row],[quality]]&lt;=6,"Medium",Table1[[#This Row],[quality]]&gt;=7,"High")</f>
        <v>High</v>
      </c>
      <c r="O1419" s="2" t="str">
        <f>IF(AND(Table1[[#This Row],[fixed acidity]]&gt;Sheet1!$C$4,Table1[[#This Row],[pH]]&lt;Sheet1!$K$4),"High","Normal")</f>
        <v>Normal</v>
      </c>
      <c r="P1419" s="1">
        <f>(Table1[[#This Row],[alcohol]]*2)+(Table1[[#This Row],[sulphates]]*1.5)-(Table1[[#This Row],[volatile acidity]]*2)</f>
        <v>24.675000000000001</v>
      </c>
      <c r="Q1419" s="1">
        <f>RANK(Table1[[#This Row],[Quality_score_index]],Table1[Quality_score_index],0)</f>
        <v>114</v>
      </c>
      <c r="R1419" s="1">
        <f>Table1[[#This Row],[total sulfur dioxide]]-Table1[[#This Row],[free sulfur dioxide]]</f>
        <v>16</v>
      </c>
      <c r="S1419" s="1" t="str">
        <f>IF(AND(Table1[[#This Row],[pH]]&gt;=3.2,Table1[[#This Row],[alcohol]]&gt;=10),"White wine","Red wine")</f>
        <v>White wine</v>
      </c>
    </row>
    <row r="1420" spans="1:19" x14ac:dyDescent="0.3">
      <c r="A1420" s="13">
        <v>1419</v>
      </c>
      <c r="B1420" s="1">
        <v>7.8</v>
      </c>
      <c r="C1420" s="1">
        <v>0.53</v>
      </c>
      <c r="D1420" s="1">
        <v>0.01</v>
      </c>
      <c r="E1420" s="1">
        <v>1.6</v>
      </c>
      <c r="F1420" s="1">
        <v>7.6999999999999999E-2</v>
      </c>
      <c r="G1420" s="1">
        <v>3</v>
      </c>
      <c r="H1420" s="1">
        <v>19</v>
      </c>
      <c r="I1420" s="1">
        <v>0.995</v>
      </c>
      <c r="J1420" s="1">
        <v>3.16</v>
      </c>
      <c r="K1420" s="1">
        <v>0.46</v>
      </c>
      <c r="L1420" s="1">
        <v>9.8000000000000007</v>
      </c>
      <c r="M1420" s="2">
        <v>5</v>
      </c>
      <c r="N1420" s="2" t="str" cm="1">
        <f t="array" ref="N1420">_xlfn.IFS(Table1[[#This Row],[quality]]&lt;=4,"Low",Table1[[#This Row],[quality]]&lt;=6,"Medium",Table1[[#This Row],[quality]]&gt;=7,"High")</f>
        <v>Medium</v>
      </c>
      <c r="O1420" s="2" t="str">
        <f>IF(AND(Table1[[#This Row],[fixed acidity]]&gt;Sheet1!$C$4,Table1[[#This Row],[pH]]&lt;Sheet1!$K$4),"High","Normal")</f>
        <v>Normal</v>
      </c>
      <c r="P1420" s="1">
        <f>(Table1[[#This Row],[alcohol]]*2)+(Table1[[#This Row],[sulphates]]*1.5)-(Table1[[#This Row],[volatile acidity]]*2)</f>
        <v>19.230000000000004</v>
      </c>
      <c r="Q1420" s="1">
        <f>RANK(Table1[[#This Row],[Quality_score_index]],Table1[Quality_score_index],0)</f>
        <v>1068</v>
      </c>
      <c r="R1420" s="1">
        <f>Table1[[#This Row],[total sulfur dioxide]]-Table1[[#This Row],[free sulfur dioxide]]</f>
        <v>16</v>
      </c>
      <c r="S1420" s="1" t="str">
        <f>IF(AND(Table1[[#This Row],[pH]]&gt;=3.2,Table1[[#This Row],[alcohol]]&gt;=10),"White wine","Red wine")</f>
        <v>Red wine</v>
      </c>
    </row>
    <row r="1421" spans="1:19" x14ac:dyDescent="0.3">
      <c r="A1421" s="13">
        <v>1420</v>
      </c>
      <c r="B1421" s="1">
        <v>7.7</v>
      </c>
      <c r="C1421" s="1">
        <v>0.64</v>
      </c>
      <c r="D1421" s="1">
        <v>0.21</v>
      </c>
      <c r="E1421" s="1">
        <v>2.2000000000000002</v>
      </c>
      <c r="F1421" s="1">
        <v>7.6999999999999999E-2</v>
      </c>
      <c r="G1421" s="1">
        <v>32</v>
      </c>
      <c r="H1421" s="1">
        <v>133</v>
      </c>
      <c r="I1421" s="1">
        <v>0.99560000000000004</v>
      </c>
      <c r="J1421" s="1">
        <v>3.27</v>
      </c>
      <c r="K1421" s="1">
        <v>0.45</v>
      </c>
      <c r="L1421" s="1">
        <v>9.9</v>
      </c>
      <c r="M1421" s="2">
        <v>5</v>
      </c>
      <c r="N1421" s="2" t="str" cm="1">
        <f t="array" ref="N1421">_xlfn.IFS(Table1[[#This Row],[quality]]&lt;=4,"Low",Table1[[#This Row],[quality]]&lt;=6,"Medium",Table1[[#This Row],[quality]]&gt;=7,"High")</f>
        <v>Medium</v>
      </c>
      <c r="O1421" s="2" t="str">
        <f>IF(AND(Table1[[#This Row],[fixed acidity]]&gt;Sheet1!$C$4,Table1[[#This Row],[pH]]&lt;Sheet1!$K$4),"High","Normal")</f>
        <v>Normal</v>
      </c>
      <c r="P1421" s="1">
        <f>(Table1[[#This Row],[alcohol]]*2)+(Table1[[#This Row],[sulphates]]*1.5)-(Table1[[#This Row],[volatile acidity]]*2)</f>
        <v>19.195</v>
      </c>
      <c r="Q1421" s="1">
        <f>RANK(Table1[[#This Row],[Quality_score_index]],Table1[Quality_score_index],0)</f>
        <v>1087</v>
      </c>
      <c r="R1421" s="1">
        <f>Table1[[#This Row],[total sulfur dioxide]]-Table1[[#This Row],[free sulfur dioxide]]</f>
        <v>101</v>
      </c>
      <c r="S1421" s="1" t="str">
        <f>IF(AND(Table1[[#This Row],[pH]]&gt;=3.2,Table1[[#This Row],[alcohol]]&gt;=10),"White wine","Red wine")</f>
        <v>Red wine</v>
      </c>
    </row>
    <row r="1422" spans="1:19" x14ac:dyDescent="0.3">
      <c r="A1422" s="13">
        <v>1421</v>
      </c>
      <c r="B1422" s="1">
        <v>7.8</v>
      </c>
      <c r="C1422" s="1">
        <v>0.53</v>
      </c>
      <c r="D1422" s="1">
        <v>0.01</v>
      </c>
      <c r="E1422" s="1">
        <v>1.6</v>
      </c>
      <c r="F1422" s="1">
        <v>7.6999999999999999E-2</v>
      </c>
      <c r="G1422" s="1">
        <v>3</v>
      </c>
      <c r="H1422" s="1">
        <v>19</v>
      </c>
      <c r="I1422" s="1">
        <v>0.995</v>
      </c>
      <c r="J1422" s="1">
        <v>3.16</v>
      </c>
      <c r="K1422" s="1">
        <v>0.46</v>
      </c>
      <c r="L1422" s="1">
        <v>9.8000000000000007</v>
      </c>
      <c r="M1422" s="2">
        <v>5</v>
      </c>
      <c r="N1422" s="2" t="str" cm="1">
        <f t="array" ref="N1422">_xlfn.IFS(Table1[[#This Row],[quality]]&lt;=4,"Low",Table1[[#This Row],[quality]]&lt;=6,"Medium",Table1[[#This Row],[quality]]&gt;=7,"High")</f>
        <v>Medium</v>
      </c>
      <c r="O1422" s="2" t="str">
        <f>IF(AND(Table1[[#This Row],[fixed acidity]]&gt;Sheet1!$C$4,Table1[[#This Row],[pH]]&lt;Sheet1!$K$4),"High","Normal")</f>
        <v>Normal</v>
      </c>
      <c r="P1422" s="1">
        <f>(Table1[[#This Row],[alcohol]]*2)+(Table1[[#This Row],[sulphates]]*1.5)-(Table1[[#This Row],[volatile acidity]]*2)</f>
        <v>19.230000000000004</v>
      </c>
      <c r="Q1422" s="1">
        <f>RANK(Table1[[#This Row],[Quality_score_index]],Table1[Quality_score_index],0)</f>
        <v>1068</v>
      </c>
      <c r="R1422" s="1">
        <f>Table1[[#This Row],[total sulfur dioxide]]-Table1[[#This Row],[free sulfur dioxide]]</f>
        <v>16</v>
      </c>
      <c r="S1422" s="1" t="str">
        <f>IF(AND(Table1[[#This Row],[pH]]&gt;=3.2,Table1[[#This Row],[alcohol]]&gt;=10),"White wine","Red wine")</f>
        <v>Red wine</v>
      </c>
    </row>
    <row r="1423" spans="1:19" x14ac:dyDescent="0.3">
      <c r="A1423" s="13">
        <v>1422</v>
      </c>
      <c r="B1423" s="1">
        <v>7.5</v>
      </c>
      <c r="C1423" s="1">
        <v>0.4</v>
      </c>
      <c r="D1423" s="1">
        <v>0.18</v>
      </c>
      <c r="E1423" s="1">
        <v>1.6</v>
      </c>
      <c r="F1423" s="1">
        <v>7.9000000000000001E-2</v>
      </c>
      <c r="G1423" s="1">
        <v>24</v>
      </c>
      <c r="H1423" s="1">
        <v>58</v>
      </c>
      <c r="I1423" s="1">
        <v>0.99650000000000005</v>
      </c>
      <c r="J1423" s="1">
        <v>3.34</v>
      </c>
      <c r="K1423" s="1">
        <v>0.57999999999999996</v>
      </c>
      <c r="L1423" s="1">
        <v>9.4</v>
      </c>
      <c r="M1423" s="2">
        <v>5</v>
      </c>
      <c r="N1423" s="2" t="str" cm="1">
        <f t="array" ref="N1423">_xlfn.IFS(Table1[[#This Row],[quality]]&lt;=4,"Low",Table1[[#This Row],[quality]]&lt;=6,"Medium",Table1[[#This Row],[quality]]&gt;=7,"High")</f>
        <v>Medium</v>
      </c>
      <c r="O1423" s="2" t="str">
        <f>IF(AND(Table1[[#This Row],[fixed acidity]]&gt;Sheet1!$C$4,Table1[[#This Row],[pH]]&lt;Sheet1!$K$4),"High","Normal")</f>
        <v>Normal</v>
      </c>
      <c r="P1423" s="1">
        <f>(Table1[[#This Row],[alcohol]]*2)+(Table1[[#This Row],[sulphates]]*1.5)-(Table1[[#This Row],[volatile acidity]]*2)</f>
        <v>18.87</v>
      </c>
      <c r="Q1423" s="1">
        <f>RANK(Table1[[#This Row],[Quality_score_index]],Table1[Quality_score_index],0)</f>
        <v>1218</v>
      </c>
      <c r="R1423" s="1">
        <f>Table1[[#This Row],[total sulfur dioxide]]-Table1[[#This Row],[free sulfur dioxide]]</f>
        <v>34</v>
      </c>
      <c r="S1423" s="1" t="str">
        <f>IF(AND(Table1[[#This Row],[pH]]&gt;=3.2,Table1[[#This Row],[alcohol]]&gt;=10),"White wine","Red wine")</f>
        <v>Red wine</v>
      </c>
    </row>
    <row r="1424" spans="1:19" x14ac:dyDescent="0.3">
      <c r="A1424" s="13">
        <v>1423</v>
      </c>
      <c r="B1424" s="1">
        <v>7</v>
      </c>
      <c r="C1424" s="1">
        <v>0.54</v>
      </c>
      <c r="D1424" s="1">
        <v>0</v>
      </c>
      <c r="E1424" s="1">
        <v>2.1</v>
      </c>
      <c r="F1424" s="1">
        <v>7.9000000000000001E-2</v>
      </c>
      <c r="G1424" s="1">
        <v>39</v>
      </c>
      <c r="H1424" s="1">
        <v>55</v>
      </c>
      <c r="I1424" s="1">
        <v>0.99560000000000004</v>
      </c>
      <c r="J1424" s="1">
        <v>3.39</v>
      </c>
      <c r="K1424" s="1">
        <v>0.84</v>
      </c>
      <c r="L1424" s="1">
        <v>11.4</v>
      </c>
      <c r="M1424" s="2">
        <v>6</v>
      </c>
      <c r="N1424" s="2" t="str" cm="1">
        <f t="array" ref="N1424">_xlfn.IFS(Table1[[#This Row],[quality]]&lt;=4,"Low",Table1[[#This Row],[quality]]&lt;=6,"Medium",Table1[[#This Row],[quality]]&gt;=7,"High")</f>
        <v>Medium</v>
      </c>
      <c r="O1424" s="2" t="str">
        <f>IF(AND(Table1[[#This Row],[fixed acidity]]&gt;Sheet1!$C$4,Table1[[#This Row],[pH]]&lt;Sheet1!$K$4),"High","Normal")</f>
        <v>Normal</v>
      </c>
      <c r="P1424" s="1">
        <f>(Table1[[#This Row],[alcohol]]*2)+(Table1[[#This Row],[sulphates]]*1.5)-(Table1[[#This Row],[volatile acidity]]*2)</f>
        <v>22.980000000000004</v>
      </c>
      <c r="Q1424" s="1">
        <f>RANK(Table1[[#This Row],[Quality_score_index]],Table1[Quality_score_index],0)</f>
        <v>273</v>
      </c>
      <c r="R1424" s="1">
        <f>Table1[[#This Row],[total sulfur dioxide]]-Table1[[#This Row],[free sulfur dioxide]]</f>
        <v>16</v>
      </c>
      <c r="S1424" s="1" t="str">
        <f>IF(AND(Table1[[#This Row],[pH]]&gt;=3.2,Table1[[#This Row],[alcohol]]&gt;=10),"White wine","Red wine")</f>
        <v>White wine</v>
      </c>
    </row>
    <row r="1425" spans="1:19" x14ac:dyDescent="0.3">
      <c r="A1425" s="13">
        <v>1424</v>
      </c>
      <c r="B1425" s="1">
        <v>6.4</v>
      </c>
      <c r="C1425" s="1">
        <v>0.53</v>
      </c>
      <c r="D1425" s="1">
        <v>0.09</v>
      </c>
      <c r="E1425" s="1">
        <v>3.9</v>
      </c>
      <c r="F1425" s="1">
        <v>0.123</v>
      </c>
      <c r="G1425" s="1">
        <v>14</v>
      </c>
      <c r="H1425" s="1">
        <v>31</v>
      </c>
      <c r="I1425" s="1">
        <v>0.99680000000000002</v>
      </c>
      <c r="J1425" s="1">
        <v>3.5</v>
      </c>
      <c r="K1425" s="1">
        <v>0.67</v>
      </c>
      <c r="L1425" s="1">
        <v>11</v>
      </c>
      <c r="M1425" s="2">
        <v>4</v>
      </c>
      <c r="N1425" s="2" t="str" cm="1">
        <f t="array" ref="N1425">_xlfn.IFS(Table1[[#This Row],[quality]]&lt;=4,"Low",Table1[[#This Row],[quality]]&lt;=6,"Medium",Table1[[#This Row],[quality]]&gt;=7,"High")</f>
        <v>Low</v>
      </c>
      <c r="O1425" s="2" t="str">
        <f>IF(AND(Table1[[#This Row],[fixed acidity]]&gt;Sheet1!$C$4,Table1[[#This Row],[pH]]&lt;Sheet1!$K$4),"High","Normal")</f>
        <v>Normal</v>
      </c>
      <c r="P1425" s="1">
        <f>(Table1[[#This Row],[alcohol]]*2)+(Table1[[#This Row],[sulphates]]*1.5)-(Table1[[#This Row],[volatile acidity]]*2)</f>
        <v>21.945</v>
      </c>
      <c r="Q1425" s="1">
        <f>RANK(Table1[[#This Row],[Quality_score_index]],Table1[Quality_score_index],0)</f>
        <v>462</v>
      </c>
      <c r="R1425" s="1">
        <f>Table1[[#This Row],[total sulfur dioxide]]-Table1[[#This Row],[free sulfur dioxide]]</f>
        <v>17</v>
      </c>
      <c r="S1425" s="1" t="str">
        <f>IF(AND(Table1[[#This Row],[pH]]&gt;=3.2,Table1[[#This Row],[alcohol]]&gt;=10),"White wine","Red wine")</f>
        <v>White wine</v>
      </c>
    </row>
    <row r="1426" spans="1:19" x14ac:dyDescent="0.3">
      <c r="A1426" s="13">
        <v>1425</v>
      </c>
      <c r="B1426" s="1">
        <v>8.3000000000000007</v>
      </c>
      <c r="C1426" s="1">
        <v>0.26</v>
      </c>
      <c r="D1426" s="1">
        <v>0.37</v>
      </c>
      <c r="E1426" s="1">
        <v>1.4</v>
      </c>
      <c r="F1426" s="1">
        <v>7.5999999999999998E-2</v>
      </c>
      <c r="G1426" s="1">
        <v>8</v>
      </c>
      <c r="H1426" s="1">
        <v>23</v>
      </c>
      <c r="I1426" s="1">
        <v>0.99739999999999995</v>
      </c>
      <c r="J1426" s="1">
        <v>3.26</v>
      </c>
      <c r="K1426" s="1">
        <v>0.7</v>
      </c>
      <c r="L1426" s="1">
        <v>9.6</v>
      </c>
      <c r="M1426" s="2">
        <v>6</v>
      </c>
      <c r="N1426" s="2" t="str" cm="1">
        <f t="array" ref="N1426">_xlfn.IFS(Table1[[#This Row],[quality]]&lt;=4,"Low",Table1[[#This Row],[quality]]&lt;=6,"Medium",Table1[[#This Row],[quality]]&gt;=7,"High")</f>
        <v>Medium</v>
      </c>
      <c r="O1426" s="2" t="str">
        <f>IF(AND(Table1[[#This Row],[fixed acidity]]&gt;Sheet1!$C$4,Table1[[#This Row],[pH]]&lt;Sheet1!$K$4),"High","Normal")</f>
        <v>Normal</v>
      </c>
      <c r="P1426" s="1">
        <f>(Table1[[#This Row],[alcohol]]*2)+(Table1[[#This Row],[sulphates]]*1.5)-(Table1[[#This Row],[volatile acidity]]*2)</f>
        <v>19.73</v>
      </c>
      <c r="Q1426" s="1">
        <f>RANK(Table1[[#This Row],[Quality_score_index]],Table1[Quality_score_index],0)</f>
        <v>922</v>
      </c>
      <c r="R1426" s="1">
        <f>Table1[[#This Row],[total sulfur dioxide]]-Table1[[#This Row],[free sulfur dioxide]]</f>
        <v>15</v>
      </c>
      <c r="S1426" s="1" t="str">
        <f>IF(AND(Table1[[#This Row],[pH]]&gt;=3.2,Table1[[#This Row],[alcohol]]&gt;=10),"White wine","Red wine")</f>
        <v>Red wine</v>
      </c>
    </row>
    <row r="1427" spans="1:19" x14ac:dyDescent="0.3">
      <c r="A1427" s="13">
        <v>1426</v>
      </c>
      <c r="B1427" s="1">
        <v>8.3000000000000007</v>
      </c>
      <c r="C1427" s="1">
        <v>0.26</v>
      </c>
      <c r="D1427" s="1">
        <v>0.37</v>
      </c>
      <c r="E1427" s="1">
        <v>1.4</v>
      </c>
      <c r="F1427" s="1">
        <v>7.5999999999999998E-2</v>
      </c>
      <c r="G1427" s="1">
        <v>8</v>
      </c>
      <c r="H1427" s="1">
        <v>23</v>
      </c>
      <c r="I1427" s="1">
        <v>0.99739999999999995</v>
      </c>
      <c r="J1427" s="1">
        <v>3.26</v>
      </c>
      <c r="K1427" s="1">
        <v>0.7</v>
      </c>
      <c r="L1427" s="1">
        <v>9.6</v>
      </c>
      <c r="M1427" s="2">
        <v>6</v>
      </c>
      <c r="N1427" s="2" t="str" cm="1">
        <f t="array" ref="N1427">_xlfn.IFS(Table1[[#This Row],[quality]]&lt;=4,"Low",Table1[[#This Row],[quality]]&lt;=6,"Medium",Table1[[#This Row],[quality]]&gt;=7,"High")</f>
        <v>Medium</v>
      </c>
      <c r="O1427" s="2" t="str">
        <f>IF(AND(Table1[[#This Row],[fixed acidity]]&gt;Sheet1!$C$4,Table1[[#This Row],[pH]]&lt;Sheet1!$K$4),"High","Normal")</f>
        <v>Normal</v>
      </c>
      <c r="P1427" s="1">
        <f>(Table1[[#This Row],[alcohol]]*2)+(Table1[[#This Row],[sulphates]]*1.5)-(Table1[[#This Row],[volatile acidity]]*2)</f>
        <v>19.73</v>
      </c>
      <c r="Q1427" s="1">
        <f>RANK(Table1[[#This Row],[Quality_score_index]],Table1[Quality_score_index],0)</f>
        <v>922</v>
      </c>
      <c r="R1427" s="1">
        <f>Table1[[#This Row],[total sulfur dioxide]]-Table1[[#This Row],[free sulfur dioxide]]</f>
        <v>15</v>
      </c>
      <c r="S1427" s="1" t="str">
        <f>IF(AND(Table1[[#This Row],[pH]]&gt;=3.2,Table1[[#This Row],[alcohol]]&gt;=10),"White wine","Red wine")</f>
        <v>Red wine</v>
      </c>
    </row>
    <row r="1428" spans="1:19" x14ac:dyDescent="0.3">
      <c r="A1428" s="13">
        <v>1427</v>
      </c>
      <c r="B1428" s="1">
        <v>7.7</v>
      </c>
      <c r="C1428" s="1">
        <v>0.23</v>
      </c>
      <c r="D1428" s="1">
        <v>0.37</v>
      </c>
      <c r="E1428" s="1">
        <v>1.8</v>
      </c>
      <c r="F1428" s="1">
        <v>4.5999999999999999E-2</v>
      </c>
      <c r="G1428" s="1">
        <v>23</v>
      </c>
      <c r="H1428" s="1">
        <v>60</v>
      </c>
      <c r="I1428" s="1">
        <v>0.99709999999999999</v>
      </c>
      <c r="J1428" s="1">
        <v>3.41</v>
      </c>
      <c r="K1428" s="1">
        <v>0.71</v>
      </c>
      <c r="L1428" s="1">
        <v>12.1</v>
      </c>
      <c r="M1428" s="2">
        <v>6</v>
      </c>
      <c r="N1428" s="2" t="str" cm="1">
        <f t="array" ref="N1428">_xlfn.IFS(Table1[[#This Row],[quality]]&lt;=4,"Low",Table1[[#This Row],[quality]]&lt;=6,"Medium",Table1[[#This Row],[quality]]&gt;=7,"High")</f>
        <v>Medium</v>
      </c>
      <c r="O1428" s="2" t="str">
        <f>IF(AND(Table1[[#This Row],[fixed acidity]]&gt;Sheet1!$C$4,Table1[[#This Row],[pH]]&lt;Sheet1!$K$4),"High","Normal")</f>
        <v>Normal</v>
      </c>
      <c r="P1428" s="1">
        <f>(Table1[[#This Row],[alcohol]]*2)+(Table1[[#This Row],[sulphates]]*1.5)-(Table1[[#This Row],[volatile acidity]]*2)</f>
        <v>24.805</v>
      </c>
      <c r="Q1428" s="1">
        <f>RANK(Table1[[#This Row],[Quality_score_index]],Table1[Quality_score_index],0)</f>
        <v>103</v>
      </c>
      <c r="R1428" s="1">
        <f>Table1[[#This Row],[total sulfur dioxide]]-Table1[[#This Row],[free sulfur dioxide]]</f>
        <v>37</v>
      </c>
      <c r="S1428" s="1" t="str">
        <f>IF(AND(Table1[[#This Row],[pH]]&gt;=3.2,Table1[[#This Row],[alcohol]]&gt;=10),"White wine","Red wine")</f>
        <v>White wine</v>
      </c>
    </row>
    <row r="1429" spans="1:19" x14ac:dyDescent="0.3">
      <c r="A1429" s="13">
        <v>1428</v>
      </c>
      <c r="B1429" s="1">
        <v>7.6</v>
      </c>
      <c r="C1429" s="1">
        <v>0.41</v>
      </c>
      <c r="D1429" s="1">
        <v>0.33</v>
      </c>
      <c r="E1429" s="1">
        <v>2.5</v>
      </c>
      <c r="F1429" s="1">
        <v>7.8E-2</v>
      </c>
      <c r="G1429" s="1">
        <v>6</v>
      </c>
      <c r="H1429" s="1">
        <v>23</v>
      </c>
      <c r="I1429" s="1">
        <v>0.99570000000000003</v>
      </c>
      <c r="J1429" s="1">
        <v>3.3</v>
      </c>
      <c r="K1429" s="1">
        <v>0.57999999999999996</v>
      </c>
      <c r="L1429" s="1">
        <v>11.2</v>
      </c>
      <c r="M1429" s="2">
        <v>5</v>
      </c>
      <c r="N1429" s="2" t="str" cm="1">
        <f t="array" ref="N1429">_xlfn.IFS(Table1[[#This Row],[quality]]&lt;=4,"Low",Table1[[#This Row],[quality]]&lt;=6,"Medium",Table1[[#This Row],[quality]]&gt;=7,"High")</f>
        <v>Medium</v>
      </c>
      <c r="O1429" s="2" t="str">
        <f>IF(AND(Table1[[#This Row],[fixed acidity]]&gt;Sheet1!$C$4,Table1[[#This Row],[pH]]&lt;Sheet1!$K$4),"High","Normal")</f>
        <v>Normal</v>
      </c>
      <c r="P1429" s="1">
        <f>(Table1[[#This Row],[alcohol]]*2)+(Table1[[#This Row],[sulphates]]*1.5)-(Table1[[#This Row],[volatile acidity]]*2)</f>
        <v>22.45</v>
      </c>
      <c r="Q1429" s="1">
        <f>RANK(Table1[[#This Row],[Quality_score_index]],Table1[Quality_score_index],0)</f>
        <v>380</v>
      </c>
      <c r="R1429" s="1">
        <f>Table1[[#This Row],[total sulfur dioxide]]-Table1[[#This Row],[free sulfur dioxide]]</f>
        <v>17</v>
      </c>
      <c r="S1429" s="1" t="str">
        <f>IF(AND(Table1[[#This Row],[pH]]&gt;=3.2,Table1[[#This Row],[alcohol]]&gt;=10),"White wine","Red wine")</f>
        <v>White wine</v>
      </c>
    </row>
    <row r="1430" spans="1:19" x14ac:dyDescent="0.3">
      <c r="A1430" s="13">
        <v>1429</v>
      </c>
      <c r="B1430" s="1">
        <v>7.8</v>
      </c>
      <c r="C1430" s="1">
        <v>0.64</v>
      </c>
      <c r="D1430" s="1">
        <v>0</v>
      </c>
      <c r="E1430" s="1">
        <v>1.9</v>
      </c>
      <c r="F1430" s="1">
        <v>7.1999999999999995E-2</v>
      </c>
      <c r="G1430" s="1">
        <v>27</v>
      </c>
      <c r="H1430" s="1">
        <v>55</v>
      </c>
      <c r="I1430" s="1">
        <v>0.99619999999999997</v>
      </c>
      <c r="J1430" s="1">
        <v>3.31</v>
      </c>
      <c r="K1430" s="1">
        <v>0.63</v>
      </c>
      <c r="L1430" s="1">
        <v>11</v>
      </c>
      <c r="M1430" s="2">
        <v>5</v>
      </c>
      <c r="N1430" s="2" t="str" cm="1">
        <f t="array" ref="N1430">_xlfn.IFS(Table1[[#This Row],[quality]]&lt;=4,"Low",Table1[[#This Row],[quality]]&lt;=6,"Medium",Table1[[#This Row],[quality]]&gt;=7,"High")</f>
        <v>Medium</v>
      </c>
      <c r="O1430" s="2" t="str">
        <f>IF(AND(Table1[[#This Row],[fixed acidity]]&gt;Sheet1!$C$4,Table1[[#This Row],[pH]]&lt;Sheet1!$K$4),"High","Normal")</f>
        <v>Normal</v>
      </c>
      <c r="P1430" s="1">
        <f>(Table1[[#This Row],[alcohol]]*2)+(Table1[[#This Row],[sulphates]]*1.5)-(Table1[[#This Row],[volatile acidity]]*2)</f>
        <v>21.664999999999999</v>
      </c>
      <c r="Q1430" s="1">
        <f>RANK(Table1[[#This Row],[Quality_score_index]],Table1[Quality_score_index],0)</f>
        <v>511</v>
      </c>
      <c r="R1430" s="1">
        <f>Table1[[#This Row],[total sulfur dioxide]]-Table1[[#This Row],[free sulfur dioxide]]</f>
        <v>28</v>
      </c>
      <c r="S1430" s="1" t="str">
        <f>IF(AND(Table1[[#This Row],[pH]]&gt;=3.2,Table1[[#This Row],[alcohol]]&gt;=10),"White wine","Red wine")</f>
        <v>White wine</v>
      </c>
    </row>
    <row r="1431" spans="1:19" x14ac:dyDescent="0.3">
      <c r="A1431" s="13">
        <v>1430</v>
      </c>
      <c r="B1431" s="1">
        <v>7.9</v>
      </c>
      <c r="C1431" s="1">
        <v>0.18</v>
      </c>
      <c r="D1431" s="1">
        <v>0.4</v>
      </c>
      <c r="E1431" s="1">
        <v>2.2000000000000002</v>
      </c>
      <c r="F1431" s="1">
        <v>4.9000000000000002E-2</v>
      </c>
      <c r="G1431" s="1">
        <v>38</v>
      </c>
      <c r="H1431" s="1">
        <v>67</v>
      </c>
      <c r="I1431" s="1">
        <v>0.996</v>
      </c>
      <c r="J1431" s="1">
        <v>3.33</v>
      </c>
      <c r="K1431" s="1">
        <v>0.93</v>
      </c>
      <c r="L1431" s="1">
        <v>11.3</v>
      </c>
      <c r="M1431" s="2">
        <v>5</v>
      </c>
      <c r="N1431" s="2" t="str" cm="1">
        <f t="array" ref="N1431">_xlfn.IFS(Table1[[#This Row],[quality]]&lt;=4,"Low",Table1[[#This Row],[quality]]&lt;=6,"Medium",Table1[[#This Row],[quality]]&gt;=7,"High")</f>
        <v>Medium</v>
      </c>
      <c r="O1431" s="2" t="str">
        <f>IF(AND(Table1[[#This Row],[fixed acidity]]&gt;Sheet1!$C$4,Table1[[#This Row],[pH]]&lt;Sheet1!$K$4),"High","Normal")</f>
        <v>Normal</v>
      </c>
      <c r="P1431" s="1">
        <f>(Table1[[#This Row],[alcohol]]*2)+(Table1[[#This Row],[sulphates]]*1.5)-(Table1[[#This Row],[volatile acidity]]*2)</f>
        <v>23.635000000000002</v>
      </c>
      <c r="Q1431" s="1">
        <f>RANK(Table1[[#This Row],[Quality_score_index]],Table1[Quality_score_index],0)</f>
        <v>205</v>
      </c>
      <c r="R1431" s="1">
        <f>Table1[[#This Row],[total sulfur dioxide]]-Table1[[#This Row],[free sulfur dioxide]]</f>
        <v>29</v>
      </c>
      <c r="S1431" s="1" t="str">
        <f>IF(AND(Table1[[#This Row],[pH]]&gt;=3.2,Table1[[#This Row],[alcohol]]&gt;=10),"White wine","Red wine")</f>
        <v>White wine</v>
      </c>
    </row>
    <row r="1432" spans="1:19" x14ac:dyDescent="0.3">
      <c r="A1432" s="13">
        <v>1431</v>
      </c>
      <c r="B1432" s="1">
        <v>7.4</v>
      </c>
      <c r="C1432" s="1">
        <v>0.41</v>
      </c>
      <c r="D1432" s="1">
        <v>0.24</v>
      </c>
      <c r="E1432" s="1">
        <v>1.8</v>
      </c>
      <c r="F1432" s="1">
        <v>6.6000000000000003E-2</v>
      </c>
      <c r="G1432" s="1">
        <v>18</v>
      </c>
      <c r="H1432" s="1">
        <v>47</v>
      </c>
      <c r="I1432" s="1">
        <v>0.99560000000000004</v>
      </c>
      <c r="J1432" s="1">
        <v>3.37</v>
      </c>
      <c r="K1432" s="1">
        <v>0.62</v>
      </c>
      <c r="L1432" s="1">
        <v>10.4</v>
      </c>
      <c r="M1432" s="2">
        <v>5</v>
      </c>
      <c r="N1432" s="2" t="str" cm="1">
        <f t="array" ref="N1432">_xlfn.IFS(Table1[[#This Row],[quality]]&lt;=4,"Low",Table1[[#This Row],[quality]]&lt;=6,"Medium",Table1[[#This Row],[quality]]&gt;=7,"High")</f>
        <v>Medium</v>
      </c>
      <c r="O1432" s="2" t="str">
        <f>IF(AND(Table1[[#This Row],[fixed acidity]]&gt;Sheet1!$C$4,Table1[[#This Row],[pH]]&lt;Sheet1!$K$4),"High","Normal")</f>
        <v>Normal</v>
      </c>
      <c r="P1432" s="1">
        <f>(Table1[[#This Row],[alcohol]]*2)+(Table1[[#This Row],[sulphates]]*1.5)-(Table1[[#This Row],[volatile acidity]]*2)</f>
        <v>20.91</v>
      </c>
      <c r="Q1432" s="1">
        <f>RANK(Table1[[#This Row],[Quality_score_index]],Table1[Quality_score_index],0)</f>
        <v>671</v>
      </c>
      <c r="R1432" s="1">
        <f>Table1[[#This Row],[total sulfur dioxide]]-Table1[[#This Row],[free sulfur dioxide]]</f>
        <v>29</v>
      </c>
      <c r="S1432" s="1" t="str">
        <f>IF(AND(Table1[[#This Row],[pH]]&gt;=3.2,Table1[[#This Row],[alcohol]]&gt;=10),"White wine","Red wine")</f>
        <v>White wine</v>
      </c>
    </row>
    <row r="1433" spans="1:19" x14ac:dyDescent="0.3">
      <c r="A1433" s="13">
        <v>1432</v>
      </c>
      <c r="B1433" s="1">
        <v>7.6</v>
      </c>
      <c r="C1433" s="1">
        <v>0.43</v>
      </c>
      <c r="D1433" s="1">
        <v>0.31</v>
      </c>
      <c r="E1433" s="1">
        <v>2.1</v>
      </c>
      <c r="F1433" s="1">
        <v>6.9000000000000006E-2</v>
      </c>
      <c r="G1433" s="1">
        <v>13</v>
      </c>
      <c r="H1433" s="1">
        <v>74</v>
      </c>
      <c r="I1433" s="1">
        <v>0.99580000000000002</v>
      </c>
      <c r="J1433" s="1">
        <v>3.26</v>
      </c>
      <c r="K1433" s="1">
        <v>0.54</v>
      </c>
      <c r="L1433" s="1">
        <v>9.9</v>
      </c>
      <c r="M1433" s="2">
        <v>6</v>
      </c>
      <c r="N1433" s="2" t="str" cm="1">
        <f t="array" ref="N1433">_xlfn.IFS(Table1[[#This Row],[quality]]&lt;=4,"Low",Table1[[#This Row],[quality]]&lt;=6,"Medium",Table1[[#This Row],[quality]]&gt;=7,"High")</f>
        <v>Medium</v>
      </c>
      <c r="O1433" s="2" t="str">
        <f>IF(AND(Table1[[#This Row],[fixed acidity]]&gt;Sheet1!$C$4,Table1[[#This Row],[pH]]&lt;Sheet1!$K$4),"High","Normal")</f>
        <v>Normal</v>
      </c>
      <c r="P1433" s="1">
        <f>(Table1[[#This Row],[alcohol]]*2)+(Table1[[#This Row],[sulphates]]*1.5)-(Table1[[#This Row],[volatile acidity]]*2)</f>
        <v>19.75</v>
      </c>
      <c r="Q1433" s="1">
        <f>RANK(Table1[[#This Row],[Quality_score_index]],Table1[Quality_score_index],0)</f>
        <v>913</v>
      </c>
      <c r="R1433" s="1">
        <f>Table1[[#This Row],[total sulfur dioxide]]-Table1[[#This Row],[free sulfur dioxide]]</f>
        <v>61</v>
      </c>
      <c r="S1433" s="1" t="str">
        <f>IF(AND(Table1[[#This Row],[pH]]&gt;=3.2,Table1[[#This Row],[alcohol]]&gt;=10),"White wine","Red wine")</f>
        <v>Red wine</v>
      </c>
    </row>
    <row r="1434" spans="1:19" x14ac:dyDescent="0.3">
      <c r="A1434" s="13">
        <v>1433</v>
      </c>
      <c r="B1434" s="1">
        <v>5.9</v>
      </c>
      <c r="C1434" s="1">
        <v>0.44</v>
      </c>
      <c r="D1434" s="1">
        <v>0</v>
      </c>
      <c r="E1434" s="1">
        <v>1.6</v>
      </c>
      <c r="F1434" s="1">
        <v>4.2000000000000003E-2</v>
      </c>
      <c r="G1434" s="1">
        <v>3</v>
      </c>
      <c r="H1434" s="1">
        <v>11</v>
      </c>
      <c r="I1434" s="1">
        <v>0.99439999999999995</v>
      </c>
      <c r="J1434" s="1">
        <v>3.48</v>
      </c>
      <c r="K1434" s="1">
        <v>0.85</v>
      </c>
      <c r="L1434" s="1">
        <v>11.7</v>
      </c>
      <c r="M1434" s="2">
        <v>6</v>
      </c>
      <c r="N1434" s="2" t="str" cm="1">
        <f t="array" ref="N1434">_xlfn.IFS(Table1[[#This Row],[quality]]&lt;=4,"Low",Table1[[#This Row],[quality]]&lt;=6,"Medium",Table1[[#This Row],[quality]]&gt;=7,"High")</f>
        <v>Medium</v>
      </c>
      <c r="O1434" s="2" t="str">
        <f>IF(AND(Table1[[#This Row],[fixed acidity]]&gt;Sheet1!$C$4,Table1[[#This Row],[pH]]&lt;Sheet1!$K$4),"High","Normal")</f>
        <v>Normal</v>
      </c>
      <c r="P1434" s="1">
        <f>(Table1[[#This Row],[alcohol]]*2)+(Table1[[#This Row],[sulphates]]*1.5)-(Table1[[#This Row],[volatile acidity]]*2)</f>
        <v>23.794999999999998</v>
      </c>
      <c r="Q1434" s="1">
        <f>RANK(Table1[[#This Row],[Quality_score_index]],Table1[Quality_score_index],0)</f>
        <v>194</v>
      </c>
      <c r="R1434" s="1">
        <f>Table1[[#This Row],[total sulfur dioxide]]-Table1[[#This Row],[free sulfur dioxide]]</f>
        <v>8</v>
      </c>
      <c r="S1434" s="1" t="str">
        <f>IF(AND(Table1[[#This Row],[pH]]&gt;=3.2,Table1[[#This Row],[alcohol]]&gt;=10),"White wine","Red wine")</f>
        <v>White wine</v>
      </c>
    </row>
    <row r="1435" spans="1:19" x14ac:dyDescent="0.3">
      <c r="A1435" s="13">
        <v>1434</v>
      </c>
      <c r="B1435" s="1">
        <v>6.1</v>
      </c>
      <c r="C1435" s="1">
        <v>0.4</v>
      </c>
      <c r="D1435" s="1">
        <v>0.16</v>
      </c>
      <c r="E1435" s="1">
        <v>1.8</v>
      </c>
      <c r="F1435" s="1">
        <v>6.9000000000000006E-2</v>
      </c>
      <c r="G1435" s="1">
        <v>11</v>
      </c>
      <c r="H1435" s="1">
        <v>25</v>
      </c>
      <c r="I1435" s="1">
        <v>0.99550000000000005</v>
      </c>
      <c r="J1435" s="1">
        <v>3.42</v>
      </c>
      <c r="K1435" s="1">
        <v>0.74</v>
      </c>
      <c r="L1435" s="1">
        <v>10.1</v>
      </c>
      <c r="M1435" s="2">
        <v>7</v>
      </c>
      <c r="N1435" s="2" t="str" cm="1">
        <f t="array" ref="N1435">_xlfn.IFS(Table1[[#This Row],[quality]]&lt;=4,"Low",Table1[[#This Row],[quality]]&lt;=6,"Medium",Table1[[#This Row],[quality]]&gt;=7,"High")</f>
        <v>High</v>
      </c>
      <c r="O1435" s="2" t="str">
        <f>IF(AND(Table1[[#This Row],[fixed acidity]]&gt;Sheet1!$C$4,Table1[[#This Row],[pH]]&lt;Sheet1!$K$4),"High","Normal")</f>
        <v>Normal</v>
      </c>
      <c r="P1435" s="1">
        <f>(Table1[[#This Row],[alcohol]]*2)+(Table1[[#This Row],[sulphates]]*1.5)-(Table1[[#This Row],[volatile acidity]]*2)</f>
        <v>20.509999999999998</v>
      </c>
      <c r="Q1435" s="1">
        <f>RANK(Table1[[#This Row],[Quality_score_index]],Table1[Quality_score_index],0)</f>
        <v>754</v>
      </c>
      <c r="R1435" s="1">
        <f>Table1[[#This Row],[total sulfur dioxide]]-Table1[[#This Row],[free sulfur dioxide]]</f>
        <v>14</v>
      </c>
      <c r="S1435" s="1" t="str">
        <f>IF(AND(Table1[[#This Row],[pH]]&gt;=3.2,Table1[[#This Row],[alcohol]]&gt;=10),"White wine","Red wine")</f>
        <v>White wine</v>
      </c>
    </row>
    <row r="1436" spans="1:19" x14ac:dyDescent="0.3">
      <c r="A1436" s="13">
        <v>1435</v>
      </c>
      <c r="B1436" s="1">
        <v>10.199999999999999</v>
      </c>
      <c r="C1436" s="1">
        <v>0.54</v>
      </c>
      <c r="D1436" s="1">
        <v>0.37</v>
      </c>
      <c r="E1436" s="1">
        <v>15.4</v>
      </c>
      <c r="F1436" s="1">
        <v>0.214</v>
      </c>
      <c r="G1436" s="1">
        <v>55</v>
      </c>
      <c r="H1436" s="1">
        <v>95</v>
      </c>
      <c r="I1436" s="1">
        <v>1.00369</v>
      </c>
      <c r="J1436" s="1">
        <v>3.18</v>
      </c>
      <c r="K1436" s="1">
        <v>0.77</v>
      </c>
      <c r="L1436" s="1">
        <v>9</v>
      </c>
      <c r="M1436" s="2">
        <v>6</v>
      </c>
      <c r="N1436" s="2" t="str" cm="1">
        <f t="array" ref="N1436">_xlfn.IFS(Table1[[#This Row],[quality]]&lt;=4,"Low",Table1[[#This Row],[quality]]&lt;=6,"Medium",Table1[[#This Row],[quality]]&gt;=7,"High")</f>
        <v>Medium</v>
      </c>
      <c r="O1436" s="2" t="str">
        <f>IF(AND(Table1[[#This Row],[fixed acidity]]&gt;Sheet1!$C$4,Table1[[#This Row],[pH]]&lt;Sheet1!$K$4),"High","Normal")</f>
        <v>High</v>
      </c>
      <c r="P1436" s="1">
        <f>(Table1[[#This Row],[alcohol]]*2)+(Table1[[#This Row],[sulphates]]*1.5)-(Table1[[#This Row],[volatile acidity]]*2)</f>
        <v>18.075000000000003</v>
      </c>
      <c r="Q1436" s="1">
        <f>RANK(Table1[[#This Row],[Quality_score_index]],Table1[Quality_score_index],0)</f>
        <v>1505</v>
      </c>
      <c r="R1436" s="1">
        <f>Table1[[#This Row],[total sulfur dioxide]]-Table1[[#This Row],[free sulfur dioxide]]</f>
        <v>40</v>
      </c>
      <c r="S1436" s="1" t="str">
        <f>IF(AND(Table1[[#This Row],[pH]]&gt;=3.2,Table1[[#This Row],[alcohol]]&gt;=10),"White wine","Red wine")</f>
        <v>Red wine</v>
      </c>
    </row>
    <row r="1437" spans="1:19" x14ac:dyDescent="0.3">
      <c r="A1437" s="13">
        <v>1436</v>
      </c>
      <c r="B1437" s="1">
        <v>10.199999999999999</v>
      </c>
      <c r="C1437" s="1">
        <v>0.54</v>
      </c>
      <c r="D1437" s="1">
        <v>0.37</v>
      </c>
      <c r="E1437" s="1">
        <v>15.4</v>
      </c>
      <c r="F1437" s="1">
        <v>0.214</v>
      </c>
      <c r="G1437" s="1">
        <v>55</v>
      </c>
      <c r="H1437" s="1">
        <v>95</v>
      </c>
      <c r="I1437" s="1">
        <v>1.00369</v>
      </c>
      <c r="J1437" s="1">
        <v>3.18</v>
      </c>
      <c r="K1437" s="1">
        <v>0.77</v>
      </c>
      <c r="L1437" s="1">
        <v>9</v>
      </c>
      <c r="M1437" s="2">
        <v>6</v>
      </c>
      <c r="N1437" s="2" t="str" cm="1">
        <f t="array" ref="N1437">_xlfn.IFS(Table1[[#This Row],[quality]]&lt;=4,"Low",Table1[[#This Row],[quality]]&lt;=6,"Medium",Table1[[#This Row],[quality]]&gt;=7,"High")</f>
        <v>Medium</v>
      </c>
      <c r="O1437" s="2" t="str">
        <f>IF(AND(Table1[[#This Row],[fixed acidity]]&gt;Sheet1!$C$4,Table1[[#This Row],[pH]]&lt;Sheet1!$K$4),"High","Normal")</f>
        <v>High</v>
      </c>
      <c r="P1437" s="1">
        <f>(Table1[[#This Row],[alcohol]]*2)+(Table1[[#This Row],[sulphates]]*1.5)-(Table1[[#This Row],[volatile acidity]]*2)</f>
        <v>18.075000000000003</v>
      </c>
      <c r="Q1437" s="1">
        <f>RANK(Table1[[#This Row],[Quality_score_index]],Table1[Quality_score_index],0)</f>
        <v>1505</v>
      </c>
      <c r="R1437" s="1">
        <f>Table1[[#This Row],[total sulfur dioxide]]-Table1[[#This Row],[free sulfur dioxide]]</f>
        <v>40</v>
      </c>
      <c r="S1437" s="1" t="str">
        <f>IF(AND(Table1[[#This Row],[pH]]&gt;=3.2,Table1[[#This Row],[alcohol]]&gt;=10),"White wine","Red wine")</f>
        <v>Red wine</v>
      </c>
    </row>
    <row r="1438" spans="1:19" x14ac:dyDescent="0.3">
      <c r="A1438" s="13">
        <v>1437</v>
      </c>
      <c r="B1438" s="1">
        <v>10</v>
      </c>
      <c r="C1438" s="1">
        <v>0.38</v>
      </c>
      <c r="D1438" s="1">
        <v>0.38</v>
      </c>
      <c r="E1438" s="1">
        <v>1.6</v>
      </c>
      <c r="F1438" s="1">
        <v>0.16900000000000001</v>
      </c>
      <c r="G1438" s="1">
        <v>27</v>
      </c>
      <c r="H1438" s="1">
        <v>90</v>
      </c>
      <c r="I1438" s="1">
        <v>0.99914000000000003</v>
      </c>
      <c r="J1438" s="1">
        <v>3.15</v>
      </c>
      <c r="K1438" s="1">
        <v>0.65</v>
      </c>
      <c r="L1438" s="1">
        <v>8.5</v>
      </c>
      <c r="M1438" s="2">
        <v>5</v>
      </c>
      <c r="N1438" s="2" t="str" cm="1">
        <f t="array" ref="N1438">_xlfn.IFS(Table1[[#This Row],[quality]]&lt;=4,"Low",Table1[[#This Row],[quality]]&lt;=6,"Medium",Table1[[#This Row],[quality]]&gt;=7,"High")</f>
        <v>Medium</v>
      </c>
      <c r="O1438" s="2" t="str">
        <f>IF(AND(Table1[[#This Row],[fixed acidity]]&gt;Sheet1!$C$4,Table1[[#This Row],[pH]]&lt;Sheet1!$K$4),"High","Normal")</f>
        <v>High</v>
      </c>
      <c r="P1438" s="1">
        <f>(Table1[[#This Row],[alcohol]]*2)+(Table1[[#This Row],[sulphates]]*1.5)-(Table1[[#This Row],[volatile acidity]]*2)</f>
        <v>17.215</v>
      </c>
      <c r="Q1438" s="1">
        <f>RANK(Table1[[#This Row],[Quality_score_index]],Table1[Quality_score_index],0)</f>
        <v>1594</v>
      </c>
      <c r="R1438" s="1">
        <f>Table1[[#This Row],[total sulfur dioxide]]-Table1[[#This Row],[free sulfur dioxide]]</f>
        <v>63</v>
      </c>
      <c r="S1438" s="1" t="str">
        <f>IF(AND(Table1[[#This Row],[pH]]&gt;=3.2,Table1[[#This Row],[alcohol]]&gt;=10),"White wine","Red wine")</f>
        <v>Red wine</v>
      </c>
    </row>
    <row r="1439" spans="1:19" x14ac:dyDescent="0.3">
      <c r="A1439" s="13">
        <v>1438</v>
      </c>
      <c r="B1439" s="1">
        <v>6.8</v>
      </c>
      <c r="C1439" s="1">
        <v>0.91500000000000004</v>
      </c>
      <c r="D1439" s="1">
        <v>0.28999999999999998</v>
      </c>
      <c r="E1439" s="1">
        <v>4.8</v>
      </c>
      <c r="F1439" s="1">
        <v>7.0000000000000007E-2</v>
      </c>
      <c r="G1439" s="1">
        <v>15</v>
      </c>
      <c r="H1439" s="1">
        <v>39</v>
      </c>
      <c r="I1439" s="1">
        <v>0.99577000000000004</v>
      </c>
      <c r="J1439" s="1">
        <v>3.53</v>
      </c>
      <c r="K1439" s="1">
        <v>0.54</v>
      </c>
      <c r="L1439" s="1">
        <v>11.1</v>
      </c>
      <c r="M1439" s="2">
        <v>5</v>
      </c>
      <c r="N1439" s="2" t="str" cm="1">
        <f t="array" ref="N1439">_xlfn.IFS(Table1[[#This Row],[quality]]&lt;=4,"Low",Table1[[#This Row],[quality]]&lt;=6,"Medium",Table1[[#This Row],[quality]]&gt;=7,"High")</f>
        <v>Medium</v>
      </c>
      <c r="O1439" s="2" t="str">
        <f>IF(AND(Table1[[#This Row],[fixed acidity]]&gt;Sheet1!$C$4,Table1[[#This Row],[pH]]&lt;Sheet1!$K$4),"High","Normal")</f>
        <v>Normal</v>
      </c>
      <c r="P1439" s="1">
        <f>(Table1[[#This Row],[alcohol]]*2)+(Table1[[#This Row],[sulphates]]*1.5)-(Table1[[#This Row],[volatile acidity]]*2)</f>
        <v>21.18</v>
      </c>
      <c r="Q1439" s="1">
        <f>RANK(Table1[[#This Row],[Quality_score_index]],Table1[Quality_score_index],0)</f>
        <v>610</v>
      </c>
      <c r="R1439" s="1">
        <f>Table1[[#This Row],[total sulfur dioxide]]-Table1[[#This Row],[free sulfur dioxide]]</f>
        <v>24</v>
      </c>
      <c r="S1439" s="1" t="str">
        <f>IF(AND(Table1[[#This Row],[pH]]&gt;=3.2,Table1[[#This Row],[alcohol]]&gt;=10),"White wine","Red wine")</f>
        <v>White wine</v>
      </c>
    </row>
    <row r="1440" spans="1:19" x14ac:dyDescent="0.3">
      <c r="A1440" s="13">
        <v>1439</v>
      </c>
      <c r="B1440" s="1">
        <v>7</v>
      </c>
      <c r="C1440" s="1">
        <v>0.59</v>
      </c>
      <c r="D1440" s="1">
        <v>0</v>
      </c>
      <c r="E1440" s="1">
        <v>1.7</v>
      </c>
      <c r="F1440" s="1">
        <v>5.1999999999999998E-2</v>
      </c>
      <c r="G1440" s="1">
        <v>3</v>
      </c>
      <c r="H1440" s="1">
        <v>8</v>
      </c>
      <c r="I1440" s="1">
        <v>0.996</v>
      </c>
      <c r="J1440" s="1">
        <v>3.41</v>
      </c>
      <c r="K1440" s="1">
        <v>0.47</v>
      </c>
      <c r="L1440" s="1">
        <v>10.3</v>
      </c>
      <c r="M1440" s="2">
        <v>5</v>
      </c>
      <c r="N1440" s="2" t="str" cm="1">
        <f t="array" ref="N1440">_xlfn.IFS(Table1[[#This Row],[quality]]&lt;=4,"Low",Table1[[#This Row],[quality]]&lt;=6,"Medium",Table1[[#This Row],[quality]]&gt;=7,"High")</f>
        <v>Medium</v>
      </c>
      <c r="O1440" s="2" t="str">
        <f>IF(AND(Table1[[#This Row],[fixed acidity]]&gt;Sheet1!$C$4,Table1[[#This Row],[pH]]&lt;Sheet1!$K$4),"High","Normal")</f>
        <v>Normal</v>
      </c>
      <c r="P1440" s="1">
        <f>(Table1[[#This Row],[alcohol]]*2)+(Table1[[#This Row],[sulphates]]*1.5)-(Table1[[#This Row],[volatile acidity]]*2)</f>
        <v>20.125</v>
      </c>
      <c r="Q1440" s="1">
        <f>RANK(Table1[[#This Row],[Quality_score_index]],Table1[Quality_score_index],0)</f>
        <v>832</v>
      </c>
      <c r="R1440" s="1">
        <f>Table1[[#This Row],[total sulfur dioxide]]-Table1[[#This Row],[free sulfur dioxide]]</f>
        <v>5</v>
      </c>
      <c r="S1440" s="1" t="str">
        <f>IF(AND(Table1[[#This Row],[pH]]&gt;=3.2,Table1[[#This Row],[alcohol]]&gt;=10),"White wine","Red wine")</f>
        <v>White wine</v>
      </c>
    </row>
    <row r="1441" spans="1:19" x14ac:dyDescent="0.3">
      <c r="A1441" s="13">
        <v>1440</v>
      </c>
      <c r="B1441" s="1">
        <v>7.3</v>
      </c>
      <c r="C1441" s="1">
        <v>0.67</v>
      </c>
      <c r="D1441" s="1">
        <v>0.02</v>
      </c>
      <c r="E1441" s="1">
        <v>2.2000000000000002</v>
      </c>
      <c r="F1441" s="1">
        <v>7.1999999999999995E-2</v>
      </c>
      <c r="G1441" s="1">
        <v>31</v>
      </c>
      <c r="H1441" s="1">
        <v>92</v>
      </c>
      <c r="I1441" s="1">
        <v>0.99565999999999999</v>
      </c>
      <c r="J1441" s="1">
        <v>3.32</v>
      </c>
      <c r="K1441" s="1">
        <v>0.68</v>
      </c>
      <c r="L1441" s="1">
        <v>11.0666666666667</v>
      </c>
      <c r="M1441" s="2">
        <v>6</v>
      </c>
      <c r="N1441" s="2" t="str" cm="1">
        <f t="array" ref="N1441">_xlfn.IFS(Table1[[#This Row],[quality]]&lt;=4,"Low",Table1[[#This Row],[quality]]&lt;=6,"Medium",Table1[[#This Row],[quality]]&gt;=7,"High")</f>
        <v>Medium</v>
      </c>
      <c r="O1441" s="2" t="str">
        <f>IF(AND(Table1[[#This Row],[fixed acidity]]&gt;Sheet1!$C$4,Table1[[#This Row],[pH]]&lt;Sheet1!$K$4),"High","Normal")</f>
        <v>Normal</v>
      </c>
      <c r="P1441" s="1">
        <f>(Table1[[#This Row],[alcohol]]*2)+(Table1[[#This Row],[sulphates]]*1.5)-(Table1[[#This Row],[volatile acidity]]*2)</f>
        <v>21.8133333333334</v>
      </c>
      <c r="Q1441" s="1">
        <f>RANK(Table1[[#This Row],[Quality_score_index]],Table1[Quality_score_index],0)</f>
        <v>478</v>
      </c>
      <c r="R1441" s="1">
        <f>Table1[[#This Row],[total sulfur dioxide]]-Table1[[#This Row],[free sulfur dioxide]]</f>
        <v>61</v>
      </c>
      <c r="S1441" s="1" t="str">
        <f>IF(AND(Table1[[#This Row],[pH]]&gt;=3.2,Table1[[#This Row],[alcohol]]&gt;=10),"White wine","Red wine")</f>
        <v>White wine</v>
      </c>
    </row>
    <row r="1442" spans="1:19" x14ac:dyDescent="0.3">
      <c r="A1442" s="13">
        <v>1441</v>
      </c>
      <c r="B1442" s="1">
        <v>7.2</v>
      </c>
      <c r="C1442" s="1">
        <v>0.37</v>
      </c>
      <c r="D1442" s="1">
        <v>0.32</v>
      </c>
      <c r="E1442" s="1">
        <v>2</v>
      </c>
      <c r="F1442" s="1">
        <v>6.2E-2</v>
      </c>
      <c r="G1442" s="1">
        <v>15</v>
      </c>
      <c r="H1442" s="1">
        <v>28</v>
      </c>
      <c r="I1442" s="1">
        <v>0.99470000000000003</v>
      </c>
      <c r="J1442" s="1">
        <v>3.23</v>
      </c>
      <c r="K1442" s="1">
        <v>0.73</v>
      </c>
      <c r="L1442" s="1">
        <v>11.3</v>
      </c>
      <c r="M1442" s="2">
        <v>7</v>
      </c>
      <c r="N1442" s="2" t="str" cm="1">
        <f t="array" ref="N1442">_xlfn.IFS(Table1[[#This Row],[quality]]&lt;=4,"Low",Table1[[#This Row],[quality]]&lt;=6,"Medium",Table1[[#This Row],[quality]]&gt;=7,"High")</f>
        <v>High</v>
      </c>
      <c r="O1442" s="2" t="str">
        <f>IF(AND(Table1[[#This Row],[fixed acidity]]&gt;Sheet1!$C$4,Table1[[#This Row],[pH]]&lt;Sheet1!$K$4),"High","Normal")</f>
        <v>Normal</v>
      </c>
      <c r="P1442" s="1">
        <f>(Table1[[#This Row],[alcohol]]*2)+(Table1[[#This Row],[sulphates]]*1.5)-(Table1[[#This Row],[volatile acidity]]*2)</f>
        <v>22.955000000000002</v>
      </c>
      <c r="Q1442" s="1">
        <f>RANK(Table1[[#This Row],[Quality_score_index]],Table1[Quality_score_index],0)</f>
        <v>279</v>
      </c>
      <c r="R1442" s="1">
        <f>Table1[[#This Row],[total sulfur dioxide]]-Table1[[#This Row],[free sulfur dioxide]]</f>
        <v>13</v>
      </c>
      <c r="S1442" s="1" t="str">
        <f>IF(AND(Table1[[#This Row],[pH]]&gt;=3.2,Table1[[#This Row],[alcohol]]&gt;=10),"White wine","Red wine")</f>
        <v>White wine</v>
      </c>
    </row>
    <row r="1443" spans="1:19" x14ac:dyDescent="0.3">
      <c r="A1443" s="13">
        <v>1442</v>
      </c>
      <c r="B1443" s="1">
        <v>7.4</v>
      </c>
      <c r="C1443" s="1">
        <v>0.78500000000000003</v>
      </c>
      <c r="D1443" s="1">
        <v>0.19</v>
      </c>
      <c r="E1443" s="1">
        <v>5.2</v>
      </c>
      <c r="F1443" s="1">
        <v>9.4E-2</v>
      </c>
      <c r="G1443" s="1">
        <v>19</v>
      </c>
      <c r="H1443" s="1">
        <v>98</v>
      </c>
      <c r="I1443" s="1">
        <v>0.99712999999999996</v>
      </c>
      <c r="J1443" s="1">
        <v>3.16</v>
      </c>
      <c r="K1443" s="1">
        <v>0.52</v>
      </c>
      <c r="L1443" s="1">
        <v>9.56666666666667</v>
      </c>
      <c r="M1443" s="2">
        <v>6</v>
      </c>
      <c r="N1443" s="2" t="str" cm="1">
        <f t="array" ref="N1443">_xlfn.IFS(Table1[[#This Row],[quality]]&lt;=4,"Low",Table1[[#This Row],[quality]]&lt;=6,"Medium",Table1[[#This Row],[quality]]&gt;=7,"High")</f>
        <v>Medium</v>
      </c>
      <c r="O1443" s="2" t="str">
        <f>IF(AND(Table1[[#This Row],[fixed acidity]]&gt;Sheet1!$C$4,Table1[[#This Row],[pH]]&lt;Sheet1!$K$4),"High","Normal")</f>
        <v>Normal</v>
      </c>
      <c r="P1443" s="1">
        <f>(Table1[[#This Row],[alcohol]]*2)+(Table1[[#This Row],[sulphates]]*1.5)-(Table1[[#This Row],[volatile acidity]]*2)</f>
        <v>18.343333333333341</v>
      </c>
      <c r="Q1443" s="1">
        <f>RANK(Table1[[#This Row],[Quality_score_index]],Table1[Quality_score_index],0)</f>
        <v>1437</v>
      </c>
      <c r="R1443" s="1">
        <f>Table1[[#This Row],[total sulfur dioxide]]-Table1[[#This Row],[free sulfur dioxide]]</f>
        <v>79</v>
      </c>
      <c r="S1443" s="1" t="str">
        <f>IF(AND(Table1[[#This Row],[pH]]&gt;=3.2,Table1[[#This Row],[alcohol]]&gt;=10),"White wine","Red wine")</f>
        <v>Red wine</v>
      </c>
    </row>
    <row r="1444" spans="1:19" x14ac:dyDescent="0.3">
      <c r="A1444" s="13">
        <v>1443</v>
      </c>
      <c r="B1444" s="1">
        <v>6.9</v>
      </c>
      <c r="C1444" s="1">
        <v>0.63</v>
      </c>
      <c r="D1444" s="1">
        <v>0.02</v>
      </c>
      <c r="E1444" s="1">
        <v>1.9</v>
      </c>
      <c r="F1444" s="1">
        <v>7.8E-2</v>
      </c>
      <c r="G1444" s="1">
        <v>18</v>
      </c>
      <c r="H1444" s="1">
        <v>30</v>
      </c>
      <c r="I1444" s="1">
        <v>0.99712000000000001</v>
      </c>
      <c r="J1444" s="1">
        <v>3.4</v>
      </c>
      <c r="K1444" s="1">
        <v>0.75</v>
      </c>
      <c r="L1444" s="1">
        <v>9.8000000000000007</v>
      </c>
      <c r="M1444" s="2">
        <v>5</v>
      </c>
      <c r="N1444" s="2" t="str" cm="1">
        <f t="array" ref="N1444">_xlfn.IFS(Table1[[#This Row],[quality]]&lt;=4,"Low",Table1[[#This Row],[quality]]&lt;=6,"Medium",Table1[[#This Row],[quality]]&gt;=7,"High")</f>
        <v>Medium</v>
      </c>
      <c r="O1444" s="2" t="str">
        <f>IF(AND(Table1[[#This Row],[fixed acidity]]&gt;Sheet1!$C$4,Table1[[#This Row],[pH]]&lt;Sheet1!$K$4),"High","Normal")</f>
        <v>Normal</v>
      </c>
      <c r="P1444" s="1">
        <f>(Table1[[#This Row],[alcohol]]*2)+(Table1[[#This Row],[sulphates]]*1.5)-(Table1[[#This Row],[volatile acidity]]*2)</f>
        <v>19.465</v>
      </c>
      <c r="Q1444" s="1">
        <f>RANK(Table1[[#This Row],[Quality_score_index]],Table1[Quality_score_index],0)</f>
        <v>989</v>
      </c>
      <c r="R1444" s="1">
        <f>Table1[[#This Row],[total sulfur dioxide]]-Table1[[#This Row],[free sulfur dioxide]]</f>
        <v>12</v>
      </c>
      <c r="S1444" s="1" t="str">
        <f>IF(AND(Table1[[#This Row],[pH]]&gt;=3.2,Table1[[#This Row],[alcohol]]&gt;=10),"White wine","Red wine")</f>
        <v>Red wine</v>
      </c>
    </row>
    <row r="1445" spans="1:19" x14ac:dyDescent="0.3">
      <c r="A1445" s="13">
        <v>1444</v>
      </c>
      <c r="B1445" s="1">
        <v>6.9</v>
      </c>
      <c r="C1445" s="1">
        <v>0.57999999999999996</v>
      </c>
      <c r="D1445" s="1">
        <v>0.2</v>
      </c>
      <c r="E1445" s="1">
        <v>1.75</v>
      </c>
      <c r="F1445" s="1">
        <v>5.8000000000000003E-2</v>
      </c>
      <c r="G1445" s="1">
        <v>8</v>
      </c>
      <c r="H1445" s="1">
        <v>22</v>
      </c>
      <c r="I1445" s="1">
        <v>0.99321999999999999</v>
      </c>
      <c r="J1445" s="1">
        <v>3.38</v>
      </c>
      <c r="K1445" s="1">
        <v>0.49</v>
      </c>
      <c r="L1445" s="1">
        <v>11.7</v>
      </c>
      <c r="M1445" s="2">
        <v>5</v>
      </c>
      <c r="N1445" s="2" t="str" cm="1">
        <f t="array" ref="N1445">_xlfn.IFS(Table1[[#This Row],[quality]]&lt;=4,"Low",Table1[[#This Row],[quality]]&lt;=6,"Medium",Table1[[#This Row],[quality]]&gt;=7,"High")</f>
        <v>Medium</v>
      </c>
      <c r="O1445" s="2" t="str">
        <f>IF(AND(Table1[[#This Row],[fixed acidity]]&gt;Sheet1!$C$4,Table1[[#This Row],[pH]]&lt;Sheet1!$K$4),"High","Normal")</f>
        <v>Normal</v>
      </c>
      <c r="P1445" s="1">
        <f>(Table1[[#This Row],[alcohol]]*2)+(Table1[[#This Row],[sulphates]]*1.5)-(Table1[[#This Row],[volatile acidity]]*2)</f>
        <v>22.974999999999998</v>
      </c>
      <c r="Q1445" s="1">
        <f>RANK(Table1[[#This Row],[Quality_score_index]],Table1[Quality_score_index],0)</f>
        <v>276</v>
      </c>
      <c r="R1445" s="1">
        <f>Table1[[#This Row],[total sulfur dioxide]]-Table1[[#This Row],[free sulfur dioxide]]</f>
        <v>14</v>
      </c>
      <c r="S1445" s="1" t="str">
        <f>IF(AND(Table1[[#This Row],[pH]]&gt;=3.2,Table1[[#This Row],[alcohol]]&gt;=10),"White wine","Red wine")</f>
        <v>White wine</v>
      </c>
    </row>
    <row r="1446" spans="1:19" x14ac:dyDescent="0.3">
      <c r="A1446" s="13">
        <v>1445</v>
      </c>
      <c r="B1446" s="1">
        <v>7.3</v>
      </c>
      <c r="C1446" s="1">
        <v>0.67</v>
      </c>
      <c r="D1446" s="1">
        <v>0.02</v>
      </c>
      <c r="E1446" s="1">
        <v>2.2000000000000002</v>
      </c>
      <c r="F1446" s="1">
        <v>7.1999999999999995E-2</v>
      </c>
      <c r="G1446" s="1">
        <v>31</v>
      </c>
      <c r="H1446" s="1">
        <v>92</v>
      </c>
      <c r="I1446" s="1">
        <v>0.99565999999999999</v>
      </c>
      <c r="J1446" s="1">
        <v>3.32</v>
      </c>
      <c r="K1446" s="1">
        <v>0.68</v>
      </c>
      <c r="L1446" s="1">
        <v>11.1</v>
      </c>
      <c r="M1446" s="2">
        <v>6</v>
      </c>
      <c r="N1446" s="2" t="str" cm="1">
        <f t="array" ref="N1446">_xlfn.IFS(Table1[[#This Row],[quality]]&lt;=4,"Low",Table1[[#This Row],[quality]]&lt;=6,"Medium",Table1[[#This Row],[quality]]&gt;=7,"High")</f>
        <v>Medium</v>
      </c>
      <c r="O1446" s="2" t="str">
        <f>IF(AND(Table1[[#This Row],[fixed acidity]]&gt;Sheet1!$C$4,Table1[[#This Row],[pH]]&lt;Sheet1!$K$4),"High","Normal")</f>
        <v>Normal</v>
      </c>
      <c r="P1446" s="1">
        <f>(Table1[[#This Row],[alcohol]]*2)+(Table1[[#This Row],[sulphates]]*1.5)-(Table1[[#This Row],[volatile acidity]]*2)</f>
        <v>21.88</v>
      </c>
      <c r="Q1446" s="1">
        <f>RANK(Table1[[#This Row],[Quality_score_index]],Table1[Quality_score_index],0)</f>
        <v>471</v>
      </c>
      <c r="R1446" s="1">
        <f>Table1[[#This Row],[total sulfur dioxide]]-Table1[[#This Row],[free sulfur dioxide]]</f>
        <v>61</v>
      </c>
      <c r="S1446" s="1" t="str">
        <f>IF(AND(Table1[[#This Row],[pH]]&gt;=3.2,Table1[[#This Row],[alcohol]]&gt;=10),"White wine","Red wine")</f>
        <v>White wine</v>
      </c>
    </row>
    <row r="1447" spans="1:19" x14ac:dyDescent="0.3">
      <c r="A1447" s="13">
        <v>1446</v>
      </c>
      <c r="B1447" s="1">
        <v>7.4</v>
      </c>
      <c r="C1447" s="1">
        <v>0.78500000000000003</v>
      </c>
      <c r="D1447" s="1">
        <v>0.19</v>
      </c>
      <c r="E1447" s="1">
        <v>5.2</v>
      </c>
      <c r="F1447" s="1">
        <v>9.4E-2</v>
      </c>
      <c r="G1447" s="1">
        <v>19</v>
      </c>
      <c r="H1447" s="1">
        <v>98</v>
      </c>
      <c r="I1447" s="1">
        <v>0.99712999999999996</v>
      </c>
      <c r="J1447" s="1">
        <v>3.16</v>
      </c>
      <c r="K1447" s="1">
        <v>0.52</v>
      </c>
      <c r="L1447" s="1">
        <v>9.6</v>
      </c>
      <c r="M1447" s="2">
        <v>6</v>
      </c>
      <c r="N1447" s="2" t="str" cm="1">
        <f t="array" ref="N1447">_xlfn.IFS(Table1[[#This Row],[quality]]&lt;=4,"Low",Table1[[#This Row],[quality]]&lt;=6,"Medium",Table1[[#This Row],[quality]]&gt;=7,"High")</f>
        <v>Medium</v>
      </c>
      <c r="O1447" s="2" t="str">
        <f>IF(AND(Table1[[#This Row],[fixed acidity]]&gt;Sheet1!$C$4,Table1[[#This Row],[pH]]&lt;Sheet1!$K$4),"High","Normal")</f>
        <v>Normal</v>
      </c>
      <c r="P1447" s="1">
        <f>(Table1[[#This Row],[alcohol]]*2)+(Table1[[#This Row],[sulphates]]*1.5)-(Table1[[#This Row],[volatile acidity]]*2)</f>
        <v>18.41</v>
      </c>
      <c r="Q1447" s="1">
        <f>RANK(Table1[[#This Row],[Quality_score_index]],Table1[Quality_score_index],0)</f>
        <v>1413</v>
      </c>
      <c r="R1447" s="1">
        <f>Table1[[#This Row],[total sulfur dioxide]]-Table1[[#This Row],[free sulfur dioxide]]</f>
        <v>79</v>
      </c>
      <c r="S1447" s="1" t="str">
        <f>IF(AND(Table1[[#This Row],[pH]]&gt;=3.2,Table1[[#This Row],[alcohol]]&gt;=10),"White wine","Red wine")</f>
        <v>Red wine</v>
      </c>
    </row>
    <row r="1448" spans="1:19" x14ac:dyDescent="0.3">
      <c r="A1448" s="13">
        <v>1447</v>
      </c>
      <c r="B1448" s="1">
        <v>6.9</v>
      </c>
      <c r="C1448" s="1">
        <v>0.63</v>
      </c>
      <c r="D1448" s="1">
        <v>0.02</v>
      </c>
      <c r="E1448" s="1">
        <v>1.9</v>
      </c>
      <c r="F1448" s="1">
        <v>7.8E-2</v>
      </c>
      <c r="G1448" s="1">
        <v>18</v>
      </c>
      <c r="H1448" s="1">
        <v>30</v>
      </c>
      <c r="I1448" s="1">
        <v>0.99712000000000001</v>
      </c>
      <c r="J1448" s="1">
        <v>3.4</v>
      </c>
      <c r="K1448" s="1">
        <v>0.75</v>
      </c>
      <c r="L1448" s="1">
        <v>9.8000000000000007</v>
      </c>
      <c r="M1448" s="2">
        <v>5</v>
      </c>
      <c r="N1448" s="2" t="str" cm="1">
        <f t="array" ref="N1448">_xlfn.IFS(Table1[[#This Row],[quality]]&lt;=4,"Low",Table1[[#This Row],[quality]]&lt;=6,"Medium",Table1[[#This Row],[quality]]&gt;=7,"High")</f>
        <v>Medium</v>
      </c>
      <c r="O1448" s="2" t="str">
        <f>IF(AND(Table1[[#This Row],[fixed acidity]]&gt;Sheet1!$C$4,Table1[[#This Row],[pH]]&lt;Sheet1!$K$4),"High","Normal")</f>
        <v>Normal</v>
      </c>
      <c r="P1448" s="1">
        <f>(Table1[[#This Row],[alcohol]]*2)+(Table1[[#This Row],[sulphates]]*1.5)-(Table1[[#This Row],[volatile acidity]]*2)</f>
        <v>19.465</v>
      </c>
      <c r="Q1448" s="1">
        <f>RANK(Table1[[#This Row],[Quality_score_index]],Table1[Quality_score_index],0)</f>
        <v>989</v>
      </c>
      <c r="R1448" s="1">
        <f>Table1[[#This Row],[total sulfur dioxide]]-Table1[[#This Row],[free sulfur dioxide]]</f>
        <v>12</v>
      </c>
      <c r="S1448" s="1" t="str">
        <f>IF(AND(Table1[[#This Row],[pH]]&gt;=3.2,Table1[[#This Row],[alcohol]]&gt;=10),"White wine","Red wine")</f>
        <v>Red wine</v>
      </c>
    </row>
    <row r="1449" spans="1:19" x14ac:dyDescent="0.3">
      <c r="A1449" s="13">
        <v>1448</v>
      </c>
      <c r="B1449" s="1">
        <v>6.8</v>
      </c>
      <c r="C1449" s="1">
        <v>0.67</v>
      </c>
      <c r="D1449" s="1">
        <v>0</v>
      </c>
      <c r="E1449" s="1">
        <v>1.9</v>
      </c>
      <c r="F1449" s="1">
        <v>0.08</v>
      </c>
      <c r="G1449" s="1">
        <v>22</v>
      </c>
      <c r="H1449" s="1">
        <v>39</v>
      </c>
      <c r="I1449" s="1">
        <v>0.99700999999999995</v>
      </c>
      <c r="J1449" s="1">
        <v>3.4</v>
      </c>
      <c r="K1449" s="1">
        <v>0.74</v>
      </c>
      <c r="L1449" s="1">
        <v>9.6999999999999993</v>
      </c>
      <c r="M1449" s="2">
        <v>5</v>
      </c>
      <c r="N1449" s="2" t="str" cm="1">
        <f t="array" ref="N1449">_xlfn.IFS(Table1[[#This Row],[quality]]&lt;=4,"Low",Table1[[#This Row],[quality]]&lt;=6,"Medium",Table1[[#This Row],[quality]]&gt;=7,"High")</f>
        <v>Medium</v>
      </c>
      <c r="O1449" s="2" t="str">
        <f>IF(AND(Table1[[#This Row],[fixed acidity]]&gt;Sheet1!$C$4,Table1[[#This Row],[pH]]&lt;Sheet1!$K$4),"High","Normal")</f>
        <v>Normal</v>
      </c>
      <c r="P1449" s="1">
        <f>(Table1[[#This Row],[alcohol]]*2)+(Table1[[#This Row],[sulphates]]*1.5)-(Table1[[#This Row],[volatile acidity]]*2)</f>
        <v>19.169999999999998</v>
      </c>
      <c r="Q1449" s="1">
        <f>RANK(Table1[[#This Row],[Quality_score_index]],Table1[Quality_score_index],0)</f>
        <v>1102</v>
      </c>
      <c r="R1449" s="1">
        <f>Table1[[#This Row],[total sulfur dioxide]]-Table1[[#This Row],[free sulfur dioxide]]</f>
        <v>17</v>
      </c>
      <c r="S1449" s="1" t="str">
        <f>IF(AND(Table1[[#This Row],[pH]]&gt;=3.2,Table1[[#This Row],[alcohol]]&gt;=10),"White wine","Red wine")</f>
        <v>Red wine</v>
      </c>
    </row>
    <row r="1450" spans="1:19" x14ac:dyDescent="0.3">
      <c r="A1450" s="13">
        <v>1449</v>
      </c>
      <c r="B1450" s="1">
        <v>6.9</v>
      </c>
      <c r="C1450" s="1">
        <v>0.57999999999999996</v>
      </c>
      <c r="D1450" s="1">
        <v>0.01</v>
      </c>
      <c r="E1450" s="1">
        <v>1.9</v>
      </c>
      <c r="F1450" s="1">
        <v>0.08</v>
      </c>
      <c r="G1450" s="1">
        <v>40</v>
      </c>
      <c r="H1450" s="1">
        <v>54</v>
      </c>
      <c r="I1450" s="1">
        <v>0.99682999999999999</v>
      </c>
      <c r="J1450" s="1">
        <v>3.4</v>
      </c>
      <c r="K1450" s="1">
        <v>0.73</v>
      </c>
      <c r="L1450" s="1">
        <v>9.6999999999999993</v>
      </c>
      <c r="M1450" s="2">
        <v>5</v>
      </c>
      <c r="N1450" s="2" t="str" cm="1">
        <f t="array" ref="N1450">_xlfn.IFS(Table1[[#This Row],[quality]]&lt;=4,"Low",Table1[[#This Row],[quality]]&lt;=6,"Medium",Table1[[#This Row],[quality]]&gt;=7,"High")</f>
        <v>Medium</v>
      </c>
      <c r="O1450" s="2" t="str">
        <f>IF(AND(Table1[[#This Row],[fixed acidity]]&gt;Sheet1!$C$4,Table1[[#This Row],[pH]]&lt;Sheet1!$K$4),"High","Normal")</f>
        <v>Normal</v>
      </c>
      <c r="P1450" s="1">
        <f>(Table1[[#This Row],[alcohol]]*2)+(Table1[[#This Row],[sulphates]]*1.5)-(Table1[[#This Row],[volatile acidity]]*2)</f>
        <v>19.334999999999997</v>
      </c>
      <c r="Q1450" s="1">
        <f>RANK(Table1[[#This Row],[Quality_score_index]],Table1[Quality_score_index],0)</f>
        <v>1031</v>
      </c>
      <c r="R1450" s="1">
        <f>Table1[[#This Row],[total sulfur dioxide]]-Table1[[#This Row],[free sulfur dioxide]]</f>
        <v>14</v>
      </c>
      <c r="S1450" s="1" t="str">
        <f>IF(AND(Table1[[#This Row],[pH]]&gt;=3.2,Table1[[#This Row],[alcohol]]&gt;=10),"White wine","Red wine")</f>
        <v>Red wine</v>
      </c>
    </row>
    <row r="1451" spans="1:19" x14ac:dyDescent="0.3">
      <c r="A1451" s="13">
        <v>1450</v>
      </c>
      <c r="B1451" s="1">
        <v>7.2</v>
      </c>
      <c r="C1451" s="1">
        <v>0.38</v>
      </c>
      <c r="D1451" s="1">
        <v>0.31</v>
      </c>
      <c r="E1451" s="1">
        <v>2</v>
      </c>
      <c r="F1451" s="1">
        <v>5.6000000000000001E-2</v>
      </c>
      <c r="G1451" s="1">
        <v>15</v>
      </c>
      <c r="H1451" s="1">
        <v>29</v>
      </c>
      <c r="I1451" s="1">
        <v>0.99472000000000005</v>
      </c>
      <c r="J1451" s="1">
        <v>3.23</v>
      </c>
      <c r="K1451" s="1">
        <v>0.76</v>
      </c>
      <c r="L1451" s="1">
        <v>11.3</v>
      </c>
      <c r="M1451" s="2">
        <v>8</v>
      </c>
      <c r="N1451" s="2" t="str" cm="1">
        <f t="array" ref="N1451">_xlfn.IFS(Table1[[#This Row],[quality]]&lt;=4,"Low",Table1[[#This Row],[quality]]&lt;=6,"Medium",Table1[[#This Row],[quality]]&gt;=7,"High")</f>
        <v>High</v>
      </c>
      <c r="O1451" s="2" t="str">
        <f>IF(AND(Table1[[#This Row],[fixed acidity]]&gt;Sheet1!$C$4,Table1[[#This Row],[pH]]&lt;Sheet1!$K$4),"High","Normal")</f>
        <v>Normal</v>
      </c>
      <c r="P1451" s="1">
        <f>(Table1[[#This Row],[alcohol]]*2)+(Table1[[#This Row],[sulphates]]*1.5)-(Table1[[#This Row],[volatile acidity]]*2)</f>
        <v>22.98</v>
      </c>
      <c r="Q1451" s="1">
        <f>RANK(Table1[[#This Row],[Quality_score_index]],Table1[Quality_score_index],0)</f>
        <v>274</v>
      </c>
      <c r="R1451" s="1">
        <f>Table1[[#This Row],[total sulfur dioxide]]-Table1[[#This Row],[free sulfur dioxide]]</f>
        <v>14</v>
      </c>
      <c r="S1451" s="1" t="str">
        <f>IF(AND(Table1[[#This Row],[pH]]&gt;=3.2,Table1[[#This Row],[alcohol]]&gt;=10),"White wine","Red wine")</f>
        <v>White wine</v>
      </c>
    </row>
    <row r="1452" spans="1:19" x14ac:dyDescent="0.3">
      <c r="A1452" s="13">
        <v>1451</v>
      </c>
      <c r="B1452" s="1">
        <v>7.2</v>
      </c>
      <c r="C1452" s="1">
        <v>0.37</v>
      </c>
      <c r="D1452" s="1">
        <v>0.32</v>
      </c>
      <c r="E1452" s="1">
        <v>2</v>
      </c>
      <c r="F1452" s="1">
        <v>6.2E-2</v>
      </c>
      <c r="G1452" s="1">
        <v>15</v>
      </c>
      <c r="H1452" s="1">
        <v>28</v>
      </c>
      <c r="I1452" s="1">
        <v>0.99470000000000003</v>
      </c>
      <c r="J1452" s="1">
        <v>3.23</v>
      </c>
      <c r="K1452" s="1">
        <v>0.73</v>
      </c>
      <c r="L1452" s="1">
        <v>11.3</v>
      </c>
      <c r="M1452" s="2">
        <v>7</v>
      </c>
      <c r="N1452" s="2" t="str" cm="1">
        <f t="array" ref="N1452">_xlfn.IFS(Table1[[#This Row],[quality]]&lt;=4,"Low",Table1[[#This Row],[quality]]&lt;=6,"Medium",Table1[[#This Row],[quality]]&gt;=7,"High")</f>
        <v>High</v>
      </c>
      <c r="O1452" s="2" t="str">
        <f>IF(AND(Table1[[#This Row],[fixed acidity]]&gt;Sheet1!$C$4,Table1[[#This Row],[pH]]&lt;Sheet1!$K$4),"High","Normal")</f>
        <v>Normal</v>
      </c>
      <c r="P1452" s="1">
        <f>(Table1[[#This Row],[alcohol]]*2)+(Table1[[#This Row],[sulphates]]*1.5)-(Table1[[#This Row],[volatile acidity]]*2)</f>
        <v>22.955000000000002</v>
      </c>
      <c r="Q1452" s="1">
        <f>RANK(Table1[[#This Row],[Quality_score_index]],Table1[Quality_score_index],0)</f>
        <v>279</v>
      </c>
      <c r="R1452" s="1">
        <f>Table1[[#This Row],[total sulfur dioxide]]-Table1[[#This Row],[free sulfur dioxide]]</f>
        <v>13</v>
      </c>
      <c r="S1452" s="1" t="str">
        <f>IF(AND(Table1[[#This Row],[pH]]&gt;=3.2,Table1[[#This Row],[alcohol]]&gt;=10),"White wine","Red wine")</f>
        <v>White wine</v>
      </c>
    </row>
    <row r="1453" spans="1:19" x14ac:dyDescent="0.3">
      <c r="A1453" s="13">
        <v>1452</v>
      </c>
      <c r="B1453" s="1">
        <v>7.8</v>
      </c>
      <c r="C1453" s="1">
        <v>0.32</v>
      </c>
      <c r="D1453" s="1">
        <v>0.44</v>
      </c>
      <c r="E1453" s="1">
        <v>2.7</v>
      </c>
      <c r="F1453" s="1">
        <v>0.104</v>
      </c>
      <c r="G1453" s="1">
        <v>8</v>
      </c>
      <c r="H1453" s="1">
        <v>17</v>
      </c>
      <c r="I1453" s="1">
        <v>0.99731999999999998</v>
      </c>
      <c r="J1453" s="1">
        <v>3.33</v>
      </c>
      <c r="K1453" s="1">
        <v>0.78</v>
      </c>
      <c r="L1453" s="1">
        <v>11</v>
      </c>
      <c r="M1453" s="2">
        <v>7</v>
      </c>
      <c r="N1453" s="2" t="str" cm="1">
        <f t="array" ref="N1453">_xlfn.IFS(Table1[[#This Row],[quality]]&lt;=4,"Low",Table1[[#This Row],[quality]]&lt;=6,"Medium",Table1[[#This Row],[quality]]&gt;=7,"High")</f>
        <v>High</v>
      </c>
      <c r="O1453" s="2" t="str">
        <f>IF(AND(Table1[[#This Row],[fixed acidity]]&gt;Sheet1!$C$4,Table1[[#This Row],[pH]]&lt;Sheet1!$K$4),"High","Normal")</f>
        <v>Normal</v>
      </c>
      <c r="P1453" s="1">
        <f>(Table1[[#This Row],[alcohol]]*2)+(Table1[[#This Row],[sulphates]]*1.5)-(Table1[[#This Row],[volatile acidity]]*2)</f>
        <v>22.53</v>
      </c>
      <c r="Q1453" s="1">
        <f>RANK(Table1[[#This Row],[Quality_score_index]],Table1[Quality_score_index],0)</f>
        <v>358</v>
      </c>
      <c r="R1453" s="1">
        <f>Table1[[#This Row],[total sulfur dioxide]]-Table1[[#This Row],[free sulfur dioxide]]</f>
        <v>9</v>
      </c>
      <c r="S1453" s="1" t="str">
        <f>IF(AND(Table1[[#This Row],[pH]]&gt;=3.2,Table1[[#This Row],[alcohol]]&gt;=10),"White wine","Red wine")</f>
        <v>White wine</v>
      </c>
    </row>
    <row r="1454" spans="1:19" x14ac:dyDescent="0.3">
      <c r="A1454" s="13">
        <v>1453</v>
      </c>
      <c r="B1454" s="1">
        <v>6.6</v>
      </c>
      <c r="C1454" s="1">
        <v>0.57999999999999996</v>
      </c>
      <c r="D1454" s="1">
        <v>0.02</v>
      </c>
      <c r="E1454" s="1">
        <v>2</v>
      </c>
      <c r="F1454" s="1">
        <v>6.2E-2</v>
      </c>
      <c r="G1454" s="1">
        <v>37</v>
      </c>
      <c r="H1454" s="1">
        <v>53</v>
      </c>
      <c r="I1454" s="1">
        <v>0.99373999999999996</v>
      </c>
      <c r="J1454" s="1">
        <v>3.35</v>
      </c>
      <c r="K1454" s="1">
        <v>0.76</v>
      </c>
      <c r="L1454" s="1">
        <v>11.6</v>
      </c>
      <c r="M1454" s="2">
        <v>7</v>
      </c>
      <c r="N1454" s="2" t="str" cm="1">
        <f t="array" ref="N1454">_xlfn.IFS(Table1[[#This Row],[quality]]&lt;=4,"Low",Table1[[#This Row],[quality]]&lt;=6,"Medium",Table1[[#This Row],[quality]]&gt;=7,"High")</f>
        <v>High</v>
      </c>
      <c r="O1454" s="2" t="str">
        <f>IF(AND(Table1[[#This Row],[fixed acidity]]&gt;Sheet1!$C$4,Table1[[#This Row],[pH]]&lt;Sheet1!$K$4),"High","Normal")</f>
        <v>Normal</v>
      </c>
      <c r="P1454" s="1">
        <f>(Table1[[#This Row],[alcohol]]*2)+(Table1[[#This Row],[sulphates]]*1.5)-(Table1[[#This Row],[volatile acidity]]*2)</f>
        <v>23.18</v>
      </c>
      <c r="Q1454" s="1">
        <f>RANK(Table1[[#This Row],[Quality_score_index]],Table1[Quality_score_index],0)</f>
        <v>248</v>
      </c>
      <c r="R1454" s="1">
        <f>Table1[[#This Row],[total sulfur dioxide]]-Table1[[#This Row],[free sulfur dioxide]]</f>
        <v>16</v>
      </c>
      <c r="S1454" s="1" t="str">
        <f>IF(AND(Table1[[#This Row],[pH]]&gt;=3.2,Table1[[#This Row],[alcohol]]&gt;=10),"White wine","Red wine")</f>
        <v>White wine</v>
      </c>
    </row>
    <row r="1455" spans="1:19" x14ac:dyDescent="0.3">
      <c r="A1455" s="13">
        <v>1454</v>
      </c>
      <c r="B1455" s="1">
        <v>7.6</v>
      </c>
      <c r="C1455" s="1">
        <v>0.49</v>
      </c>
      <c r="D1455" s="1">
        <v>0.33</v>
      </c>
      <c r="E1455" s="1">
        <v>1.9</v>
      </c>
      <c r="F1455" s="1">
        <v>7.3999999999999996E-2</v>
      </c>
      <c r="G1455" s="1">
        <v>27</v>
      </c>
      <c r="H1455" s="1">
        <v>85</v>
      </c>
      <c r="I1455" s="1">
        <v>0.99705999999999995</v>
      </c>
      <c r="J1455" s="1">
        <v>3.41</v>
      </c>
      <c r="K1455" s="1">
        <v>0.57999999999999996</v>
      </c>
      <c r="L1455" s="1">
        <v>9</v>
      </c>
      <c r="M1455" s="2">
        <v>5</v>
      </c>
      <c r="N1455" s="2" t="str" cm="1">
        <f t="array" ref="N1455">_xlfn.IFS(Table1[[#This Row],[quality]]&lt;=4,"Low",Table1[[#This Row],[quality]]&lt;=6,"Medium",Table1[[#This Row],[quality]]&gt;=7,"High")</f>
        <v>Medium</v>
      </c>
      <c r="O1455" s="2" t="str">
        <f>IF(AND(Table1[[#This Row],[fixed acidity]]&gt;Sheet1!$C$4,Table1[[#This Row],[pH]]&lt;Sheet1!$K$4),"High","Normal")</f>
        <v>Normal</v>
      </c>
      <c r="P1455" s="1">
        <f>(Table1[[#This Row],[alcohol]]*2)+(Table1[[#This Row],[sulphates]]*1.5)-(Table1[[#This Row],[volatile acidity]]*2)</f>
        <v>17.89</v>
      </c>
      <c r="Q1455" s="1">
        <f>RANK(Table1[[#This Row],[Quality_score_index]],Table1[Quality_score_index],0)</f>
        <v>1537</v>
      </c>
      <c r="R1455" s="1">
        <f>Table1[[#This Row],[total sulfur dioxide]]-Table1[[#This Row],[free sulfur dioxide]]</f>
        <v>58</v>
      </c>
      <c r="S1455" s="1" t="str">
        <f>IF(AND(Table1[[#This Row],[pH]]&gt;=3.2,Table1[[#This Row],[alcohol]]&gt;=10),"White wine","Red wine")</f>
        <v>Red wine</v>
      </c>
    </row>
    <row r="1456" spans="1:19" x14ac:dyDescent="0.3">
      <c r="A1456" s="13">
        <v>1455</v>
      </c>
      <c r="B1456" s="1">
        <v>11.7</v>
      </c>
      <c r="C1456" s="1">
        <v>0.45</v>
      </c>
      <c r="D1456" s="1">
        <v>0.63</v>
      </c>
      <c r="E1456" s="1">
        <v>2.2000000000000002</v>
      </c>
      <c r="F1456" s="1">
        <v>7.2999999999999995E-2</v>
      </c>
      <c r="G1456" s="1">
        <v>7</v>
      </c>
      <c r="H1456" s="1">
        <v>23</v>
      </c>
      <c r="I1456" s="1">
        <v>0.99973999999999996</v>
      </c>
      <c r="J1456" s="1">
        <v>3.21</v>
      </c>
      <c r="K1456" s="1">
        <v>0.69</v>
      </c>
      <c r="L1456" s="1">
        <v>10.9</v>
      </c>
      <c r="M1456" s="2">
        <v>6</v>
      </c>
      <c r="N1456" s="2" t="str" cm="1">
        <f t="array" ref="N1456">_xlfn.IFS(Table1[[#This Row],[quality]]&lt;=4,"Low",Table1[[#This Row],[quality]]&lt;=6,"Medium",Table1[[#This Row],[quality]]&gt;=7,"High")</f>
        <v>Medium</v>
      </c>
      <c r="O1456" s="2" t="str">
        <f>IF(AND(Table1[[#This Row],[fixed acidity]]&gt;Sheet1!$C$4,Table1[[#This Row],[pH]]&lt;Sheet1!$K$4),"High","Normal")</f>
        <v>High</v>
      </c>
      <c r="P1456" s="1">
        <f>(Table1[[#This Row],[alcohol]]*2)+(Table1[[#This Row],[sulphates]]*1.5)-(Table1[[#This Row],[volatile acidity]]*2)</f>
        <v>21.935000000000002</v>
      </c>
      <c r="Q1456" s="1">
        <f>RANK(Table1[[#This Row],[Quality_score_index]],Table1[Quality_score_index],0)</f>
        <v>466</v>
      </c>
      <c r="R1456" s="1">
        <f>Table1[[#This Row],[total sulfur dioxide]]-Table1[[#This Row],[free sulfur dioxide]]</f>
        <v>16</v>
      </c>
      <c r="S1456" s="1" t="str">
        <f>IF(AND(Table1[[#This Row],[pH]]&gt;=3.2,Table1[[#This Row],[alcohol]]&gt;=10),"White wine","Red wine")</f>
        <v>White wine</v>
      </c>
    </row>
    <row r="1457" spans="1:19" x14ac:dyDescent="0.3">
      <c r="A1457" s="13">
        <v>1456</v>
      </c>
      <c r="B1457" s="1">
        <v>6.5</v>
      </c>
      <c r="C1457" s="1">
        <v>0.9</v>
      </c>
      <c r="D1457" s="1">
        <v>0</v>
      </c>
      <c r="E1457" s="1">
        <v>1.6</v>
      </c>
      <c r="F1457" s="1">
        <v>5.1999999999999998E-2</v>
      </c>
      <c r="G1457" s="1">
        <v>9</v>
      </c>
      <c r="H1457" s="1">
        <v>17</v>
      </c>
      <c r="I1457" s="1">
        <v>0.99467000000000005</v>
      </c>
      <c r="J1457" s="1">
        <v>3.5</v>
      </c>
      <c r="K1457" s="1">
        <v>0.63</v>
      </c>
      <c r="L1457" s="1">
        <v>10.9</v>
      </c>
      <c r="M1457" s="2">
        <v>6</v>
      </c>
      <c r="N1457" s="2" t="str" cm="1">
        <f t="array" ref="N1457">_xlfn.IFS(Table1[[#This Row],[quality]]&lt;=4,"Low",Table1[[#This Row],[quality]]&lt;=6,"Medium",Table1[[#This Row],[quality]]&gt;=7,"High")</f>
        <v>Medium</v>
      </c>
      <c r="O1457" s="2" t="str">
        <f>IF(AND(Table1[[#This Row],[fixed acidity]]&gt;Sheet1!$C$4,Table1[[#This Row],[pH]]&lt;Sheet1!$K$4),"High","Normal")</f>
        <v>Normal</v>
      </c>
      <c r="P1457" s="1">
        <f>(Table1[[#This Row],[alcohol]]*2)+(Table1[[#This Row],[sulphates]]*1.5)-(Table1[[#This Row],[volatile acidity]]*2)</f>
        <v>20.945</v>
      </c>
      <c r="Q1457" s="1">
        <f>RANK(Table1[[#This Row],[Quality_score_index]],Table1[Quality_score_index],0)</f>
        <v>663</v>
      </c>
      <c r="R1457" s="1">
        <f>Table1[[#This Row],[total sulfur dioxide]]-Table1[[#This Row],[free sulfur dioxide]]</f>
        <v>8</v>
      </c>
      <c r="S1457" s="1" t="str">
        <f>IF(AND(Table1[[#This Row],[pH]]&gt;=3.2,Table1[[#This Row],[alcohol]]&gt;=10),"White wine","Red wine")</f>
        <v>White wine</v>
      </c>
    </row>
    <row r="1458" spans="1:19" x14ac:dyDescent="0.3">
      <c r="A1458" s="13">
        <v>1457</v>
      </c>
      <c r="B1458" s="1">
        <v>6</v>
      </c>
      <c r="C1458" s="1">
        <v>0.54</v>
      </c>
      <c r="D1458" s="1">
        <v>0.06</v>
      </c>
      <c r="E1458" s="1">
        <v>1.8</v>
      </c>
      <c r="F1458" s="1">
        <v>0.05</v>
      </c>
      <c r="G1458" s="1">
        <v>38</v>
      </c>
      <c r="H1458" s="1">
        <v>89</v>
      </c>
      <c r="I1458" s="1">
        <v>0.99236000000000002</v>
      </c>
      <c r="J1458" s="1">
        <v>3.3</v>
      </c>
      <c r="K1458" s="1">
        <v>0.5</v>
      </c>
      <c r="L1458" s="1">
        <v>10.55</v>
      </c>
      <c r="M1458" s="2">
        <v>6</v>
      </c>
      <c r="N1458" s="2" t="str" cm="1">
        <f t="array" ref="N1458">_xlfn.IFS(Table1[[#This Row],[quality]]&lt;=4,"Low",Table1[[#This Row],[quality]]&lt;=6,"Medium",Table1[[#This Row],[quality]]&gt;=7,"High")</f>
        <v>Medium</v>
      </c>
      <c r="O1458" s="2" t="str">
        <f>IF(AND(Table1[[#This Row],[fixed acidity]]&gt;Sheet1!$C$4,Table1[[#This Row],[pH]]&lt;Sheet1!$K$4),"High","Normal")</f>
        <v>Normal</v>
      </c>
      <c r="P1458" s="1">
        <f>(Table1[[#This Row],[alcohol]]*2)+(Table1[[#This Row],[sulphates]]*1.5)-(Table1[[#This Row],[volatile acidity]]*2)</f>
        <v>20.770000000000003</v>
      </c>
      <c r="Q1458" s="1">
        <f>RANK(Table1[[#This Row],[Quality_score_index]],Table1[Quality_score_index],0)</f>
        <v>711</v>
      </c>
      <c r="R1458" s="1">
        <f>Table1[[#This Row],[total sulfur dioxide]]-Table1[[#This Row],[free sulfur dioxide]]</f>
        <v>51</v>
      </c>
      <c r="S1458" s="1" t="str">
        <f>IF(AND(Table1[[#This Row],[pH]]&gt;=3.2,Table1[[#This Row],[alcohol]]&gt;=10),"White wine","Red wine")</f>
        <v>White wine</v>
      </c>
    </row>
    <row r="1459" spans="1:19" x14ac:dyDescent="0.3">
      <c r="A1459" s="13">
        <v>1458</v>
      </c>
      <c r="B1459" s="1">
        <v>7.6</v>
      </c>
      <c r="C1459" s="1">
        <v>0.49</v>
      </c>
      <c r="D1459" s="1">
        <v>0.33</v>
      </c>
      <c r="E1459" s="1">
        <v>1.9</v>
      </c>
      <c r="F1459" s="1">
        <v>7.3999999999999996E-2</v>
      </c>
      <c r="G1459" s="1">
        <v>27</v>
      </c>
      <c r="H1459" s="1">
        <v>85</v>
      </c>
      <c r="I1459" s="1">
        <v>0.99705999999999995</v>
      </c>
      <c r="J1459" s="1">
        <v>3.41</v>
      </c>
      <c r="K1459" s="1">
        <v>0.57999999999999996</v>
      </c>
      <c r="L1459" s="1">
        <v>9</v>
      </c>
      <c r="M1459" s="2">
        <v>5</v>
      </c>
      <c r="N1459" s="2" t="str" cm="1">
        <f t="array" ref="N1459">_xlfn.IFS(Table1[[#This Row],[quality]]&lt;=4,"Low",Table1[[#This Row],[quality]]&lt;=6,"Medium",Table1[[#This Row],[quality]]&gt;=7,"High")</f>
        <v>Medium</v>
      </c>
      <c r="O1459" s="2" t="str">
        <f>IF(AND(Table1[[#This Row],[fixed acidity]]&gt;Sheet1!$C$4,Table1[[#This Row],[pH]]&lt;Sheet1!$K$4),"High","Normal")</f>
        <v>Normal</v>
      </c>
      <c r="P1459" s="1">
        <f>(Table1[[#This Row],[alcohol]]*2)+(Table1[[#This Row],[sulphates]]*1.5)-(Table1[[#This Row],[volatile acidity]]*2)</f>
        <v>17.89</v>
      </c>
      <c r="Q1459" s="1">
        <f>RANK(Table1[[#This Row],[Quality_score_index]],Table1[Quality_score_index],0)</f>
        <v>1537</v>
      </c>
      <c r="R1459" s="1">
        <f>Table1[[#This Row],[total sulfur dioxide]]-Table1[[#This Row],[free sulfur dioxide]]</f>
        <v>58</v>
      </c>
      <c r="S1459" s="1" t="str">
        <f>IF(AND(Table1[[#This Row],[pH]]&gt;=3.2,Table1[[#This Row],[alcohol]]&gt;=10),"White wine","Red wine")</f>
        <v>Red wine</v>
      </c>
    </row>
    <row r="1460" spans="1:19" x14ac:dyDescent="0.3">
      <c r="A1460" s="13">
        <v>1459</v>
      </c>
      <c r="B1460" s="1">
        <v>8.4</v>
      </c>
      <c r="C1460" s="1">
        <v>0.28999999999999998</v>
      </c>
      <c r="D1460" s="1">
        <v>0.4</v>
      </c>
      <c r="E1460" s="1">
        <v>1.7</v>
      </c>
      <c r="F1460" s="1">
        <v>6.7000000000000004E-2</v>
      </c>
      <c r="G1460" s="1">
        <v>8</v>
      </c>
      <c r="H1460" s="1">
        <v>20</v>
      </c>
      <c r="I1460" s="1">
        <v>0.99602999999999997</v>
      </c>
      <c r="J1460" s="1">
        <v>3.39</v>
      </c>
      <c r="K1460" s="1">
        <v>0.6</v>
      </c>
      <c r="L1460" s="1">
        <v>10.5</v>
      </c>
      <c r="M1460" s="2">
        <v>5</v>
      </c>
      <c r="N1460" s="2" t="str" cm="1">
        <f t="array" ref="N1460">_xlfn.IFS(Table1[[#This Row],[quality]]&lt;=4,"Low",Table1[[#This Row],[quality]]&lt;=6,"Medium",Table1[[#This Row],[quality]]&gt;=7,"High")</f>
        <v>Medium</v>
      </c>
      <c r="O1460" s="2" t="str">
        <f>IF(AND(Table1[[#This Row],[fixed acidity]]&gt;Sheet1!$C$4,Table1[[#This Row],[pH]]&lt;Sheet1!$K$4),"High","Normal")</f>
        <v>Normal</v>
      </c>
      <c r="P1460" s="1">
        <f>(Table1[[#This Row],[alcohol]]*2)+(Table1[[#This Row],[sulphates]]*1.5)-(Table1[[#This Row],[volatile acidity]]*2)</f>
        <v>21.32</v>
      </c>
      <c r="Q1460" s="1">
        <f>RANK(Table1[[#This Row],[Quality_score_index]],Table1[Quality_score_index],0)</f>
        <v>574</v>
      </c>
      <c r="R1460" s="1">
        <f>Table1[[#This Row],[total sulfur dioxide]]-Table1[[#This Row],[free sulfur dioxide]]</f>
        <v>12</v>
      </c>
      <c r="S1460" s="1" t="str">
        <f>IF(AND(Table1[[#This Row],[pH]]&gt;=3.2,Table1[[#This Row],[alcohol]]&gt;=10),"White wine","Red wine")</f>
        <v>White wine</v>
      </c>
    </row>
    <row r="1461" spans="1:19" x14ac:dyDescent="0.3">
      <c r="A1461" s="13">
        <v>1460</v>
      </c>
      <c r="B1461" s="1">
        <v>7.9</v>
      </c>
      <c r="C1461" s="1">
        <v>0.2</v>
      </c>
      <c r="D1461" s="1">
        <v>0.35</v>
      </c>
      <c r="E1461" s="1">
        <v>1.7</v>
      </c>
      <c r="F1461" s="1">
        <v>5.3999999999999999E-2</v>
      </c>
      <c r="G1461" s="1">
        <v>7</v>
      </c>
      <c r="H1461" s="1">
        <v>15</v>
      </c>
      <c r="I1461" s="1">
        <v>0.99458000000000002</v>
      </c>
      <c r="J1461" s="1">
        <v>3.32</v>
      </c>
      <c r="K1461" s="1">
        <v>0.8</v>
      </c>
      <c r="L1461" s="1">
        <v>11.9</v>
      </c>
      <c r="M1461" s="2">
        <v>7</v>
      </c>
      <c r="N1461" s="2" t="str" cm="1">
        <f t="array" ref="N1461">_xlfn.IFS(Table1[[#This Row],[quality]]&lt;=4,"Low",Table1[[#This Row],[quality]]&lt;=6,"Medium",Table1[[#This Row],[quality]]&gt;=7,"High")</f>
        <v>High</v>
      </c>
      <c r="O1461" s="2" t="str">
        <f>IF(AND(Table1[[#This Row],[fixed acidity]]&gt;Sheet1!$C$4,Table1[[#This Row],[pH]]&lt;Sheet1!$K$4),"High","Normal")</f>
        <v>Normal</v>
      </c>
      <c r="P1461" s="1">
        <f>(Table1[[#This Row],[alcohol]]*2)+(Table1[[#This Row],[sulphates]]*1.5)-(Table1[[#This Row],[volatile acidity]]*2)</f>
        <v>24.6</v>
      </c>
      <c r="Q1461" s="1">
        <f>RANK(Table1[[#This Row],[Quality_score_index]],Table1[Quality_score_index],0)</f>
        <v>119</v>
      </c>
      <c r="R1461" s="1">
        <f>Table1[[#This Row],[total sulfur dioxide]]-Table1[[#This Row],[free sulfur dioxide]]</f>
        <v>8</v>
      </c>
      <c r="S1461" s="1" t="str">
        <f>IF(AND(Table1[[#This Row],[pH]]&gt;=3.2,Table1[[#This Row],[alcohol]]&gt;=10),"White wine","Red wine")</f>
        <v>White wine</v>
      </c>
    </row>
    <row r="1462" spans="1:19" x14ac:dyDescent="0.3">
      <c r="A1462" s="13">
        <v>1461</v>
      </c>
      <c r="B1462" s="1">
        <v>6.4</v>
      </c>
      <c r="C1462" s="1">
        <v>0.42</v>
      </c>
      <c r="D1462" s="1">
        <v>0.09</v>
      </c>
      <c r="E1462" s="1">
        <v>2.2999999999999998</v>
      </c>
      <c r="F1462" s="1">
        <v>5.3999999999999999E-2</v>
      </c>
      <c r="G1462" s="1">
        <v>34</v>
      </c>
      <c r="H1462" s="1">
        <v>64</v>
      </c>
      <c r="I1462" s="1">
        <v>0.99724000000000002</v>
      </c>
      <c r="J1462" s="1">
        <v>3.41</v>
      </c>
      <c r="K1462" s="1">
        <v>0.68</v>
      </c>
      <c r="L1462" s="1">
        <v>10.4</v>
      </c>
      <c r="M1462" s="2">
        <v>6</v>
      </c>
      <c r="N1462" s="2" t="str" cm="1">
        <f t="array" ref="N1462">_xlfn.IFS(Table1[[#This Row],[quality]]&lt;=4,"Low",Table1[[#This Row],[quality]]&lt;=6,"Medium",Table1[[#This Row],[quality]]&gt;=7,"High")</f>
        <v>Medium</v>
      </c>
      <c r="O1462" s="2" t="str">
        <f>IF(AND(Table1[[#This Row],[fixed acidity]]&gt;Sheet1!$C$4,Table1[[#This Row],[pH]]&lt;Sheet1!$K$4),"High","Normal")</f>
        <v>Normal</v>
      </c>
      <c r="P1462" s="1">
        <f>(Table1[[#This Row],[alcohol]]*2)+(Table1[[#This Row],[sulphates]]*1.5)-(Table1[[#This Row],[volatile acidity]]*2)</f>
        <v>20.98</v>
      </c>
      <c r="Q1462" s="1">
        <f>RANK(Table1[[#This Row],[Quality_score_index]],Table1[Quality_score_index],0)</f>
        <v>656</v>
      </c>
      <c r="R1462" s="1">
        <f>Table1[[#This Row],[total sulfur dioxide]]-Table1[[#This Row],[free sulfur dioxide]]</f>
        <v>30</v>
      </c>
      <c r="S1462" s="1" t="str">
        <f>IF(AND(Table1[[#This Row],[pH]]&gt;=3.2,Table1[[#This Row],[alcohol]]&gt;=10),"White wine","Red wine")</f>
        <v>White wine</v>
      </c>
    </row>
    <row r="1463" spans="1:19" x14ac:dyDescent="0.3">
      <c r="A1463" s="13">
        <v>1462</v>
      </c>
      <c r="B1463" s="1">
        <v>6.2</v>
      </c>
      <c r="C1463" s="1">
        <v>0.78500000000000003</v>
      </c>
      <c r="D1463" s="1">
        <v>0</v>
      </c>
      <c r="E1463" s="1">
        <v>2.1</v>
      </c>
      <c r="F1463" s="1">
        <v>0.06</v>
      </c>
      <c r="G1463" s="1">
        <v>6</v>
      </c>
      <c r="H1463" s="1">
        <v>13</v>
      </c>
      <c r="I1463" s="1">
        <v>0.99663999999999997</v>
      </c>
      <c r="J1463" s="1">
        <v>3.59</v>
      </c>
      <c r="K1463" s="1">
        <v>0.61</v>
      </c>
      <c r="L1463" s="1">
        <v>10</v>
      </c>
      <c r="M1463" s="2">
        <v>4</v>
      </c>
      <c r="N1463" s="2" t="str" cm="1">
        <f t="array" ref="N1463">_xlfn.IFS(Table1[[#This Row],[quality]]&lt;=4,"Low",Table1[[#This Row],[quality]]&lt;=6,"Medium",Table1[[#This Row],[quality]]&gt;=7,"High")</f>
        <v>Low</v>
      </c>
      <c r="O1463" s="2" t="str">
        <f>IF(AND(Table1[[#This Row],[fixed acidity]]&gt;Sheet1!$C$4,Table1[[#This Row],[pH]]&lt;Sheet1!$K$4),"High","Normal")</f>
        <v>Normal</v>
      </c>
      <c r="P1463" s="1">
        <f>(Table1[[#This Row],[alcohol]]*2)+(Table1[[#This Row],[sulphates]]*1.5)-(Table1[[#This Row],[volatile acidity]]*2)</f>
        <v>19.344999999999999</v>
      </c>
      <c r="Q1463" s="1">
        <f>RANK(Table1[[#This Row],[Quality_score_index]],Table1[Quality_score_index],0)</f>
        <v>1026</v>
      </c>
      <c r="R1463" s="1">
        <f>Table1[[#This Row],[total sulfur dioxide]]-Table1[[#This Row],[free sulfur dioxide]]</f>
        <v>7</v>
      </c>
      <c r="S1463" s="1" t="str">
        <f>IF(AND(Table1[[#This Row],[pH]]&gt;=3.2,Table1[[#This Row],[alcohol]]&gt;=10),"White wine","Red wine")</f>
        <v>White wine</v>
      </c>
    </row>
    <row r="1464" spans="1:19" x14ac:dyDescent="0.3">
      <c r="A1464" s="13">
        <v>1463</v>
      </c>
      <c r="B1464" s="1">
        <v>6.8</v>
      </c>
      <c r="C1464" s="1">
        <v>0.64</v>
      </c>
      <c r="D1464" s="1">
        <v>0.03</v>
      </c>
      <c r="E1464" s="1">
        <v>2.2999999999999998</v>
      </c>
      <c r="F1464" s="1">
        <v>7.4999999999999997E-2</v>
      </c>
      <c r="G1464" s="1">
        <v>14</v>
      </c>
      <c r="H1464" s="1">
        <v>31</v>
      </c>
      <c r="I1464" s="1">
        <v>0.99544999999999995</v>
      </c>
      <c r="J1464" s="1">
        <v>3.36</v>
      </c>
      <c r="K1464" s="1">
        <v>0.57999999999999996</v>
      </c>
      <c r="L1464" s="1">
        <v>10.4</v>
      </c>
      <c r="M1464" s="2">
        <v>6</v>
      </c>
      <c r="N1464" s="2" t="str" cm="1">
        <f t="array" ref="N1464">_xlfn.IFS(Table1[[#This Row],[quality]]&lt;=4,"Low",Table1[[#This Row],[quality]]&lt;=6,"Medium",Table1[[#This Row],[quality]]&gt;=7,"High")</f>
        <v>Medium</v>
      </c>
      <c r="O1464" s="2" t="str">
        <f>IF(AND(Table1[[#This Row],[fixed acidity]]&gt;Sheet1!$C$4,Table1[[#This Row],[pH]]&lt;Sheet1!$K$4),"High","Normal")</f>
        <v>Normal</v>
      </c>
      <c r="P1464" s="1">
        <f>(Table1[[#This Row],[alcohol]]*2)+(Table1[[#This Row],[sulphates]]*1.5)-(Table1[[#This Row],[volatile acidity]]*2)</f>
        <v>20.39</v>
      </c>
      <c r="Q1464" s="1">
        <f>RANK(Table1[[#This Row],[Quality_score_index]],Table1[Quality_score_index],0)</f>
        <v>768</v>
      </c>
      <c r="R1464" s="1">
        <f>Table1[[#This Row],[total sulfur dioxide]]-Table1[[#This Row],[free sulfur dioxide]]</f>
        <v>17</v>
      </c>
      <c r="S1464" s="1" t="str">
        <f>IF(AND(Table1[[#This Row],[pH]]&gt;=3.2,Table1[[#This Row],[alcohol]]&gt;=10),"White wine","Red wine")</f>
        <v>White wine</v>
      </c>
    </row>
    <row r="1465" spans="1:19" x14ac:dyDescent="0.3">
      <c r="A1465" s="13">
        <v>1464</v>
      </c>
      <c r="B1465" s="1">
        <v>6.9</v>
      </c>
      <c r="C1465" s="1">
        <v>0.63</v>
      </c>
      <c r="D1465" s="1">
        <v>0.01</v>
      </c>
      <c r="E1465" s="1">
        <v>2.4</v>
      </c>
      <c r="F1465" s="1">
        <v>7.5999999999999998E-2</v>
      </c>
      <c r="G1465" s="1">
        <v>14</v>
      </c>
      <c r="H1465" s="1">
        <v>39</v>
      </c>
      <c r="I1465" s="1">
        <v>0.99521999999999999</v>
      </c>
      <c r="J1465" s="1">
        <v>3.34</v>
      </c>
      <c r="K1465" s="1">
        <v>0.53</v>
      </c>
      <c r="L1465" s="1">
        <v>10.8</v>
      </c>
      <c r="M1465" s="2">
        <v>6</v>
      </c>
      <c r="N1465" s="2" t="str" cm="1">
        <f t="array" ref="N1465">_xlfn.IFS(Table1[[#This Row],[quality]]&lt;=4,"Low",Table1[[#This Row],[quality]]&lt;=6,"Medium",Table1[[#This Row],[quality]]&gt;=7,"High")</f>
        <v>Medium</v>
      </c>
      <c r="O1465" s="2" t="str">
        <f>IF(AND(Table1[[#This Row],[fixed acidity]]&gt;Sheet1!$C$4,Table1[[#This Row],[pH]]&lt;Sheet1!$K$4),"High","Normal")</f>
        <v>Normal</v>
      </c>
      <c r="P1465" s="1">
        <f>(Table1[[#This Row],[alcohol]]*2)+(Table1[[#This Row],[sulphates]]*1.5)-(Table1[[#This Row],[volatile acidity]]*2)</f>
        <v>21.135000000000002</v>
      </c>
      <c r="Q1465" s="1">
        <f>RANK(Table1[[#This Row],[Quality_score_index]],Table1[Quality_score_index],0)</f>
        <v>626</v>
      </c>
      <c r="R1465" s="1">
        <f>Table1[[#This Row],[total sulfur dioxide]]-Table1[[#This Row],[free sulfur dioxide]]</f>
        <v>25</v>
      </c>
      <c r="S1465" s="1" t="str">
        <f>IF(AND(Table1[[#This Row],[pH]]&gt;=3.2,Table1[[#This Row],[alcohol]]&gt;=10),"White wine","Red wine")</f>
        <v>White wine</v>
      </c>
    </row>
    <row r="1466" spans="1:19" x14ac:dyDescent="0.3">
      <c r="A1466" s="13">
        <v>1465</v>
      </c>
      <c r="B1466" s="1">
        <v>6.8</v>
      </c>
      <c r="C1466" s="1">
        <v>0.59</v>
      </c>
      <c r="D1466" s="1">
        <v>0.1</v>
      </c>
      <c r="E1466" s="1">
        <v>1.7</v>
      </c>
      <c r="F1466" s="1">
        <v>6.3E-2</v>
      </c>
      <c r="G1466" s="1">
        <v>34</v>
      </c>
      <c r="H1466" s="1">
        <v>53</v>
      </c>
      <c r="I1466" s="1">
        <v>0.99580000000000002</v>
      </c>
      <c r="J1466" s="1">
        <v>3.41</v>
      </c>
      <c r="K1466" s="1">
        <v>0.67</v>
      </c>
      <c r="L1466" s="1">
        <v>9.6999999999999993</v>
      </c>
      <c r="M1466" s="2">
        <v>5</v>
      </c>
      <c r="N1466" s="2" t="str" cm="1">
        <f t="array" ref="N1466">_xlfn.IFS(Table1[[#This Row],[quality]]&lt;=4,"Low",Table1[[#This Row],[quality]]&lt;=6,"Medium",Table1[[#This Row],[quality]]&gt;=7,"High")</f>
        <v>Medium</v>
      </c>
      <c r="O1466" s="2" t="str">
        <f>IF(AND(Table1[[#This Row],[fixed acidity]]&gt;Sheet1!$C$4,Table1[[#This Row],[pH]]&lt;Sheet1!$K$4),"High","Normal")</f>
        <v>Normal</v>
      </c>
      <c r="P1466" s="1">
        <f>(Table1[[#This Row],[alcohol]]*2)+(Table1[[#This Row],[sulphates]]*1.5)-(Table1[[#This Row],[volatile acidity]]*2)</f>
        <v>19.224999999999998</v>
      </c>
      <c r="Q1466" s="1">
        <f>RANK(Table1[[#This Row],[Quality_score_index]],Table1[Quality_score_index],0)</f>
        <v>1072</v>
      </c>
      <c r="R1466" s="1">
        <f>Table1[[#This Row],[total sulfur dioxide]]-Table1[[#This Row],[free sulfur dioxide]]</f>
        <v>19</v>
      </c>
      <c r="S1466" s="1" t="str">
        <f>IF(AND(Table1[[#This Row],[pH]]&gt;=3.2,Table1[[#This Row],[alcohol]]&gt;=10),"White wine","Red wine")</f>
        <v>Red wine</v>
      </c>
    </row>
    <row r="1467" spans="1:19" x14ac:dyDescent="0.3">
      <c r="A1467" s="13">
        <v>1466</v>
      </c>
      <c r="B1467" s="1">
        <v>6.8</v>
      </c>
      <c r="C1467" s="1">
        <v>0.59</v>
      </c>
      <c r="D1467" s="1">
        <v>0.1</v>
      </c>
      <c r="E1467" s="1">
        <v>1.7</v>
      </c>
      <c r="F1467" s="1">
        <v>6.3E-2</v>
      </c>
      <c r="G1467" s="1">
        <v>34</v>
      </c>
      <c r="H1467" s="1">
        <v>53</v>
      </c>
      <c r="I1467" s="1">
        <v>0.99580000000000002</v>
      </c>
      <c r="J1467" s="1">
        <v>3.41</v>
      </c>
      <c r="K1467" s="1">
        <v>0.67</v>
      </c>
      <c r="L1467" s="1">
        <v>9.6999999999999993</v>
      </c>
      <c r="M1467" s="2">
        <v>5</v>
      </c>
      <c r="N1467" s="2" t="str" cm="1">
        <f t="array" ref="N1467">_xlfn.IFS(Table1[[#This Row],[quality]]&lt;=4,"Low",Table1[[#This Row],[quality]]&lt;=6,"Medium",Table1[[#This Row],[quality]]&gt;=7,"High")</f>
        <v>Medium</v>
      </c>
      <c r="O1467" s="2" t="str">
        <f>IF(AND(Table1[[#This Row],[fixed acidity]]&gt;Sheet1!$C$4,Table1[[#This Row],[pH]]&lt;Sheet1!$K$4),"High","Normal")</f>
        <v>Normal</v>
      </c>
      <c r="P1467" s="1">
        <f>(Table1[[#This Row],[alcohol]]*2)+(Table1[[#This Row],[sulphates]]*1.5)-(Table1[[#This Row],[volatile acidity]]*2)</f>
        <v>19.224999999999998</v>
      </c>
      <c r="Q1467" s="1">
        <f>RANK(Table1[[#This Row],[Quality_score_index]],Table1[Quality_score_index],0)</f>
        <v>1072</v>
      </c>
      <c r="R1467" s="1">
        <f>Table1[[#This Row],[total sulfur dioxide]]-Table1[[#This Row],[free sulfur dioxide]]</f>
        <v>19</v>
      </c>
      <c r="S1467" s="1" t="str">
        <f>IF(AND(Table1[[#This Row],[pH]]&gt;=3.2,Table1[[#This Row],[alcohol]]&gt;=10),"White wine","Red wine")</f>
        <v>Red wine</v>
      </c>
    </row>
    <row r="1468" spans="1:19" x14ac:dyDescent="0.3">
      <c r="A1468" s="13">
        <v>1467</v>
      </c>
      <c r="B1468" s="1">
        <v>7.3</v>
      </c>
      <c r="C1468" s="1">
        <v>0.48</v>
      </c>
      <c r="D1468" s="1">
        <v>0.32</v>
      </c>
      <c r="E1468" s="1">
        <v>2.1</v>
      </c>
      <c r="F1468" s="1">
        <v>6.2E-2</v>
      </c>
      <c r="G1468" s="1">
        <v>31</v>
      </c>
      <c r="H1468" s="1">
        <v>54</v>
      </c>
      <c r="I1468" s="1">
        <v>0.99728000000000006</v>
      </c>
      <c r="J1468" s="1">
        <v>3.3</v>
      </c>
      <c r="K1468" s="1">
        <v>0.65</v>
      </c>
      <c r="L1468" s="1">
        <v>10</v>
      </c>
      <c r="M1468" s="2">
        <v>7</v>
      </c>
      <c r="N1468" s="2" t="str" cm="1">
        <f t="array" ref="N1468">_xlfn.IFS(Table1[[#This Row],[quality]]&lt;=4,"Low",Table1[[#This Row],[quality]]&lt;=6,"Medium",Table1[[#This Row],[quality]]&gt;=7,"High")</f>
        <v>High</v>
      </c>
      <c r="O1468" s="2" t="str">
        <f>IF(AND(Table1[[#This Row],[fixed acidity]]&gt;Sheet1!$C$4,Table1[[#This Row],[pH]]&lt;Sheet1!$K$4),"High","Normal")</f>
        <v>Normal</v>
      </c>
      <c r="P1468" s="1">
        <f>(Table1[[#This Row],[alcohol]]*2)+(Table1[[#This Row],[sulphates]]*1.5)-(Table1[[#This Row],[volatile acidity]]*2)</f>
        <v>20.015000000000001</v>
      </c>
      <c r="Q1468" s="1">
        <f>RANK(Table1[[#This Row],[Quality_score_index]],Table1[Quality_score_index],0)</f>
        <v>852</v>
      </c>
      <c r="R1468" s="1">
        <f>Table1[[#This Row],[total sulfur dioxide]]-Table1[[#This Row],[free sulfur dioxide]]</f>
        <v>23</v>
      </c>
      <c r="S1468" s="1" t="str">
        <f>IF(AND(Table1[[#This Row],[pH]]&gt;=3.2,Table1[[#This Row],[alcohol]]&gt;=10),"White wine","Red wine")</f>
        <v>White wine</v>
      </c>
    </row>
    <row r="1469" spans="1:19" x14ac:dyDescent="0.3">
      <c r="A1469" s="13">
        <v>1468</v>
      </c>
      <c r="B1469" s="1">
        <v>6.7</v>
      </c>
      <c r="C1469" s="1">
        <v>1.04</v>
      </c>
      <c r="D1469" s="1">
        <v>0.08</v>
      </c>
      <c r="E1469" s="1">
        <v>2.2999999999999998</v>
      </c>
      <c r="F1469" s="1">
        <v>6.7000000000000004E-2</v>
      </c>
      <c r="G1469" s="1">
        <v>19</v>
      </c>
      <c r="H1469" s="1">
        <v>32</v>
      </c>
      <c r="I1469" s="1">
        <v>0.99648000000000003</v>
      </c>
      <c r="J1469" s="1">
        <v>3.52</v>
      </c>
      <c r="K1469" s="1">
        <v>0.56999999999999995</v>
      </c>
      <c r="L1469" s="1">
        <v>11</v>
      </c>
      <c r="M1469" s="2">
        <v>4</v>
      </c>
      <c r="N1469" s="2" t="str" cm="1">
        <f t="array" ref="N1469">_xlfn.IFS(Table1[[#This Row],[quality]]&lt;=4,"Low",Table1[[#This Row],[quality]]&lt;=6,"Medium",Table1[[#This Row],[quality]]&gt;=7,"High")</f>
        <v>Low</v>
      </c>
      <c r="O1469" s="2" t="str">
        <f>IF(AND(Table1[[#This Row],[fixed acidity]]&gt;Sheet1!$C$4,Table1[[#This Row],[pH]]&lt;Sheet1!$K$4),"High","Normal")</f>
        <v>Normal</v>
      </c>
      <c r="P1469" s="1">
        <f>(Table1[[#This Row],[alcohol]]*2)+(Table1[[#This Row],[sulphates]]*1.5)-(Table1[[#This Row],[volatile acidity]]*2)</f>
        <v>20.774999999999999</v>
      </c>
      <c r="Q1469" s="1">
        <f>RANK(Table1[[#This Row],[Quality_score_index]],Table1[Quality_score_index],0)</f>
        <v>710</v>
      </c>
      <c r="R1469" s="1">
        <f>Table1[[#This Row],[total sulfur dioxide]]-Table1[[#This Row],[free sulfur dioxide]]</f>
        <v>13</v>
      </c>
      <c r="S1469" s="1" t="str">
        <f>IF(AND(Table1[[#This Row],[pH]]&gt;=3.2,Table1[[#This Row],[alcohol]]&gt;=10),"White wine","Red wine")</f>
        <v>White wine</v>
      </c>
    </row>
    <row r="1470" spans="1:19" x14ac:dyDescent="0.3">
      <c r="A1470" s="13">
        <v>1469</v>
      </c>
      <c r="B1470" s="1">
        <v>7.3</v>
      </c>
      <c r="C1470" s="1">
        <v>0.48</v>
      </c>
      <c r="D1470" s="1">
        <v>0.32</v>
      </c>
      <c r="E1470" s="1">
        <v>2.1</v>
      </c>
      <c r="F1470" s="1">
        <v>6.2E-2</v>
      </c>
      <c r="G1470" s="1">
        <v>31</v>
      </c>
      <c r="H1470" s="1">
        <v>54</v>
      </c>
      <c r="I1470" s="1">
        <v>0.99728000000000006</v>
      </c>
      <c r="J1470" s="1">
        <v>3.3</v>
      </c>
      <c r="K1470" s="1">
        <v>0.65</v>
      </c>
      <c r="L1470" s="1">
        <v>10</v>
      </c>
      <c r="M1470" s="2">
        <v>7</v>
      </c>
      <c r="N1470" s="2" t="str" cm="1">
        <f t="array" ref="N1470">_xlfn.IFS(Table1[[#This Row],[quality]]&lt;=4,"Low",Table1[[#This Row],[quality]]&lt;=6,"Medium",Table1[[#This Row],[quality]]&gt;=7,"High")</f>
        <v>High</v>
      </c>
      <c r="O1470" s="2" t="str">
        <f>IF(AND(Table1[[#This Row],[fixed acidity]]&gt;Sheet1!$C$4,Table1[[#This Row],[pH]]&lt;Sheet1!$K$4),"High","Normal")</f>
        <v>Normal</v>
      </c>
      <c r="P1470" s="1">
        <f>(Table1[[#This Row],[alcohol]]*2)+(Table1[[#This Row],[sulphates]]*1.5)-(Table1[[#This Row],[volatile acidity]]*2)</f>
        <v>20.015000000000001</v>
      </c>
      <c r="Q1470" s="1">
        <f>RANK(Table1[[#This Row],[Quality_score_index]],Table1[Quality_score_index],0)</f>
        <v>852</v>
      </c>
      <c r="R1470" s="1">
        <f>Table1[[#This Row],[total sulfur dioxide]]-Table1[[#This Row],[free sulfur dioxide]]</f>
        <v>23</v>
      </c>
      <c r="S1470" s="1" t="str">
        <f>IF(AND(Table1[[#This Row],[pH]]&gt;=3.2,Table1[[#This Row],[alcohol]]&gt;=10),"White wine","Red wine")</f>
        <v>White wine</v>
      </c>
    </row>
    <row r="1471" spans="1:19" x14ac:dyDescent="0.3">
      <c r="A1471" s="13">
        <v>1470</v>
      </c>
      <c r="B1471" s="1">
        <v>7.3</v>
      </c>
      <c r="C1471" s="1">
        <v>0.98</v>
      </c>
      <c r="D1471" s="1">
        <v>0.05</v>
      </c>
      <c r="E1471" s="1">
        <v>2.1</v>
      </c>
      <c r="F1471" s="1">
        <v>6.0999999999999999E-2</v>
      </c>
      <c r="G1471" s="1">
        <v>20</v>
      </c>
      <c r="H1471" s="1">
        <v>49</v>
      </c>
      <c r="I1471" s="1">
        <v>0.99704999999999999</v>
      </c>
      <c r="J1471" s="1">
        <v>3.31</v>
      </c>
      <c r="K1471" s="1">
        <v>0.55000000000000004</v>
      </c>
      <c r="L1471" s="1">
        <v>9.6999999999999993</v>
      </c>
      <c r="M1471" s="2">
        <v>3</v>
      </c>
      <c r="N1471" s="2" t="str" cm="1">
        <f t="array" ref="N1471">_xlfn.IFS(Table1[[#This Row],[quality]]&lt;=4,"Low",Table1[[#This Row],[quality]]&lt;=6,"Medium",Table1[[#This Row],[quality]]&gt;=7,"High")</f>
        <v>Low</v>
      </c>
      <c r="O1471" s="2" t="str">
        <f>IF(AND(Table1[[#This Row],[fixed acidity]]&gt;Sheet1!$C$4,Table1[[#This Row],[pH]]&lt;Sheet1!$K$4),"High","Normal")</f>
        <v>Normal</v>
      </c>
      <c r="P1471" s="1">
        <f>(Table1[[#This Row],[alcohol]]*2)+(Table1[[#This Row],[sulphates]]*1.5)-(Table1[[#This Row],[volatile acidity]]*2)</f>
        <v>18.264999999999997</v>
      </c>
      <c r="Q1471" s="1">
        <f>RANK(Table1[[#This Row],[Quality_score_index]],Table1[Quality_score_index],0)</f>
        <v>1462</v>
      </c>
      <c r="R1471" s="1">
        <f>Table1[[#This Row],[total sulfur dioxide]]-Table1[[#This Row],[free sulfur dioxide]]</f>
        <v>29</v>
      </c>
      <c r="S1471" s="1" t="str">
        <f>IF(AND(Table1[[#This Row],[pH]]&gt;=3.2,Table1[[#This Row],[alcohol]]&gt;=10),"White wine","Red wine")</f>
        <v>Red wine</v>
      </c>
    </row>
    <row r="1472" spans="1:19" x14ac:dyDescent="0.3">
      <c r="A1472" s="13">
        <v>1471</v>
      </c>
      <c r="B1472" s="1">
        <v>10</v>
      </c>
      <c r="C1472" s="1">
        <v>0.69</v>
      </c>
      <c r="D1472" s="1">
        <v>0.11</v>
      </c>
      <c r="E1472" s="1">
        <v>1.4</v>
      </c>
      <c r="F1472" s="1">
        <v>8.4000000000000005E-2</v>
      </c>
      <c r="G1472" s="1">
        <v>8</v>
      </c>
      <c r="H1472" s="1">
        <v>24</v>
      </c>
      <c r="I1472" s="1">
        <v>0.99578</v>
      </c>
      <c r="J1472" s="1">
        <v>2.88</v>
      </c>
      <c r="K1472" s="1">
        <v>0.47</v>
      </c>
      <c r="L1472" s="1">
        <v>9.6999999999999993</v>
      </c>
      <c r="M1472" s="2">
        <v>5</v>
      </c>
      <c r="N1472" s="2" t="str" cm="1">
        <f t="array" ref="N1472">_xlfn.IFS(Table1[[#This Row],[quality]]&lt;=4,"Low",Table1[[#This Row],[quality]]&lt;=6,"Medium",Table1[[#This Row],[quality]]&gt;=7,"High")</f>
        <v>Medium</v>
      </c>
      <c r="O1472" s="2" t="str">
        <f>IF(AND(Table1[[#This Row],[fixed acidity]]&gt;Sheet1!$C$4,Table1[[#This Row],[pH]]&lt;Sheet1!$K$4),"High","Normal")</f>
        <v>High</v>
      </c>
      <c r="P1472" s="1">
        <f>(Table1[[#This Row],[alcohol]]*2)+(Table1[[#This Row],[sulphates]]*1.5)-(Table1[[#This Row],[volatile acidity]]*2)</f>
        <v>18.724999999999998</v>
      </c>
      <c r="Q1472" s="1">
        <f>RANK(Table1[[#This Row],[Quality_score_index]],Table1[Quality_score_index],0)</f>
        <v>1279</v>
      </c>
      <c r="R1472" s="1">
        <f>Table1[[#This Row],[total sulfur dioxide]]-Table1[[#This Row],[free sulfur dioxide]]</f>
        <v>16</v>
      </c>
      <c r="S1472" s="1" t="str">
        <f>IF(AND(Table1[[#This Row],[pH]]&gt;=3.2,Table1[[#This Row],[alcohol]]&gt;=10),"White wine","Red wine")</f>
        <v>Red wine</v>
      </c>
    </row>
    <row r="1473" spans="1:19" x14ac:dyDescent="0.3">
      <c r="A1473" s="13">
        <v>1472</v>
      </c>
      <c r="B1473" s="1">
        <v>6.7</v>
      </c>
      <c r="C1473" s="1">
        <v>0.7</v>
      </c>
      <c r="D1473" s="1">
        <v>0.08</v>
      </c>
      <c r="E1473" s="1">
        <v>3.75</v>
      </c>
      <c r="F1473" s="1">
        <v>6.7000000000000004E-2</v>
      </c>
      <c r="G1473" s="1">
        <v>8</v>
      </c>
      <c r="H1473" s="1">
        <v>16</v>
      </c>
      <c r="I1473" s="1">
        <v>0.99334</v>
      </c>
      <c r="J1473" s="1">
        <v>3.43</v>
      </c>
      <c r="K1473" s="1">
        <v>0.52</v>
      </c>
      <c r="L1473" s="1">
        <v>12.6</v>
      </c>
      <c r="M1473" s="2">
        <v>5</v>
      </c>
      <c r="N1473" s="2" t="str" cm="1">
        <f t="array" ref="N1473">_xlfn.IFS(Table1[[#This Row],[quality]]&lt;=4,"Low",Table1[[#This Row],[quality]]&lt;=6,"Medium",Table1[[#This Row],[quality]]&gt;=7,"High")</f>
        <v>Medium</v>
      </c>
      <c r="O1473" s="2" t="str">
        <f>IF(AND(Table1[[#This Row],[fixed acidity]]&gt;Sheet1!$C$4,Table1[[#This Row],[pH]]&lt;Sheet1!$K$4),"High","Normal")</f>
        <v>Normal</v>
      </c>
      <c r="P1473" s="1">
        <f>(Table1[[#This Row],[alcohol]]*2)+(Table1[[#This Row],[sulphates]]*1.5)-(Table1[[#This Row],[volatile acidity]]*2)</f>
        <v>24.580000000000002</v>
      </c>
      <c r="Q1473" s="1">
        <f>RANK(Table1[[#This Row],[Quality_score_index]],Table1[Quality_score_index],0)</f>
        <v>120</v>
      </c>
      <c r="R1473" s="1">
        <f>Table1[[#This Row],[total sulfur dioxide]]-Table1[[#This Row],[free sulfur dioxide]]</f>
        <v>8</v>
      </c>
      <c r="S1473" s="1" t="str">
        <f>IF(AND(Table1[[#This Row],[pH]]&gt;=3.2,Table1[[#This Row],[alcohol]]&gt;=10),"White wine","Red wine")</f>
        <v>White wine</v>
      </c>
    </row>
    <row r="1474" spans="1:19" x14ac:dyDescent="0.3">
      <c r="A1474" s="13">
        <v>1473</v>
      </c>
      <c r="B1474" s="1">
        <v>7.6</v>
      </c>
      <c r="C1474" s="1">
        <v>0.35</v>
      </c>
      <c r="D1474" s="1">
        <v>0.6</v>
      </c>
      <c r="E1474" s="1">
        <v>2.6</v>
      </c>
      <c r="F1474" s="1">
        <v>7.2999999999999995E-2</v>
      </c>
      <c r="G1474" s="1">
        <v>23</v>
      </c>
      <c r="H1474" s="1">
        <v>44</v>
      </c>
      <c r="I1474" s="1">
        <v>0.99656</v>
      </c>
      <c r="J1474" s="1">
        <v>3.38</v>
      </c>
      <c r="K1474" s="1">
        <v>0.79</v>
      </c>
      <c r="L1474" s="1">
        <v>11.1</v>
      </c>
      <c r="M1474" s="2">
        <v>6</v>
      </c>
      <c r="N1474" s="2" t="str" cm="1">
        <f t="array" ref="N1474">_xlfn.IFS(Table1[[#This Row],[quality]]&lt;=4,"Low",Table1[[#This Row],[quality]]&lt;=6,"Medium",Table1[[#This Row],[quality]]&gt;=7,"High")</f>
        <v>Medium</v>
      </c>
      <c r="O1474" s="2" t="str">
        <f>IF(AND(Table1[[#This Row],[fixed acidity]]&gt;Sheet1!$C$4,Table1[[#This Row],[pH]]&lt;Sheet1!$K$4),"High","Normal")</f>
        <v>Normal</v>
      </c>
      <c r="P1474" s="1">
        <f>(Table1[[#This Row],[alcohol]]*2)+(Table1[[#This Row],[sulphates]]*1.5)-(Table1[[#This Row],[volatile acidity]]*2)</f>
        <v>22.684999999999999</v>
      </c>
      <c r="Q1474" s="1">
        <f>RANK(Table1[[#This Row],[Quality_score_index]],Table1[Quality_score_index],0)</f>
        <v>329</v>
      </c>
      <c r="R1474" s="1">
        <f>Table1[[#This Row],[total sulfur dioxide]]-Table1[[#This Row],[free sulfur dioxide]]</f>
        <v>21</v>
      </c>
      <c r="S1474" s="1" t="str">
        <f>IF(AND(Table1[[#This Row],[pH]]&gt;=3.2,Table1[[#This Row],[alcohol]]&gt;=10),"White wine","Red wine")</f>
        <v>White wine</v>
      </c>
    </row>
    <row r="1475" spans="1:19" x14ac:dyDescent="0.3">
      <c r="A1475" s="13">
        <v>1474</v>
      </c>
      <c r="B1475" s="1">
        <v>6.1</v>
      </c>
      <c r="C1475" s="1">
        <v>0.6</v>
      </c>
      <c r="D1475" s="1">
        <v>0.08</v>
      </c>
      <c r="E1475" s="1">
        <v>1.8</v>
      </c>
      <c r="F1475" s="1">
        <v>7.0999999999999994E-2</v>
      </c>
      <c r="G1475" s="1">
        <v>14</v>
      </c>
      <c r="H1475" s="1">
        <v>45</v>
      </c>
      <c r="I1475" s="1">
        <v>0.99336000000000002</v>
      </c>
      <c r="J1475" s="1">
        <v>3.38</v>
      </c>
      <c r="K1475" s="1">
        <v>0.54</v>
      </c>
      <c r="L1475" s="1">
        <v>11</v>
      </c>
      <c r="M1475" s="2">
        <v>5</v>
      </c>
      <c r="N1475" s="2" t="str" cm="1">
        <f t="array" ref="N1475">_xlfn.IFS(Table1[[#This Row],[quality]]&lt;=4,"Low",Table1[[#This Row],[quality]]&lt;=6,"Medium",Table1[[#This Row],[quality]]&gt;=7,"High")</f>
        <v>Medium</v>
      </c>
      <c r="O1475" s="2" t="str">
        <f>IF(AND(Table1[[#This Row],[fixed acidity]]&gt;Sheet1!$C$4,Table1[[#This Row],[pH]]&lt;Sheet1!$K$4),"High","Normal")</f>
        <v>Normal</v>
      </c>
      <c r="P1475" s="1">
        <f>(Table1[[#This Row],[alcohol]]*2)+(Table1[[#This Row],[sulphates]]*1.5)-(Table1[[#This Row],[volatile acidity]]*2)</f>
        <v>21.61</v>
      </c>
      <c r="Q1475" s="1">
        <f>RANK(Table1[[#This Row],[Quality_score_index]],Table1[Quality_score_index],0)</f>
        <v>523</v>
      </c>
      <c r="R1475" s="1">
        <f>Table1[[#This Row],[total sulfur dioxide]]-Table1[[#This Row],[free sulfur dioxide]]</f>
        <v>31</v>
      </c>
      <c r="S1475" s="1" t="str">
        <f>IF(AND(Table1[[#This Row],[pH]]&gt;=3.2,Table1[[#This Row],[alcohol]]&gt;=10),"White wine","Red wine")</f>
        <v>White wine</v>
      </c>
    </row>
    <row r="1476" spans="1:19" x14ac:dyDescent="0.3">
      <c r="A1476" s="13">
        <v>1475</v>
      </c>
      <c r="B1476" s="1">
        <v>9.9</v>
      </c>
      <c r="C1476" s="1">
        <v>0.5</v>
      </c>
      <c r="D1476" s="1">
        <v>0.5</v>
      </c>
      <c r="E1476" s="1">
        <v>13.8</v>
      </c>
      <c r="F1476" s="1">
        <v>0.20499999999999999</v>
      </c>
      <c r="G1476" s="1">
        <v>48</v>
      </c>
      <c r="H1476" s="1">
        <v>82</v>
      </c>
      <c r="I1476" s="1">
        <v>1.0024200000000001</v>
      </c>
      <c r="J1476" s="1">
        <v>3.16</v>
      </c>
      <c r="K1476" s="1">
        <v>0.75</v>
      </c>
      <c r="L1476" s="1">
        <v>8.8000000000000007</v>
      </c>
      <c r="M1476" s="2">
        <v>5</v>
      </c>
      <c r="N1476" s="2" t="str" cm="1">
        <f t="array" ref="N1476">_xlfn.IFS(Table1[[#This Row],[quality]]&lt;=4,"Low",Table1[[#This Row],[quality]]&lt;=6,"Medium",Table1[[#This Row],[quality]]&gt;=7,"High")</f>
        <v>Medium</v>
      </c>
      <c r="O1476" s="2" t="str">
        <f>IF(AND(Table1[[#This Row],[fixed acidity]]&gt;Sheet1!$C$4,Table1[[#This Row],[pH]]&lt;Sheet1!$K$4),"High","Normal")</f>
        <v>High</v>
      </c>
      <c r="P1476" s="1">
        <f>(Table1[[#This Row],[alcohol]]*2)+(Table1[[#This Row],[sulphates]]*1.5)-(Table1[[#This Row],[volatile acidity]]*2)</f>
        <v>17.725000000000001</v>
      </c>
      <c r="Q1476" s="1">
        <f>RANK(Table1[[#This Row],[Quality_score_index]],Table1[Quality_score_index],0)</f>
        <v>1569</v>
      </c>
      <c r="R1476" s="1">
        <f>Table1[[#This Row],[total sulfur dioxide]]-Table1[[#This Row],[free sulfur dioxide]]</f>
        <v>34</v>
      </c>
      <c r="S1476" s="1" t="str">
        <f>IF(AND(Table1[[#This Row],[pH]]&gt;=3.2,Table1[[#This Row],[alcohol]]&gt;=10),"White wine","Red wine")</f>
        <v>Red wine</v>
      </c>
    </row>
    <row r="1477" spans="1:19" x14ac:dyDescent="0.3">
      <c r="A1477" s="13">
        <v>1476</v>
      </c>
      <c r="B1477" s="1">
        <v>5.3</v>
      </c>
      <c r="C1477" s="1">
        <v>0.47</v>
      </c>
      <c r="D1477" s="1">
        <v>0.11</v>
      </c>
      <c r="E1477" s="1">
        <v>2.2000000000000002</v>
      </c>
      <c r="F1477" s="1">
        <v>4.8000000000000001E-2</v>
      </c>
      <c r="G1477" s="1">
        <v>16</v>
      </c>
      <c r="H1477" s="1">
        <v>89</v>
      </c>
      <c r="I1477" s="1">
        <v>0.99182000000000003</v>
      </c>
      <c r="J1477" s="1">
        <v>3.54</v>
      </c>
      <c r="K1477" s="1">
        <v>0.88</v>
      </c>
      <c r="L1477" s="1">
        <v>13.5666666666667</v>
      </c>
      <c r="M1477" s="2">
        <v>7</v>
      </c>
      <c r="N1477" s="2" t="str" cm="1">
        <f t="array" ref="N1477">_xlfn.IFS(Table1[[#This Row],[quality]]&lt;=4,"Low",Table1[[#This Row],[quality]]&lt;=6,"Medium",Table1[[#This Row],[quality]]&gt;=7,"High")</f>
        <v>High</v>
      </c>
      <c r="O1477" s="2" t="str">
        <f>IF(AND(Table1[[#This Row],[fixed acidity]]&gt;Sheet1!$C$4,Table1[[#This Row],[pH]]&lt;Sheet1!$K$4),"High","Normal")</f>
        <v>Normal</v>
      </c>
      <c r="P1477" s="1">
        <f>(Table1[[#This Row],[alcohol]]*2)+(Table1[[#This Row],[sulphates]]*1.5)-(Table1[[#This Row],[volatile acidity]]*2)</f>
        <v>27.513333333333399</v>
      </c>
      <c r="Q1477" s="1">
        <f>RANK(Table1[[#This Row],[Quality_score_index]],Table1[Quality_score_index],0)</f>
        <v>11</v>
      </c>
      <c r="R1477" s="1">
        <f>Table1[[#This Row],[total sulfur dioxide]]-Table1[[#This Row],[free sulfur dioxide]]</f>
        <v>73</v>
      </c>
      <c r="S1477" s="1" t="str">
        <f>IF(AND(Table1[[#This Row],[pH]]&gt;=3.2,Table1[[#This Row],[alcohol]]&gt;=10),"White wine","Red wine")</f>
        <v>White wine</v>
      </c>
    </row>
    <row r="1478" spans="1:19" x14ac:dyDescent="0.3">
      <c r="A1478" s="13">
        <v>1477</v>
      </c>
      <c r="B1478" s="1">
        <v>9.9</v>
      </c>
      <c r="C1478" s="1">
        <v>0.5</v>
      </c>
      <c r="D1478" s="1">
        <v>0.5</v>
      </c>
      <c r="E1478" s="1">
        <v>13.8</v>
      </c>
      <c r="F1478" s="1">
        <v>0.20499999999999999</v>
      </c>
      <c r="G1478" s="1">
        <v>48</v>
      </c>
      <c r="H1478" s="1">
        <v>82</v>
      </c>
      <c r="I1478" s="1">
        <v>1.0024200000000001</v>
      </c>
      <c r="J1478" s="1">
        <v>3.16</v>
      </c>
      <c r="K1478" s="1">
        <v>0.75</v>
      </c>
      <c r="L1478" s="1">
        <v>8.8000000000000007</v>
      </c>
      <c r="M1478" s="2">
        <v>5</v>
      </c>
      <c r="N1478" s="2" t="str" cm="1">
        <f t="array" ref="N1478">_xlfn.IFS(Table1[[#This Row],[quality]]&lt;=4,"Low",Table1[[#This Row],[quality]]&lt;=6,"Medium",Table1[[#This Row],[quality]]&gt;=7,"High")</f>
        <v>Medium</v>
      </c>
      <c r="O1478" s="2" t="str">
        <f>IF(AND(Table1[[#This Row],[fixed acidity]]&gt;Sheet1!$C$4,Table1[[#This Row],[pH]]&lt;Sheet1!$K$4),"High","Normal")</f>
        <v>High</v>
      </c>
      <c r="P1478" s="1">
        <f>(Table1[[#This Row],[alcohol]]*2)+(Table1[[#This Row],[sulphates]]*1.5)-(Table1[[#This Row],[volatile acidity]]*2)</f>
        <v>17.725000000000001</v>
      </c>
      <c r="Q1478" s="1">
        <f>RANK(Table1[[#This Row],[Quality_score_index]],Table1[Quality_score_index],0)</f>
        <v>1569</v>
      </c>
      <c r="R1478" s="1">
        <f>Table1[[#This Row],[total sulfur dioxide]]-Table1[[#This Row],[free sulfur dioxide]]</f>
        <v>34</v>
      </c>
      <c r="S1478" s="1" t="str">
        <f>IF(AND(Table1[[#This Row],[pH]]&gt;=3.2,Table1[[#This Row],[alcohol]]&gt;=10),"White wine","Red wine")</f>
        <v>Red wine</v>
      </c>
    </row>
    <row r="1479" spans="1:19" x14ac:dyDescent="0.3">
      <c r="A1479" s="13">
        <v>1478</v>
      </c>
      <c r="B1479" s="1">
        <v>5.3</v>
      </c>
      <c r="C1479" s="1">
        <v>0.47</v>
      </c>
      <c r="D1479" s="1">
        <v>0.11</v>
      </c>
      <c r="E1479" s="1">
        <v>2.2000000000000002</v>
      </c>
      <c r="F1479" s="1">
        <v>4.8000000000000001E-2</v>
      </c>
      <c r="G1479" s="1">
        <v>16</v>
      </c>
      <c r="H1479" s="1">
        <v>89</v>
      </c>
      <c r="I1479" s="1">
        <v>0.99182000000000003</v>
      </c>
      <c r="J1479" s="1">
        <v>3.54</v>
      </c>
      <c r="K1479" s="1">
        <v>0.88</v>
      </c>
      <c r="L1479" s="1">
        <v>13.6</v>
      </c>
      <c r="M1479" s="2">
        <v>7</v>
      </c>
      <c r="N1479" s="2" t="str" cm="1">
        <f t="array" ref="N1479">_xlfn.IFS(Table1[[#This Row],[quality]]&lt;=4,"Low",Table1[[#This Row],[quality]]&lt;=6,"Medium",Table1[[#This Row],[quality]]&gt;=7,"High")</f>
        <v>High</v>
      </c>
      <c r="O1479" s="2" t="str">
        <f>IF(AND(Table1[[#This Row],[fixed acidity]]&gt;Sheet1!$C$4,Table1[[#This Row],[pH]]&lt;Sheet1!$K$4),"High","Normal")</f>
        <v>Normal</v>
      </c>
      <c r="P1479" s="1">
        <f>(Table1[[#This Row],[alcohol]]*2)+(Table1[[#This Row],[sulphates]]*1.5)-(Table1[[#This Row],[volatile acidity]]*2)</f>
        <v>27.58</v>
      </c>
      <c r="Q1479" s="1">
        <f>RANK(Table1[[#This Row],[Quality_score_index]],Table1[Quality_score_index],0)</f>
        <v>10</v>
      </c>
      <c r="R1479" s="1">
        <f>Table1[[#This Row],[total sulfur dioxide]]-Table1[[#This Row],[free sulfur dioxide]]</f>
        <v>73</v>
      </c>
      <c r="S1479" s="1" t="str">
        <f>IF(AND(Table1[[#This Row],[pH]]&gt;=3.2,Table1[[#This Row],[alcohol]]&gt;=10),"White wine","Red wine")</f>
        <v>White wine</v>
      </c>
    </row>
    <row r="1480" spans="1:19" x14ac:dyDescent="0.3">
      <c r="A1480" s="13">
        <v>1479</v>
      </c>
      <c r="B1480" s="1">
        <v>7.1</v>
      </c>
      <c r="C1480" s="1">
        <v>0.875</v>
      </c>
      <c r="D1480" s="1">
        <v>0.05</v>
      </c>
      <c r="E1480" s="1">
        <v>5.7</v>
      </c>
      <c r="F1480" s="1">
        <v>8.2000000000000003E-2</v>
      </c>
      <c r="G1480" s="1">
        <v>3</v>
      </c>
      <c r="H1480" s="1">
        <v>14</v>
      </c>
      <c r="I1480" s="1">
        <v>0.99807999999999997</v>
      </c>
      <c r="J1480" s="1">
        <v>3.4</v>
      </c>
      <c r="K1480" s="1">
        <v>0.52</v>
      </c>
      <c r="L1480" s="1">
        <v>10.199999999999999</v>
      </c>
      <c r="M1480" s="2">
        <v>3</v>
      </c>
      <c r="N1480" s="2" t="str" cm="1">
        <f t="array" ref="N1480">_xlfn.IFS(Table1[[#This Row],[quality]]&lt;=4,"Low",Table1[[#This Row],[quality]]&lt;=6,"Medium",Table1[[#This Row],[quality]]&gt;=7,"High")</f>
        <v>Low</v>
      </c>
      <c r="O1480" s="2" t="str">
        <f>IF(AND(Table1[[#This Row],[fixed acidity]]&gt;Sheet1!$C$4,Table1[[#This Row],[pH]]&lt;Sheet1!$K$4),"High","Normal")</f>
        <v>Normal</v>
      </c>
      <c r="P1480" s="1">
        <f>(Table1[[#This Row],[alcohol]]*2)+(Table1[[#This Row],[sulphates]]*1.5)-(Table1[[#This Row],[volatile acidity]]*2)</f>
        <v>19.43</v>
      </c>
      <c r="Q1480" s="1">
        <f>RANK(Table1[[#This Row],[Quality_score_index]],Table1[Quality_score_index],0)</f>
        <v>998</v>
      </c>
      <c r="R1480" s="1">
        <f>Table1[[#This Row],[total sulfur dioxide]]-Table1[[#This Row],[free sulfur dioxide]]</f>
        <v>11</v>
      </c>
      <c r="S1480" s="1" t="str">
        <f>IF(AND(Table1[[#This Row],[pH]]&gt;=3.2,Table1[[#This Row],[alcohol]]&gt;=10),"White wine","Red wine")</f>
        <v>White wine</v>
      </c>
    </row>
    <row r="1481" spans="1:19" x14ac:dyDescent="0.3">
      <c r="A1481" s="13">
        <v>1480</v>
      </c>
      <c r="B1481" s="1">
        <v>8.1999999999999993</v>
      </c>
      <c r="C1481" s="1">
        <v>0.28000000000000003</v>
      </c>
      <c r="D1481" s="1">
        <v>0.6</v>
      </c>
      <c r="E1481" s="1">
        <v>3</v>
      </c>
      <c r="F1481" s="1">
        <v>0.104</v>
      </c>
      <c r="G1481" s="1">
        <v>10</v>
      </c>
      <c r="H1481" s="1">
        <v>22</v>
      </c>
      <c r="I1481" s="1">
        <v>0.99827999999999995</v>
      </c>
      <c r="J1481" s="1">
        <v>3.39</v>
      </c>
      <c r="K1481" s="1">
        <v>0.68</v>
      </c>
      <c r="L1481" s="1">
        <v>10.6</v>
      </c>
      <c r="M1481" s="2">
        <v>5</v>
      </c>
      <c r="N1481" s="2" t="str" cm="1">
        <f t="array" ref="N1481">_xlfn.IFS(Table1[[#This Row],[quality]]&lt;=4,"Low",Table1[[#This Row],[quality]]&lt;=6,"Medium",Table1[[#This Row],[quality]]&gt;=7,"High")</f>
        <v>Medium</v>
      </c>
      <c r="O1481" s="2" t="str">
        <f>IF(AND(Table1[[#This Row],[fixed acidity]]&gt;Sheet1!$C$4,Table1[[#This Row],[pH]]&lt;Sheet1!$K$4),"High","Normal")</f>
        <v>Normal</v>
      </c>
      <c r="P1481" s="1">
        <f>(Table1[[#This Row],[alcohol]]*2)+(Table1[[#This Row],[sulphates]]*1.5)-(Table1[[#This Row],[volatile acidity]]*2)</f>
        <v>21.66</v>
      </c>
      <c r="Q1481" s="1">
        <f>RANK(Table1[[#This Row],[Quality_score_index]],Table1[Quality_score_index],0)</f>
        <v>513</v>
      </c>
      <c r="R1481" s="1">
        <f>Table1[[#This Row],[total sulfur dioxide]]-Table1[[#This Row],[free sulfur dioxide]]</f>
        <v>12</v>
      </c>
      <c r="S1481" s="1" t="str">
        <f>IF(AND(Table1[[#This Row],[pH]]&gt;=3.2,Table1[[#This Row],[alcohol]]&gt;=10),"White wine","Red wine")</f>
        <v>White wine</v>
      </c>
    </row>
    <row r="1482" spans="1:19" x14ac:dyDescent="0.3">
      <c r="A1482" s="13">
        <v>1481</v>
      </c>
      <c r="B1482" s="1">
        <v>5.6</v>
      </c>
      <c r="C1482" s="1">
        <v>0.62</v>
      </c>
      <c r="D1482" s="1">
        <v>0.03</v>
      </c>
      <c r="E1482" s="1">
        <v>1.5</v>
      </c>
      <c r="F1482" s="1">
        <v>0.08</v>
      </c>
      <c r="G1482" s="1">
        <v>6</v>
      </c>
      <c r="H1482" s="1">
        <v>13</v>
      </c>
      <c r="I1482" s="1">
        <v>0.99497999999999998</v>
      </c>
      <c r="J1482" s="1">
        <v>3.66</v>
      </c>
      <c r="K1482" s="1">
        <v>0.62</v>
      </c>
      <c r="L1482" s="1">
        <v>10.1</v>
      </c>
      <c r="M1482" s="2">
        <v>4</v>
      </c>
      <c r="N1482" s="2" t="str" cm="1">
        <f t="array" ref="N1482">_xlfn.IFS(Table1[[#This Row],[quality]]&lt;=4,"Low",Table1[[#This Row],[quality]]&lt;=6,"Medium",Table1[[#This Row],[quality]]&gt;=7,"High")</f>
        <v>Low</v>
      </c>
      <c r="O1482" s="2" t="str">
        <f>IF(AND(Table1[[#This Row],[fixed acidity]]&gt;Sheet1!$C$4,Table1[[#This Row],[pH]]&lt;Sheet1!$K$4),"High","Normal")</f>
        <v>Normal</v>
      </c>
      <c r="P1482" s="1">
        <f>(Table1[[#This Row],[alcohol]]*2)+(Table1[[#This Row],[sulphates]]*1.5)-(Table1[[#This Row],[volatile acidity]]*2)</f>
        <v>19.89</v>
      </c>
      <c r="Q1482" s="1">
        <f>RANK(Table1[[#This Row],[Quality_score_index]],Table1[Quality_score_index],0)</f>
        <v>883</v>
      </c>
      <c r="R1482" s="1">
        <f>Table1[[#This Row],[total sulfur dioxide]]-Table1[[#This Row],[free sulfur dioxide]]</f>
        <v>7</v>
      </c>
      <c r="S1482" s="1" t="str">
        <f>IF(AND(Table1[[#This Row],[pH]]&gt;=3.2,Table1[[#This Row],[alcohol]]&gt;=10),"White wine","Red wine")</f>
        <v>White wine</v>
      </c>
    </row>
    <row r="1483" spans="1:19" x14ac:dyDescent="0.3">
      <c r="A1483" s="13">
        <v>1482</v>
      </c>
      <c r="B1483" s="1">
        <v>8.1999999999999993</v>
      </c>
      <c r="C1483" s="1">
        <v>0.28000000000000003</v>
      </c>
      <c r="D1483" s="1">
        <v>0.6</v>
      </c>
      <c r="E1483" s="1">
        <v>3</v>
      </c>
      <c r="F1483" s="1">
        <v>0.104</v>
      </c>
      <c r="G1483" s="1">
        <v>10</v>
      </c>
      <c r="H1483" s="1">
        <v>22</v>
      </c>
      <c r="I1483" s="1">
        <v>0.99827999999999995</v>
      </c>
      <c r="J1483" s="1">
        <v>3.39</v>
      </c>
      <c r="K1483" s="1">
        <v>0.68</v>
      </c>
      <c r="L1483" s="1">
        <v>10.6</v>
      </c>
      <c r="M1483" s="2">
        <v>5</v>
      </c>
      <c r="N1483" s="2" t="str" cm="1">
        <f t="array" ref="N1483">_xlfn.IFS(Table1[[#This Row],[quality]]&lt;=4,"Low",Table1[[#This Row],[quality]]&lt;=6,"Medium",Table1[[#This Row],[quality]]&gt;=7,"High")</f>
        <v>Medium</v>
      </c>
      <c r="O1483" s="2" t="str">
        <f>IF(AND(Table1[[#This Row],[fixed acidity]]&gt;Sheet1!$C$4,Table1[[#This Row],[pH]]&lt;Sheet1!$K$4),"High","Normal")</f>
        <v>Normal</v>
      </c>
      <c r="P1483" s="1">
        <f>(Table1[[#This Row],[alcohol]]*2)+(Table1[[#This Row],[sulphates]]*1.5)-(Table1[[#This Row],[volatile acidity]]*2)</f>
        <v>21.66</v>
      </c>
      <c r="Q1483" s="1">
        <f>RANK(Table1[[#This Row],[Quality_score_index]],Table1[Quality_score_index],0)</f>
        <v>513</v>
      </c>
      <c r="R1483" s="1">
        <f>Table1[[#This Row],[total sulfur dioxide]]-Table1[[#This Row],[free sulfur dioxide]]</f>
        <v>12</v>
      </c>
      <c r="S1483" s="1" t="str">
        <f>IF(AND(Table1[[#This Row],[pH]]&gt;=3.2,Table1[[#This Row],[alcohol]]&gt;=10),"White wine","Red wine")</f>
        <v>White wine</v>
      </c>
    </row>
    <row r="1484" spans="1:19" x14ac:dyDescent="0.3">
      <c r="A1484" s="13">
        <v>1483</v>
      </c>
      <c r="B1484" s="1">
        <v>7.2</v>
      </c>
      <c r="C1484" s="1">
        <v>0.57999999999999996</v>
      </c>
      <c r="D1484" s="1">
        <v>0.54</v>
      </c>
      <c r="E1484" s="1">
        <v>2.1</v>
      </c>
      <c r="F1484" s="1">
        <v>0.114</v>
      </c>
      <c r="G1484" s="1">
        <v>3</v>
      </c>
      <c r="H1484" s="1">
        <v>9</v>
      </c>
      <c r="I1484" s="1">
        <v>0.99719000000000002</v>
      </c>
      <c r="J1484" s="1">
        <v>3.33</v>
      </c>
      <c r="K1484" s="1">
        <v>0.56999999999999995</v>
      </c>
      <c r="L1484" s="1">
        <v>10.3</v>
      </c>
      <c r="M1484" s="2">
        <v>4</v>
      </c>
      <c r="N1484" s="2" t="str" cm="1">
        <f t="array" ref="N1484">_xlfn.IFS(Table1[[#This Row],[quality]]&lt;=4,"Low",Table1[[#This Row],[quality]]&lt;=6,"Medium",Table1[[#This Row],[quality]]&gt;=7,"High")</f>
        <v>Low</v>
      </c>
      <c r="O1484" s="2" t="str">
        <f>IF(AND(Table1[[#This Row],[fixed acidity]]&gt;Sheet1!$C$4,Table1[[#This Row],[pH]]&lt;Sheet1!$K$4),"High","Normal")</f>
        <v>Normal</v>
      </c>
      <c r="P1484" s="1">
        <f>(Table1[[#This Row],[alcohol]]*2)+(Table1[[#This Row],[sulphates]]*1.5)-(Table1[[#This Row],[volatile acidity]]*2)</f>
        <v>20.295000000000002</v>
      </c>
      <c r="Q1484" s="1">
        <f>RANK(Table1[[#This Row],[Quality_score_index]],Table1[Quality_score_index],0)</f>
        <v>793</v>
      </c>
      <c r="R1484" s="1">
        <f>Table1[[#This Row],[total sulfur dioxide]]-Table1[[#This Row],[free sulfur dioxide]]</f>
        <v>6</v>
      </c>
      <c r="S1484" s="1" t="str">
        <f>IF(AND(Table1[[#This Row],[pH]]&gt;=3.2,Table1[[#This Row],[alcohol]]&gt;=10),"White wine","Red wine")</f>
        <v>White wine</v>
      </c>
    </row>
    <row r="1485" spans="1:19" x14ac:dyDescent="0.3">
      <c r="A1485" s="13">
        <v>1484</v>
      </c>
      <c r="B1485" s="1">
        <v>8.1</v>
      </c>
      <c r="C1485" s="1">
        <v>0.33</v>
      </c>
      <c r="D1485" s="1">
        <v>0.44</v>
      </c>
      <c r="E1485" s="1">
        <v>1.5</v>
      </c>
      <c r="F1485" s="1">
        <v>4.2000000000000003E-2</v>
      </c>
      <c r="G1485" s="1">
        <v>6</v>
      </c>
      <c r="H1485" s="1">
        <v>12</v>
      </c>
      <c r="I1485" s="1">
        <v>0.99541999999999997</v>
      </c>
      <c r="J1485" s="1">
        <v>3.35</v>
      </c>
      <c r="K1485" s="1">
        <v>0.61</v>
      </c>
      <c r="L1485" s="1">
        <v>10.7</v>
      </c>
      <c r="M1485" s="2">
        <v>5</v>
      </c>
      <c r="N1485" s="2" t="str" cm="1">
        <f t="array" ref="N1485">_xlfn.IFS(Table1[[#This Row],[quality]]&lt;=4,"Low",Table1[[#This Row],[quality]]&lt;=6,"Medium",Table1[[#This Row],[quality]]&gt;=7,"High")</f>
        <v>Medium</v>
      </c>
      <c r="O1485" s="2" t="str">
        <f>IF(AND(Table1[[#This Row],[fixed acidity]]&gt;Sheet1!$C$4,Table1[[#This Row],[pH]]&lt;Sheet1!$K$4),"High","Normal")</f>
        <v>Normal</v>
      </c>
      <c r="P1485" s="1">
        <f>(Table1[[#This Row],[alcohol]]*2)+(Table1[[#This Row],[sulphates]]*1.5)-(Table1[[#This Row],[volatile acidity]]*2)</f>
        <v>21.654999999999998</v>
      </c>
      <c r="Q1485" s="1">
        <f>RANK(Table1[[#This Row],[Quality_score_index]],Table1[Quality_score_index],0)</f>
        <v>518</v>
      </c>
      <c r="R1485" s="1">
        <f>Table1[[#This Row],[total sulfur dioxide]]-Table1[[#This Row],[free sulfur dioxide]]</f>
        <v>6</v>
      </c>
      <c r="S1485" s="1" t="str">
        <f>IF(AND(Table1[[#This Row],[pH]]&gt;=3.2,Table1[[#This Row],[alcohol]]&gt;=10),"White wine","Red wine")</f>
        <v>White wine</v>
      </c>
    </row>
    <row r="1486" spans="1:19" x14ac:dyDescent="0.3">
      <c r="A1486" s="13">
        <v>1485</v>
      </c>
      <c r="B1486" s="1">
        <v>6.8</v>
      </c>
      <c r="C1486" s="1">
        <v>0.91</v>
      </c>
      <c r="D1486" s="1">
        <v>0.06</v>
      </c>
      <c r="E1486" s="1">
        <v>2</v>
      </c>
      <c r="F1486" s="1">
        <v>0.06</v>
      </c>
      <c r="G1486" s="1">
        <v>4</v>
      </c>
      <c r="H1486" s="1">
        <v>11</v>
      </c>
      <c r="I1486" s="1">
        <v>0.99592000000000003</v>
      </c>
      <c r="J1486" s="1">
        <v>3.53</v>
      </c>
      <c r="K1486" s="1">
        <v>0.64</v>
      </c>
      <c r="L1486" s="1">
        <v>10.9</v>
      </c>
      <c r="M1486" s="2">
        <v>4</v>
      </c>
      <c r="N1486" s="2" t="str" cm="1">
        <f t="array" ref="N1486">_xlfn.IFS(Table1[[#This Row],[quality]]&lt;=4,"Low",Table1[[#This Row],[quality]]&lt;=6,"Medium",Table1[[#This Row],[quality]]&gt;=7,"High")</f>
        <v>Low</v>
      </c>
      <c r="O1486" s="2" t="str">
        <f>IF(AND(Table1[[#This Row],[fixed acidity]]&gt;Sheet1!$C$4,Table1[[#This Row],[pH]]&lt;Sheet1!$K$4),"High","Normal")</f>
        <v>Normal</v>
      </c>
      <c r="P1486" s="1">
        <f>(Table1[[#This Row],[alcohol]]*2)+(Table1[[#This Row],[sulphates]]*1.5)-(Table1[[#This Row],[volatile acidity]]*2)</f>
        <v>20.94</v>
      </c>
      <c r="Q1486" s="1">
        <f>RANK(Table1[[#This Row],[Quality_score_index]],Table1[Quality_score_index],0)</f>
        <v>664</v>
      </c>
      <c r="R1486" s="1">
        <f>Table1[[#This Row],[total sulfur dioxide]]-Table1[[#This Row],[free sulfur dioxide]]</f>
        <v>7</v>
      </c>
      <c r="S1486" s="1" t="str">
        <f>IF(AND(Table1[[#This Row],[pH]]&gt;=3.2,Table1[[#This Row],[alcohol]]&gt;=10),"White wine","Red wine")</f>
        <v>White wine</v>
      </c>
    </row>
    <row r="1487" spans="1:19" x14ac:dyDescent="0.3">
      <c r="A1487" s="13">
        <v>1486</v>
      </c>
      <c r="B1487" s="1">
        <v>7</v>
      </c>
      <c r="C1487" s="1">
        <v>0.65500000000000003</v>
      </c>
      <c r="D1487" s="1">
        <v>0.16</v>
      </c>
      <c r="E1487" s="1">
        <v>2.1</v>
      </c>
      <c r="F1487" s="1">
        <v>7.3999999999999996E-2</v>
      </c>
      <c r="G1487" s="1">
        <v>8</v>
      </c>
      <c r="H1487" s="1">
        <v>25</v>
      </c>
      <c r="I1487" s="1">
        <v>0.99605999999999995</v>
      </c>
      <c r="J1487" s="1">
        <v>3.37</v>
      </c>
      <c r="K1487" s="1">
        <v>0.55000000000000004</v>
      </c>
      <c r="L1487" s="1">
        <v>9.6999999999999993</v>
      </c>
      <c r="M1487" s="2">
        <v>5</v>
      </c>
      <c r="N1487" s="2" t="str" cm="1">
        <f t="array" ref="N1487">_xlfn.IFS(Table1[[#This Row],[quality]]&lt;=4,"Low",Table1[[#This Row],[quality]]&lt;=6,"Medium",Table1[[#This Row],[quality]]&gt;=7,"High")</f>
        <v>Medium</v>
      </c>
      <c r="O1487" s="2" t="str">
        <f>IF(AND(Table1[[#This Row],[fixed acidity]]&gt;Sheet1!$C$4,Table1[[#This Row],[pH]]&lt;Sheet1!$K$4),"High","Normal")</f>
        <v>Normal</v>
      </c>
      <c r="P1487" s="1">
        <f>(Table1[[#This Row],[alcohol]]*2)+(Table1[[#This Row],[sulphates]]*1.5)-(Table1[[#This Row],[volatile acidity]]*2)</f>
        <v>18.914999999999999</v>
      </c>
      <c r="Q1487" s="1">
        <f>RANK(Table1[[#This Row],[Quality_score_index]],Table1[Quality_score_index],0)</f>
        <v>1201</v>
      </c>
      <c r="R1487" s="1">
        <f>Table1[[#This Row],[total sulfur dioxide]]-Table1[[#This Row],[free sulfur dioxide]]</f>
        <v>17</v>
      </c>
      <c r="S1487" s="1" t="str">
        <f>IF(AND(Table1[[#This Row],[pH]]&gt;=3.2,Table1[[#This Row],[alcohol]]&gt;=10),"White wine","Red wine")</f>
        <v>Red wine</v>
      </c>
    </row>
    <row r="1488" spans="1:19" x14ac:dyDescent="0.3">
      <c r="A1488" s="13">
        <v>1487</v>
      </c>
      <c r="B1488" s="1">
        <v>6.8</v>
      </c>
      <c r="C1488" s="1">
        <v>0.68</v>
      </c>
      <c r="D1488" s="1">
        <v>0.21</v>
      </c>
      <c r="E1488" s="1">
        <v>2.1</v>
      </c>
      <c r="F1488" s="1">
        <v>7.0000000000000007E-2</v>
      </c>
      <c r="G1488" s="1">
        <v>9</v>
      </c>
      <c r="H1488" s="1">
        <v>23</v>
      </c>
      <c r="I1488" s="1">
        <v>0.99546000000000001</v>
      </c>
      <c r="J1488" s="1">
        <v>3.38</v>
      </c>
      <c r="K1488" s="1">
        <v>0.6</v>
      </c>
      <c r="L1488" s="1">
        <v>10.3</v>
      </c>
      <c r="M1488" s="2">
        <v>5</v>
      </c>
      <c r="N1488" s="2" t="str" cm="1">
        <f t="array" ref="N1488">_xlfn.IFS(Table1[[#This Row],[quality]]&lt;=4,"Low",Table1[[#This Row],[quality]]&lt;=6,"Medium",Table1[[#This Row],[quality]]&gt;=7,"High")</f>
        <v>Medium</v>
      </c>
      <c r="O1488" s="2" t="str">
        <f>IF(AND(Table1[[#This Row],[fixed acidity]]&gt;Sheet1!$C$4,Table1[[#This Row],[pH]]&lt;Sheet1!$K$4),"High","Normal")</f>
        <v>Normal</v>
      </c>
      <c r="P1488" s="1">
        <f>(Table1[[#This Row],[alcohol]]*2)+(Table1[[#This Row],[sulphates]]*1.5)-(Table1[[#This Row],[volatile acidity]]*2)</f>
        <v>20.14</v>
      </c>
      <c r="Q1488" s="1">
        <f>RANK(Table1[[#This Row],[Quality_score_index]],Table1[Quality_score_index],0)</f>
        <v>829</v>
      </c>
      <c r="R1488" s="1">
        <f>Table1[[#This Row],[total sulfur dioxide]]-Table1[[#This Row],[free sulfur dioxide]]</f>
        <v>14</v>
      </c>
      <c r="S1488" s="1" t="str">
        <f>IF(AND(Table1[[#This Row],[pH]]&gt;=3.2,Table1[[#This Row],[alcohol]]&gt;=10),"White wine","Red wine")</f>
        <v>White wine</v>
      </c>
    </row>
    <row r="1489" spans="1:19" x14ac:dyDescent="0.3">
      <c r="A1489" s="13">
        <v>1488</v>
      </c>
      <c r="B1489" s="1">
        <v>6</v>
      </c>
      <c r="C1489" s="1">
        <v>0.64</v>
      </c>
      <c r="D1489" s="1">
        <v>0.05</v>
      </c>
      <c r="E1489" s="1">
        <v>1.9</v>
      </c>
      <c r="F1489" s="1">
        <v>6.6000000000000003E-2</v>
      </c>
      <c r="G1489" s="1">
        <v>9</v>
      </c>
      <c r="H1489" s="1">
        <v>17</v>
      </c>
      <c r="I1489" s="1">
        <v>0.99495999999999996</v>
      </c>
      <c r="J1489" s="1">
        <v>3.52</v>
      </c>
      <c r="K1489" s="1">
        <v>0.78</v>
      </c>
      <c r="L1489" s="1">
        <v>10.6</v>
      </c>
      <c r="M1489" s="2">
        <v>5</v>
      </c>
      <c r="N1489" s="2" t="str" cm="1">
        <f t="array" ref="N1489">_xlfn.IFS(Table1[[#This Row],[quality]]&lt;=4,"Low",Table1[[#This Row],[quality]]&lt;=6,"Medium",Table1[[#This Row],[quality]]&gt;=7,"High")</f>
        <v>Medium</v>
      </c>
      <c r="O1489" s="2" t="str">
        <f>IF(AND(Table1[[#This Row],[fixed acidity]]&gt;Sheet1!$C$4,Table1[[#This Row],[pH]]&lt;Sheet1!$K$4),"High","Normal")</f>
        <v>Normal</v>
      </c>
      <c r="P1489" s="1">
        <f>(Table1[[#This Row],[alcohol]]*2)+(Table1[[#This Row],[sulphates]]*1.5)-(Table1[[#This Row],[volatile acidity]]*2)</f>
        <v>21.089999999999996</v>
      </c>
      <c r="Q1489" s="1">
        <f>RANK(Table1[[#This Row],[Quality_score_index]],Table1[Quality_score_index],0)</f>
        <v>634</v>
      </c>
      <c r="R1489" s="1">
        <f>Table1[[#This Row],[total sulfur dioxide]]-Table1[[#This Row],[free sulfur dioxide]]</f>
        <v>8</v>
      </c>
      <c r="S1489" s="1" t="str">
        <f>IF(AND(Table1[[#This Row],[pH]]&gt;=3.2,Table1[[#This Row],[alcohol]]&gt;=10),"White wine","Red wine")</f>
        <v>White wine</v>
      </c>
    </row>
    <row r="1490" spans="1:19" x14ac:dyDescent="0.3">
      <c r="A1490" s="13">
        <v>1489</v>
      </c>
      <c r="B1490" s="1">
        <v>5.6</v>
      </c>
      <c r="C1490" s="1">
        <v>0.54</v>
      </c>
      <c r="D1490" s="1">
        <v>0.04</v>
      </c>
      <c r="E1490" s="1">
        <v>1.7</v>
      </c>
      <c r="F1490" s="1">
        <v>4.9000000000000002E-2</v>
      </c>
      <c r="G1490" s="1">
        <v>5</v>
      </c>
      <c r="H1490" s="1">
        <v>13</v>
      </c>
      <c r="I1490" s="1">
        <v>0.99419999999999997</v>
      </c>
      <c r="J1490" s="1">
        <v>3.72</v>
      </c>
      <c r="K1490" s="1">
        <v>0.57999999999999996</v>
      </c>
      <c r="L1490" s="1">
        <v>11.4</v>
      </c>
      <c r="M1490" s="2">
        <v>5</v>
      </c>
      <c r="N1490" s="2" t="str" cm="1">
        <f t="array" ref="N1490">_xlfn.IFS(Table1[[#This Row],[quality]]&lt;=4,"Low",Table1[[#This Row],[quality]]&lt;=6,"Medium",Table1[[#This Row],[quality]]&gt;=7,"High")</f>
        <v>Medium</v>
      </c>
      <c r="O1490" s="2" t="str">
        <f>IF(AND(Table1[[#This Row],[fixed acidity]]&gt;Sheet1!$C$4,Table1[[#This Row],[pH]]&lt;Sheet1!$K$4),"High","Normal")</f>
        <v>Normal</v>
      </c>
      <c r="P1490" s="1">
        <f>(Table1[[#This Row],[alcohol]]*2)+(Table1[[#This Row],[sulphates]]*1.5)-(Table1[[#This Row],[volatile acidity]]*2)</f>
        <v>22.590000000000003</v>
      </c>
      <c r="Q1490" s="1">
        <f>RANK(Table1[[#This Row],[Quality_score_index]],Table1[Quality_score_index],0)</f>
        <v>343</v>
      </c>
      <c r="R1490" s="1">
        <f>Table1[[#This Row],[total sulfur dioxide]]-Table1[[#This Row],[free sulfur dioxide]]</f>
        <v>8</v>
      </c>
      <c r="S1490" s="1" t="str">
        <f>IF(AND(Table1[[#This Row],[pH]]&gt;=3.2,Table1[[#This Row],[alcohol]]&gt;=10),"White wine","Red wine")</f>
        <v>White wine</v>
      </c>
    </row>
    <row r="1491" spans="1:19" x14ac:dyDescent="0.3">
      <c r="A1491" s="13">
        <v>1490</v>
      </c>
      <c r="B1491" s="1">
        <v>6.2</v>
      </c>
      <c r="C1491" s="1">
        <v>0.56999999999999995</v>
      </c>
      <c r="D1491" s="1">
        <v>0.1</v>
      </c>
      <c r="E1491" s="1">
        <v>2.1</v>
      </c>
      <c r="F1491" s="1">
        <v>4.8000000000000001E-2</v>
      </c>
      <c r="G1491" s="1">
        <v>4</v>
      </c>
      <c r="H1491" s="1">
        <v>11</v>
      </c>
      <c r="I1491" s="1">
        <v>0.99448000000000003</v>
      </c>
      <c r="J1491" s="1">
        <v>3.44</v>
      </c>
      <c r="K1491" s="1">
        <v>0.76</v>
      </c>
      <c r="L1491" s="1">
        <v>10.8</v>
      </c>
      <c r="M1491" s="2">
        <v>6</v>
      </c>
      <c r="N1491" s="2" t="str" cm="1">
        <f t="array" ref="N1491">_xlfn.IFS(Table1[[#This Row],[quality]]&lt;=4,"Low",Table1[[#This Row],[quality]]&lt;=6,"Medium",Table1[[#This Row],[quality]]&gt;=7,"High")</f>
        <v>Medium</v>
      </c>
      <c r="O1491" s="2" t="str">
        <f>IF(AND(Table1[[#This Row],[fixed acidity]]&gt;Sheet1!$C$4,Table1[[#This Row],[pH]]&lt;Sheet1!$K$4),"High","Normal")</f>
        <v>Normal</v>
      </c>
      <c r="P1491" s="1">
        <f>(Table1[[#This Row],[alcohol]]*2)+(Table1[[#This Row],[sulphates]]*1.5)-(Table1[[#This Row],[volatile acidity]]*2)</f>
        <v>21.6</v>
      </c>
      <c r="Q1491" s="1">
        <f>RANK(Table1[[#This Row],[Quality_score_index]],Table1[Quality_score_index],0)</f>
        <v>525</v>
      </c>
      <c r="R1491" s="1">
        <f>Table1[[#This Row],[total sulfur dioxide]]-Table1[[#This Row],[free sulfur dioxide]]</f>
        <v>7</v>
      </c>
      <c r="S1491" s="1" t="str">
        <f>IF(AND(Table1[[#This Row],[pH]]&gt;=3.2,Table1[[#This Row],[alcohol]]&gt;=10),"White wine","Red wine")</f>
        <v>White wine</v>
      </c>
    </row>
    <row r="1492" spans="1:19" x14ac:dyDescent="0.3">
      <c r="A1492" s="13">
        <v>1491</v>
      </c>
      <c r="B1492" s="1">
        <v>7.1</v>
      </c>
      <c r="C1492" s="1">
        <v>0.22</v>
      </c>
      <c r="D1492" s="1">
        <v>0.49</v>
      </c>
      <c r="E1492" s="1">
        <v>1.8</v>
      </c>
      <c r="F1492" s="1">
        <v>3.9E-2</v>
      </c>
      <c r="G1492" s="1">
        <v>8</v>
      </c>
      <c r="H1492" s="1">
        <v>18</v>
      </c>
      <c r="I1492" s="1">
        <v>0.99343999999999999</v>
      </c>
      <c r="J1492" s="1">
        <v>3.39</v>
      </c>
      <c r="K1492" s="1">
        <v>0.56000000000000005</v>
      </c>
      <c r="L1492" s="1">
        <v>12.4</v>
      </c>
      <c r="M1492" s="2">
        <v>6</v>
      </c>
      <c r="N1492" s="2" t="str" cm="1">
        <f t="array" ref="N1492">_xlfn.IFS(Table1[[#This Row],[quality]]&lt;=4,"Low",Table1[[#This Row],[quality]]&lt;=6,"Medium",Table1[[#This Row],[quality]]&gt;=7,"High")</f>
        <v>Medium</v>
      </c>
      <c r="O1492" s="2" t="str">
        <f>IF(AND(Table1[[#This Row],[fixed acidity]]&gt;Sheet1!$C$4,Table1[[#This Row],[pH]]&lt;Sheet1!$K$4),"High","Normal")</f>
        <v>Normal</v>
      </c>
      <c r="P1492" s="1">
        <f>(Table1[[#This Row],[alcohol]]*2)+(Table1[[#This Row],[sulphates]]*1.5)-(Table1[[#This Row],[volatile acidity]]*2)</f>
        <v>25.2</v>
      </c>
      <c r="Q1492" s="1">
        <f>RANK(Table1[[#This Row],[Quality_score_index]],Table1[Quality_score_index],0)</f>
        <v>81</v>
      </c>
      <c r="R1492" s="1">
        <f>Table1[[#This Row],[total sulfur dioxide]]-Table1[[#This Row],[free sulfur dioxide]]</f>
        <v>10</v>
      </c>
      <c r="S1492" s="1" t="str">
        <f>IF(AND(Table1[[#This Row],[pH]]&gt;=3.2,Table1[[#This Row],[alcohol]]&gt;=10),"White wine","Red wine")</f>
        <v>White wine</v>
      </c>
    </row>
    <row r="1493" spans="1:19" x14ac:dyDescent="0.3">
      <c r="A1493" s="13">
        <v>1492</v>
      </c>
      <c r="B1493" s="1">
        <v>5.6</v>
      </c>
      <c r="C1493" s="1">
        <v>0.54</v>
      </c>
      <c r="D1493" s="1">
        <v>0.04</v>
      </c>
      <c r="E1493" s="1">
        <v>1.7</v>
      </c>
      <c r="F1493" s="1">
        <v>4.9000000000000002E-2</v>
      </c>
      <c r="G1493" s="1">
        <v>5</v>
      </c>
      <c r="H1493" s="1">
        <v>13</v>
      </c>
      <c r="I1493" s="1">
        <v>0.99419999999999997</v>
      </c>
      <c r="J1493" s="1">
        <v>3.72</v>
      </c>
      <c r="K1493" s="1">
        <v>0.57999999999999996</v>
      </c>
      <c r="L1493" s="1">
        <v>11.4</v>
      </c>
      <c r="M1493" s="2">
        <v>5</v>
      </c>
      <c r="N1493" s="2" t="str" cm="1">
        <f t="array" ref="N1493">_xlfn.IFS(Table1[[#This Row],[quality]]&lt;=4,"Low",Table1[[#This Row],[quality]]&lt;=6,"Medium",Table1[[#This Row],[quality]]&gt;=7,"High")</f>
        <v>Medium</v>
      </c>
      <c r="O1493" s="2" t="str">
        <f>IF(AND(Table1[[#This Row],[fixed acidity]]&gt;Sheet1!$C$4,Table1[[#This Row],[pH]]&lt;Sheet1!$K$4),"High","Normal")</f>
        <v>Normal</v>
      </c>
      <c r="P1493" s="1">
        <f>(Table1[[#This Row],[alcohol]]*2)+(Table1[[#This Row],[sulphates]]*1.5)-(Table1[[#This Row],[volatile acidity]]*2)</f>
        <v>22.590000000000003</v>
      </c>
      <c r="Q1493" s="1">
        <f>RANK(Table1[[#This Row],[Quality_score_index]],Table1[Quality_score_index],0)</f>
        <v>343</v>
      </c>
      <c r="R1493" s="1">
        <f>Table1[[#This Row],[total sulfur dioxide]]-Table1[[#This Row],[free sulfur dioxide]]</f>
        <v>8</v>
      </c>
      <c r="S1493" s="1" t="str">
        <f>IF(AND(Table1[[#This Row],[pH]]&gt;=3.2,Table1[[#This Row],[alcohol]]&gt;=10),"White wine","Red wine")</f>
        <v>White wine</v>
      </c>
    </row>
    <row r="1494" spans="1:19" x14ac:dyDescent="0.3">
      <c r="A1494" s="13">
        <v>1493</v>
      </c>
      <c r="B1494" s="1">
        <v>6.2</v>
      </c>
      <c r="C1494" s="1">
        <v>0.65</v>
      </c>
      <c r="D1494" s="1">
        <v>0.06</v>
      </c>
      <c r="E1494" s="1">
        <v>1.6</v>
      </c>
      <c r="F1494" s="1">
        <v>0.05</v>
      </c>
      <c r="G1494" s="1">
        <v>6</v>
      </c>
      <c r="H1494" s="1">
        <v>18</v>
      </c>
      <c r="I1494" s="1">
        <v>0.99348000000000003</v>
      </c>
      <c r="J1494" s="1">
        <v>3.57</v>
      </c>
      <c r="K1494" s="1">
        <v>0.54</v>
      </c>
      <c r="L1494" s="1">
        <v>11.95</v>
      </c>
      <c r="M1494" s="2">
        <v>5</v>
      </c>
      <c r="N1494" s="2" t="str" cm="1">
        <f t="array" ref="N1494">_xlfn.IFS(Table1[[#This Row],[quality]]&lt;=4,"Low",Table1[[#This Row],[quality]]&lt;=6,"Medium",Table1[[#This Row],[quality]]&gt;=7,"High")</f>
        <v>Medium</v>
      </c>
      <c r="O1494" s="2" t="str">
        <f>IF(AND(Table1[[#This Row],[fixed acidity]]&gt;Sheet1!$C$4,Table1[[#This Row],[pH]]&lt;Sheet1!$K$4),"High","Normal")</f>
        <v>Normal</v>
      </c>
      <c r="P1494" s="1">
        <f>(Table1[[#This Row],[alcohol]]*2)+(Table1[[#This Row],[sulphates]]*1.5)-(Table1[[#This Row],[volatile acidity]]*2)</f>
        <v>23.409999999999997</v>
      </c>
      <c r="Q1494" s="1">
        <f>RANK(Table1[[#This Row],[Quality_score_index]],Table1[Quality_score_index],0)</f>
        <v>228</v>
      </c>
      <c r="R1494" s="1">
        <f>Table1[[#This Row],[total sulfur dioxide]]-Table1[[#This Row],[free sulfur dioxide]]</f>
        <v>12</v>
      </c>
      <c r="S1494" s="1" t="str">
        <f>IF(AND(Table1[[#This Row],[pH]]&gt;=3.2,Table1[[#This Row],[alcohol]]&gt;=10),"White wine","Red wine")</f>
        <v>White wine</v>
      </c>
    </row>
    <row r="1495" spans="1:19" x14ac:dyDescent="0.3">
      <c r="A1495" s="13">
        <v>1494</v>
      </c>
      <c r="B1495" s="1">
        <v>7.7</v>
      </c>
      <c r="C1495" s="1">
        <v>0.54</v>
      </c>
      <c r="D1495" s="1">
        <v>0.26</v>
      </c>
      <c r="E1495" s="1">
        <v>1.9</v>
      </c>
      <c r="F1495" s="1">
        <v>8.8999999999999996E-2</v>
      </c>
      <c r="G1495" s="1">
        <v>23</v>
      </c>
      <c r="H1495" s="1">
        <v>147</v>
      </c>
      <c r="I1495" s="1">
        <v>0.99636000000000002</v>
      </c>
      <c r="J1495" s="1">
        <v>3.26</v>
      </c>
      <c r="K1495" s="1">
        <v>0.59</v>
      </c>
      <c r="L1495" s="1">
        <v>9.6999999999999993</v>
      </c>
      <c r="M1495" s="2">
        <v>5</v>
      </c>
      <c r="N1495" s="2" t="str" cm="1">
        <f t="array" ref="N1495">_xlfn.IFS(Table1[[#This Row],[quality]]&lt;=4,"Low",Table1[[#This Row],[quality]]&lt;=6,"Medium",Table1[[#This Row],[quality]]&gt;=7,"High")</f>
        <v>Medium</v>
      </c>
      <c r="O1495" s="2" t="str">
        <f>IF(AND(Table1[[#This Row],[fixed acidity]]&gt;Sheet1!$C$4,Table1[[#This Row],[pH]]&lt;Sheet1!$K$4),"High","Normal")</f>
        <v>Normal</v>
      </c>
      <c r="P1495" s="1">
        <f>(Table1[[#This Row],[alcohol]]*2)+(Table1[[#This Row],[sulphates]]*1.5)-(Table1[[#This Row],[volatile acidity]]*2)</f>
        <v>19.204999999999998</v>
      </c>
      <c r="Q1495" s="1">
        <f>RANK(Table1[[#This Row],[Quality_score_index]],Table1[Quality_score_index],0)</f>
        <v>1081</v>
      </c>
      <c r="R1495" s="1">
        <f>Table1[[#This Row],[total sulfur dioxide]]-Table1[[#This Row],[free sulfur dioxide]]</f>
        <v>124</v>
      </c>
      <c r="S1495" s="1" t="str">
        <f>IF(AND(Table1[[#This Row],[pH]]&gt;=3.2,Table1[[#This Row],[alcohol]]&gt;=10),"White wine","Red wine")</f>
        <v>Red wine</v>
      </c>
    </row>
    <row r="1496" spans="1:19" x14ac:dyDescent="0.3">
      <c r="A1496" s="13">
        <v>1495</v>
      </c>
      <c r="B1496" s="1">
        <v>6.4</v>
      </c>
      <c r="C1496" s="1">
        <v>0.31</v>
      </c>
      <c r="D1496" s="1">
        <v>0.09</v>
      </c>
      <c r="E1496" s="1">
        <v>1.4</v>
      </c>
      <c r="F1496" s="1">
        <v>6.6000000000000003E-2</v>
      </c>
      <c r="G1496" s="1">
        <v>15</v>
      </c>
      <c r="H1496" s="1">
        <v>28</v>
      </c>
      <c r="I1496" s="1">
        <v>0.99458999999999997</v>
      </c>
      <c r="J1496" s="1">
        <v>3.42</v>
      </c>
      <c r="K1496" s="1">
        <v>0.7</v>
      </c>
      <c r="L1496" s="1">
        <v>10</v>
      </c>
      <c r="M1496" s="2">
        <v>7</v>
      </c>
      <c r="N1496" s="2" t="str" cm="1">
        <f t="array" ref="N1496">_xlfn.IFS(Table1[[#This Row],[quality]]&lt;=4,"Low",Table1[[#This Row],[quality]]&lt;=6,"Medium",Table1[[#This Row],[quality]]&gt;=7,"High")</f>
        <v>High</v>
      </c>
      <c r="O1496" s="2" t="str">
        <f>IF(AND(Table1[[#This Row],[fixed acidity]]&gt;Sheet1!$C$4,Table1[[#This Row],[pH]]&lt;Sheet1!$K$4),"High","Normal")</f>
        <v>Normal</v>
      </c>
      <c r="P1496" s="1">
        <f>(Table1[[#This Row],[alcohol]]*2)+(Table1[[#This Row],[sulphates]]*1.5)-(Table1[[#This Row],[volatile acidity]]*2)</f>
        <v>20.43</v>
      </c>
      <c r="Q1496" s="1">
        <f>RANK(Table1[[#This Row],[Quality_score_index]],Table1[Quality_score_index],0)</f>
        <v>764</v>
      </c>
      <c r="R1496" s="1">
        <f>Table1[[#This Row],[total sulfur dioxide]]-Table1[[#This Row],[free sulfur dioxide]]</f>
        <v>13</v>
      </c>
      <c r="S1496" s="1" t="str">
        <f>IF(AND(Table1[[#This Row],[pH]]&gt;=3.2,Table1[[#This Row],[alcohol]]&gt;=10),"White wine","Red wine")</f>
        <v>White wine</v>
      </c>
    </row>
    <row r="1497" spans="1:19" x14ac:dyDescent="0.3">
      <c r="A1497" s="13">
        <v>1496</v>
      </c>
      <c r="B1497" s="1">
        <v>7</v>
      </c>
      <c r="C1497" s="1">
        <v>0.43</v>
      </c>
      <c r="D1497" s="1">
        <v>0.02</v>
      </c>
      <c r="E1497" s="1">
        <v>1.9</v>
      </c>
      <c r="F1497" s="1">
        <v>0.08</v>
      </c>
      <c r="G1497" s="1">
        <v>15</v>
      </c>
      <c r="H1497" s="1">
        <v>28</v>
      </c>
      <c r="I1497" s="1">
        <v>0.99492000000000003</v>
      </c>
      <c r="J1497" s="1">
        <v>3.35</v>
      </c>
      <c r="K1497" s="1">
        <v>0.81</v>
      </c>
      <c r="L1497" s="1">
        <v>10.6</v>
      </c>
      <c r="M1497" s="2">
        <v>6</v>
      </c>
      <c r="N1497" s="2" t="str" cm="1">
        <f t="array" ref="N1497">_xlfn.IFS(Table1[[#This Row],[quality]]&lt;=4,"Low",Table1[[#This Row],[quality]]&lt;=6,"Medium",Table1[[#This Row],[quality]]&gt;=7,"High")</f>
        <v>Medium</v>
      </c>
      <c r="O1497" s="2" t="str">
        <f>IF(AND(Table1[[#This Row],[fixed acidity]]&gt;Sheet1!$C$4,Table1[[#This Row],[pH]]&lt;Sheet1!$K$4),"High","Normal")</f>
        <v>Normal</v>
      </c>
      <c r="P1497" s="1">
        <f>(Table1[[#This Row],[alcohol]]*2)+(Table1[[#This Row],[sulphates]]*1.5)-(Table1[[#This Row],[volatile acidity]]*2)</f>
        <v>21.555</v>
      </c>
      <c r="Q1497" s="1">
        <f>RANK(Table1[[#This Row],[Quality_score_index]],Table1[Quality_score_index],0)</f>
        <v>537</v>
      </c>
      <c r="R1497" s="1">
        <f>Table1[[#This Row],[total sulfur dioxide]]-Table1[[#This Row],[free sulfur dioxide]]</f>
        <v>13</v>
      </c>
      <c r="S1497" s="1" t="str">
        <f>IF(AND(Table1[[#This Row],[pH]]&gt;=3.2,Table1[[#This Row],[alcohol]]&gt;=10),"White wine","Red wine")</f>
        <v>White wine</v>
      </c>
    </row>
    <row r="1498" spans="1:19" x14ac:dyDescent="0.3">
      <c r="A1498" s="13">
        <v>1497</v>
      </c>
      <c r="B1498" s="1">
        <v>7.7</v>
      </c>
      <c r="C1498" s="1">
        <v>0.54</v>
      </c>
      <c r="D1498" s="1">
        <v>0.26</v>
      </c>
      <c r="E1498" s="1">
        <v>1.9</v>
      </c>
      <c r="F1498" s="1">
        <v>8.8999999999999996E-2</v>
      </c>
      <c r="G1498" s="1">
        <v>23</v>
      </c>
      <c r="H1498" s="1">
        <v>147</v>
      </c>
      <c r="I1498" s="1">
        <v>0.99636000000000002</v>
      </c>
      <c r="J1498" s="1">
        <v>3.26</v>
      </c>
      <c r="K1498" s="1">
        <v>0.59</v>
      </c>
      <c r="L1498" s="1">
        <v>9.6999999999999993</v>
      </c>
      <c r="M1498" s="2">
        <v>5</v>
      </c>
      <c r="N1498" s="2" t="str" cm="1">
        <f t="array" ref="N1498">_xlfn.IFS(Table1[[#This Row],[quality]]&lt;=4,"Low",Table1[[#This Row],[quality]]&lt;=6,"Medium",Table1[[#This Row],[quality]]&gt;=7,"High")</f>
        <v>Medium</v>
      </c>
      <c r="O1498" s="2" t="str">
        <f>IF(AND(Table1[[#This Row],[fixed acidity]]&gt;Sheet1!$C$4,Table1[[#This Row],[pH]]&lt;Sheet1!$K$4),"High","Normal")</f>
        <v>Normal</v>
      </c>
      <c r="P1498" s="1">
        <f>(Table1[[#This Row],[alcohol]]*2)+(Table1[[#This Row],[sulphates]]*1.5)-(Table1[[#This Row],[volatile acidity]]*2)</f>
        <v>19.204999999999998</v>
      </c>
      <c r="Q1498" s="1">
        <f>RANK(Table1[[#This Row],[Quality_score_index]],Table1[Quality_score_index],0)</f>
        <v>1081</v>
      </c>
      <c r="R1498" s="1">
        <f>Table1[[#This Row],[total sulfur dioxide]]-Table1[[#This Row],[free sulfur dioxide]]</f>
        <v>124</v>
      </c>
      <c r="S1498" s="1" t="str">
        <f>IF(AND(Table1[[#This Row],[pH]]&gt;=3.2,Table1[[#This Row],[alcohol]]&gt;=10),"White wine","Red wine")</f>
        <v>Red wine</v>
      </c>
    </row>
    <row r="1499" spans="1:19" x14ac:dyDescent="0.3">
      <c r="A1499" s="13">
        <v>1498</v>
      </c>
      <c r="B1499" s="1">
        <v>6.9</v>
      </c>
      <c r="C1499" s="1">
        <v>0.74</v>
      </c>
      <c r="D1499" s="1">
        <v>0.03</v>
      </c>
      <c r="E1499" s="1">
        <v>2.2999999999999998</v>
      </c>
      <c r="F1499" s="1">
        <v>5.3999999999999999E-2</v>
      </c>
      <c r="G1499" s="1">
        <v>7</v>
      </c>
      <c r="H1499" s="1">
        <v>16</v>
      </c>
      <c r="I1499" s="1">
        <v>0.99507999999999996</v>
      </c>
      <c r="J1499" s="1">
        <v>3.45</v>
      </c>
      <c r="K1499" s="1">
        <v>0.63</v>
      </c>
      <c r="L1499" s="1">
        <v>11.5</v>
      </c>
      <c r="M1499" s="2">
        <v>6</v>
      </c>
      <c r="N1499" s="2" t="str" cm="1">
        <f t="array" ref="N1499">_xlfn.IFS(Table1[[#This Row],[quality]]&lt;=4,"Low",Table1[[#This Row],[quality]]&lt;=6,"Medium",Table1[[#This Row],[quality]]&gt;=7,"High")</f>
        <v>Medium</v>
      </c>
      <c r="O1499" s="2" t="str">
        <f>IF(AND(Table1[[#This Row],[fixed acidity]]&gt;Sheet1!$C$4,Table1[[#This Row],[pH]]&lt;Sheet1!$K$4),"High","Normal")</f>
        <v>Normal</v>
      </c>
      <c r="P1499" s="1">
        <f>(Table1[[#This Row],[alcohol]]*2)+(Table1[[#This Row],[sulphates]]*1.5)-(Table1[[#This Row],[volatile acidity]]*2)</f>
        <v>22.465</v>
      </c>
      <c r="Q1499" s="1">
        <f>RANK(Table1[[#This Row],[Quality_score_index]],Table1[Quality_score_index],0)</f>
        <v>373</v>
      </c>
      <c r="R1499" s="1">
        <f>Table1[[#This Row],[total sulfur dioxide]]-Table1[[#This Row],[free sulfur dioxide]]</f>
        <v>9</v>
      </c>
      <c r="S1499" s="1" t="str">
        <f>IF(AND(Table1[[#This Row],[pH]]&gt;=3.2,Table1[[#This Row],[alcohol]]&gt;=10),"White wine","Red wine")</f>
        <v>White wine</v>
      </c>
    </row>
    <row r="1500" spans="1:19" x14ac:dyDescent="0.3">
      <c r="A1500" s="13">
        <v>1499</v>
      </c>
      <c r="B1500" s="1">
        <v>6.6</v>
      </c>
      <c r="C1500" s="1">
        <v>0.89500000000000002</v>
      </c>
      <c r="D1500" s="1">
        <v>0.04</v>
      </c>
      <c r="E1500" s="1">
        <v>2.2999999999999998</v>
      </c>
      <c r="F1500" s="1">
        <v>6.8000000000000005E-2</v>
      </c>
      <c r="G1500" s="1">
        <v>7</v>
      </c>
      <c r="H1500" s="1">
        <v>13</v>
      </c>
      <c r="I1500" s="1">
        <v>0.99582000000000004</v>
      </c>
      <c r="J1500" s="1">
        <v>3.53</v>
      </c>
      <c r="K1500" s="1">
        <v>0.57999999999999996</v>
      </c>
      <c r="L1500" s="1">
        <v>10.8</v>
      </c>
      <c r="M1500" s="2">
        <v>6</v>
      </c>
      <c r="N1500" s="2" t="str" cm="1">
        <f t="array" ref="N1500">_xlfn.IFS(Table1[[#This Row],[quality]]&lt;=4,"Low",Table1[[#This Row],[quality]]&lt;=6,"Medium",Table1[[#This Row],[quality]]&gt;=7,"High")</f>
        <v>Medium</v>
      </c>
      <c r="O1500" s="2" t="str">
        <f>IF(AND(Table1[[#This Row],[fixed acidity]]&gt;Sheet1!$C$4,Table1[[#This Row],[pH]]&lt;Sheet1!$K$4),"High","Normal")</f>
        <v>Normal</v>
      </c>
      <c r="P1500" s="1">
        <f>(Table1[[#This Row],[alcohol]]*2)+(Table1[[#This Row],[sulphates]]*1.5)-(Table1[[#This Row],[volatile acidity]]*2)</f>
        <v>20.680000000000003</v>
      </c>
      <c r="Q1500" s="1">
        <f>RANK(Table1[[#This Row],[Quality_score_index]],Table1[Quality_score_index],0)</f>
        <v>727</v>
      </c>
      <c r="R1500" s="1">
        <f>Table1[[#This Row],[total sulfur dioxide]]-Table1[[#This Row],[free sulfur dioxide]]</f>
        <v>6</v>
      </c>
      <c r="S1500" s="1" t="str">
        <f>IF(AND(Table1[[#This Row],[pH]]&gt;=3.2,Table1[[#This Row],[alcohol]]&gt;=10),"White wine","Red wine")</f>
        <v>White wine</v>
      </c>
    </row>
    <row r="1501" spans="1:19" x14ac:dyDescent="0.3">
      <c r="A1501" s="13">
        <v>1500</v>
      </c>
      <c r="B1501" s="1">
        <v>6.9</v>
      </c>
      <c r="C1501" s="1">
        <v>0.74</v>
      </c>
      <c r="D1501" s="1">
        <v>0.03</v>
      </c>
      <c r="E1501" s="1">
        <v>2.2999999999999998</v>
      </c>
      <c r="F1501" s="1">
        <v>5.3999999999999999E-2</v>
      </c>
      <c r="G1501" s="1">
        <v>7</v>
      </c>
      <c r="H1501" s="1">
        <v>16</v>
      </c>
      <c r="I1501" s="1">
        <v>0.99507999999999996</v>
      </c>
      <c r="J1501" s="1">
        <v>3.45</v>
      </c>
      <c r="K1501" s="1">
        <v>0.63</v>
      </c>
      <c r="L1501" s="1">
        <v>11.5</v>
      </c>
      <c r="M1501" s="2">
        <v>6</v>
      </c>
      <c r="N1501" s="2" t="str" cm="1">
        <f t="array" ref="N1501">_xlfn.IFS(Table1[[#This Row],[quality]]&lt;=4,"Low",Table1[[#This Row],[quality]]&lt;=6,"Medium",Table1[[#This Row],[quality]]&gt;=7,"High")</f>
        <v>Medium</v>
      </c>
      <c r="O1501" s="2" t="str">
        <f>IF(AND(Table1[[#This Row],[fixed acidity]]&gt;Sheet1!$C$4,Table1[[#This Row],[pH]]&lt;Sheet1!$K$4),"High","Normal")</f>
        <v>Normal</v>
      </c>
      <c r="P1501" s="1">
        <f>(Table1[[#This Row],[alcohol]]*2)+(Table1[[#This Row],[sulphates]]*1.5)-(Table1[[#This Row],[volatile acidity]]*2)</f>
        <v>22.465</v>
      </c>
      <c r="Q1501" s="1">
        <f>RANK(Table1[[#This Row],[Quality_score_index]],Table1[Quality_score_index],0)</f>
        <v>373</v>
      </c>
      <c r="R1501" s="1">
        <f>Table1[[#This Row],[total sulfur dioxide]]-Table1[[#This Row],[free sulfur dioxide]]</f>
        <v>9</v>
      </c>
      <c r="S1501" s="1" t="str">
        <f>IF(AND(Table1[[#This Row],[pH]]&gt;=3.2,Table1[[#This Row],[alcohol]]&gt;=10),"White wine","Red wine")</f>
        <v>White wine</v>
      </c>
    </row>
    <row r="1502" spans="1:19" x14ac:dyDescent="0.3">
      <c r="A1502" s="13">
        <v>1501</v>
      </c>
      <c r="B1502" s="1">
        <v>7.5</v>
      </c>
      <c r="C1502" s="1">
        <v>0.72499999999999998</v>
      </c>
      <c r="D1502" s="1">
        <v>0.04</v>
      </c>
      <c r="E1502" s="1">
        <v>1.5</v>
      </c>
      <c r="F1502" s="1">
        <v>7.5999999999999998E-2</v>
      </c>
      <c r="G1502" s="1">
        <v>8</v>
      </c>
      <c r="H1502" s="1">
        <v>15</v>
      </c>
      <c r="I1502" s="1">
        <v>0.99507999999999996</v>
      </c>
      <c r="J1502" s="1">
        <v>3.26</v>
      </c>
      <c r="K1502" s="1">
        <v>0.53</v>
      </c>
      <c r="L1502" s="1">
        <v>9.6</v>
      </c>
      <c r="M1502" s="2">
        <v>5</v>
      </c>
      <c r="N1502" s="2" t="str" cm="1">
        <f t="array" ref="N1502">_xlfn.IFS(Table1[[#This Row],[quality]]&lt;=4,"Low",Table1[[#This Row],[quality]]&lt;=6,"Medium",Table1[[#This Row],[quality]]&gt;=7,"High")</f>
        <v>Medium</v>
      </c>
      <c r="O1502" s="2" t="str">
        <f>IF(AND(Table1[[#This Row],[fixed acidity]]&gt;Sheet1!$C$4,Table1[[#This Row],[pH]]&lt;Sheet1!$K$4),"High","Normal")</f>
        <v>Normal</v>
      </c>
      <c r="P1502" s="1">
        <f>(Table1[[#This Row],[alcohol]]*2)+(Table1[[#This Row],[sulphates]]*1.5)-(Table1[[#This Row],[volatile acidity]]*2)</f>
        <v>18.545000000000002</v>
      </c>
      <c r="Q1502" s="1">
        <f>RANK(Table1[[#This Row],[Quality_score_index]],Table1[Quality_score_index],0)</f>
        <v>1362</v>
      </c>
      <c r="R1502" s="1">
        <f>Table1[[#This Row],[total sulfur dioxide]]-Table1[[#This Row],[free sulfur dioxide]]</f>
        <v>7</v>
      </c>
      <c r="S1502" s="1" t="str">
        <f>IF(AND(Table1[[#This Row],[pH]]&gt;=3.2,Table1[[#This Row],[alcohol]]&gt;=10),"White wine","Red wine")</f>
        <v>Red wine</v>
      </c>
    </row>
    <row r="1503" spans="1:19" x14ac:dyDescent="0.3">
      <c r="A1503" s="13">
        <v>1502</v>
      </c>
      <c r="B1503" s="1">
        <v>7.8</v>
      </c>
      <c r="C1503" s="1">
        <v>0.82</v>
      </c>
      <c r="D1503" s="1">
        <v>0.28999999999999998</v>
      </c>
      <c r="E1503" s="1">
        <v>4.3</v>
      </c>
      <c r="F1503" s="1">
        <v>8.3000000000000004E-2</v>
      </c>
      <c r="G1503" s="1">
        <v>21</v>
      </c>
      <c r="H1503" s="1">
        <v>64</v>
      </c>
      <c r="I1503" s="1">
        <v>0.99641999999999997</v>
      </c>
      <c r="J1503" s="1">
        <v>3.16</v>
      </c>
      <c r="K1503" s="1">
        <v>0.53</v>
      </c>
      <c r="L1503" s="1">
        <v>9.4</v>
      </c>
      <c r="M1503" s="2">
        <v>5</v>
      </c>
      <c r="N1503" s="2" t="str" cm="1">
        <f t="array" ref="N1503">_xlfn.IFS(Table1[[#This Row],[quality]]&lt;=4,"Low",Table1[[#This Row],[quality]]&lt;=6,"Medium",Table1[[#This Row],[quality]]&gt;=7,"High")</f>
        <v>Medium</v>
      </c>
      <c r="O1503" s="2" t="str">
        <f>IF(AND(Table1[[#This Row],[fixed acidity]]&gt;Sheet1!$C$4,Table1[[#This Row],[pH]]&lt;Sheet1!$K$4),"High","Normal")</f>
        <v>Normal</v>
      </c>
      <c r="P1503" s="1">
        <f>(Table1[[#This Row],[alcohol]]*2)+(Table1[[#This Row],[sulphates]]*1.5)-(Table1[[#This Row],[volatile acidity]]*2)</f>
        <v>17.955000000000002</v>
      </c>
      <c r="Q1503" s="1">
        <f>RANK(Table1[[#This Row],[Quality_score_index]],Table1[Quality_score_index],0)</f>
        <v>1527</v>
      </c>
      <c r="R1503" s="1">
        <f>Table1[[#This Row],[total sulfur dioxide]]-Table1[[#This Row],[free sulfur dioxide]]</f>
        <v>43</v>
      </c>
      <c r="S1503" s="1" t="str">
        <f>IF(AND(Table1[[#This Row],[pH]]&gt;=3.2,Table1[[#This Row],[alcohol]]&gt;=10),"White wine","Red wine")</f>
        <v>Red wine</v>
      </c>
    </row>
    <row r="1504" spans="1:19" x14ac:dyDescent="0.3">
      <c r="A1504" s="13">
        <v>1503</v>
      </c>
      <c r="B1504" s="1">
        <v>7.3</v>
      </c>
      <c r="C1504" s="1">
        <v>0.58499999999999996</v>
      </c>
      <c r="D1504" s="1">
        <v>0.18</v>
      </c>
      <c r="E1504" s="1">
        <v>2.4</v>
      </c>
      <c r="F1504" s="1">
        <v>7.8E-2</v>
      </c>
      <c r="G1504" s="1">
        <v>15</v>
      </c>
      <c r="H1504" s="1">
        <v>60</v>
      </c>
      <c r="I1504" s="1">
        <v>0.99638000000000004</v>
      </c>
      <c r="J1504" s="1">
        <v>3.31</v>
      </c>
      <c r="K1504" s="1">
        <v>0.54</v>
      </c>
      <c r="L1504" s="1">
        <v>9.8000000000000007</v>
      </c>
      <c r="M1504" s="2">
        <v>5</v>
      </c>
      <c r="N1504" s="2" t="str" cm="1">
        <f t="array" ref="N1504">_xlfn.IFS(Table1[[#This Row],[quality]]&lt;=4,"Low",Table1[[#This Row],[quality]]&lt;=6,"Medium",Table1[[#This Row],[quality]]&gt;=7,"High")</f>
        <v>Medium</v>
      </c>
      <c r="O1504" s="2" t="str">
        <f>IF(AND(Table1[[#This Row],[fixed acidity]]&gt;Sheet1!$C$4,Table1[[#This Row],[pH]]&lt;Sheet1!$K$4),"High","Normal")</f>
        <v>Normal</v>
      </c>
      <c r="P1504" s="1">
        <f>(Table1[[#This Row],[alcohol]]*2)+(Table1[[#This Row],[sulphates]]*1.5)-(Table1[[#This Row],[volatile acidity]]*2)</f>
        <v>19.240000000000002</v>
      </c>
      <c r="Q1504" s="1">
        <f>RANK(Table1[[#This Row],[Quality_score_index]],Table1[Quality_score_index],0)</f>
        <v>1058</v>
      </c>
      <c r="R1504" s="1">
        <f>Table1[[#This Row],[total sulfur dioxide]]-Table1[[#This Row],[free sulfur dioxide]]</f>
        <v>45</v>
      </c>
      <c r="S1504" s="1" t="str">
        <f>IF(AND(Table1[[#This Row],[pH]]&gt;=3.2,Table1[[#This Row],[alcohol]]&gt;=10),"White wine","Red wine")</f>
        <v>Red wine</v>
      </c>
    </row>
    <row r="1505" spans="1:19" x14ac:dyDescent="0.3">
      <c r="A1505" s="13">
        <v>1504</v>
      </c>
      <c r="B1505" s="1">
        <v>6.2</v>
      </c>
      <c r="C1505" s="1">
        <v>0.44</v>
      </c>
      <c r="D1505" s="1">
        <v>0.39</v>
      </c>
      <c r="E1505" s="1">
        <v>2.5</v>
      </c>
      <c r="F1505" s="1">
        <v>7.6999999999999999E-2</v>
      </c>
      <c r="G1505" s="1">
        <v>6</v>
      </c>
      <c r="H1505" s="1">
        <v>14</v>
      </c>
      <c r="I1505" s="1">
        <v>0.99555000000000005</v>
      </c>
      <c r="J1505" s="1">
        <v>3.51</v>
      </c>
      <c r="K1505" s="1">
        <v>0.69</v>
      </c>
      <c r="L1505" s="1">
        <v>11</v>
      </c>
      <c r="M1505" s="2">
        <v>6</v>
      </c>
      <c r="N1505" s="2" t="str" cm="1">
        <f t="array" ref="N1505">_xlfn.IFS(Table1[[#This Row],[quality]]&lt;=4,"Low",Table1[[#This Row],[quality]]&lt;=6,"Medium",Table1[[#This Row],[quality]]&gt;=7,"High")</f>
        <v>Medium</v>
      </c>
      <c r="O1505" s="2" t="str">
        <f>IF(AND(Table1[[#This Row],[fixed acidity]]&gt;Sheet1!$C$4,Table1[[#This Row],[pH]]&lt;Sheet1!$K$4),"High","Normal")</f>
        <v>Normal</v>
      </c>
      <c r="P1505" s="1">
        <f>(Table1[[#This Row],[alcohol]]*2)+(Table1[[#This Row],[sulphates]]*1.5)-(Table1[[#This Row],[volatile acidity]]*2)</f>
        <v>22.155000000000001</v>
      </c>
      <c r="Q1505" s="1">
        <f>RANK(Table1[[#This Row],[Quality_score_index]],Table1[Quality_score_index],0)</f>
        <v>426</v>
      </c>
      <c r="R1505" s="1">
        <f>Table1[[#This Row],[total sulfur dioxide]]-Table1[[#This Row],[free sulfur dioxide]]</f>
        <v>8</v>
      </c>
      <c r="S1505" s="1" t="str">
        <f>IF(AND(Table1[[#This Row],[pH]]&gt;=3.2,Table1[[#This Row],[alcohol]]&gt;=10),"White wine","Red wine")</f>
        <v>White wine</v>
      </c>
    </row>
    <row r="1506" spans="1:19" x14ac:dyDescent="0.3">
      <c r="A1506" s="13">
        <v>1505</v>
      </c>
      <c r="B1506" s="1">
        <v>7.5</v>
      </c>
      <c r="C1506" s="1">
        <v>0.38</v>
      </c>
      <c r="D1506" s="1">
        <v>0.56999999999999995</v>
      </c>
      <c r="E1506" s="1">
        <v>2.2999999999999998</v>
      </c>
      <c r="F1506" s="1">
        <v>0.106</v>
      </c>
      <c r="G1506" s="1">
        <v>5</v>
      </c>
      <c r="H1506" s="1">
        <v>12</v>
      </c>
      <c r="I1506" s="1">
        <v>0.99604999999999999</v>
      </c>
      <c r="J1506" s="1">
        <v>3.36</v>
      </c>
      <c r="K1506" s="1">
        <v>0.55000000000000004</v>
      </c>
      <c r="L1506" s="1">
        <v>11.4</v>
      </c>
      <c r="M1506" s="2">
        <v>6</v>
      </c>
      <c r="N1506" s="2" t="str" cm="1">
        <f t="array" ref="N1506">_xlfn.IFS(Table1[[#This Row],[quality]]&lt;=4,"Low",Table1[[#This Row],[quality]]&lt;=6,"Medium",Table1[[#This Row],[quality]]&gt;=7,"High")</f>
        <v>Medium</v>
      </c>
      <c r="O1506" s="2" t="str">
        <f>IF(AND(Table1[[#This Row],[fixed acidity]]&gt;Sheet1!$C$4,Table1[[#This Row],[pH]]&lt;Sheet1!$K$4),"High","Normal")</f>
        <v>Normal</v>
      </c>
      <c r="P1506" s="1">
        <f>(Table1[[#This Row],[alcohol]]*2)+(Table1[[#This Row],[sulphates]]*1.5)-(Table1[[#This Row],[volatile acidity]]*2)</f>
        <v>22.864999999999998</v>
      </c>
      <c r="Q1506" s="1">
        <f>RANK(Table1[[#This Row],[Quality_score_index]],Table1[Quality_score_index],0)</f>
        <v>300</v>
      </c>
      <c r="R1506" s="1">
        <f>Table1[[#This Row],[total sulfur dioxide]]-Table1[[#This Row],[free sulfur dioxide]]</f>
        <v>7</v>
      </c>
      <c r="S1506" s="1" t="str">
        <f>IF(AND(Table1[[#This Row],[pH]]&gt;=3.2,Table1[[#This Row],[alcohol]]&gt;=10),"White wine","Red wine")</f>
        <v>White wine</v>
      </c>
    </row>
    <row r="1507" spans="1:19" x14ac:dyDescent="0.3">
      <c r="A1507" s="13">
        <v>1506</v>
      </c>
      <c r="B1507" s="1">
        <v>6.7</v>
      </c>
      <c r="C1507" s="1">
        <v>0.76</v>
      </c>
      <c r="D1507" s="1">
        <v>0.02</v>
      </c>
      <c r="E1507" s="1">
        <v>1.8</v>
      </c>
      <c r="F1507" s="1">
        <v>7.8E-2</v>
      </c>
      <c r="G1507" s="1">
        <v>6</v>
      </c>
      <c r="H1507" s="1">
        <v>12</v>
      </c>
      <c r="I1507" s="1">
        <v>0.996</v>
      </c>
      <c r="J1507" s="1">
        <v>3.55</v>
      </c>
      <c r="K1507" s="1">
        <v>0.63</v>
      </c>
      <c r="L1507" s="1">
        <v>9.9499999999999993</v>
      </c>
      <c r="M1507" s="2">
        <v>3</v>
      </c>
      <c r="N1507" s="2" t="str" cm="1">
        <f t="array" ref="N1507">_xlfn.IFS(Table1[[#This Row],[quality]]&lt;=4,"Low",Table1[[#This Row],[quality]]&lt;=6,"Medium",Table1[[#This Row],[quality]]&gt;=7,"High")</f>
        <v>Low</v>
      </c>
      <c r="O1507" s="2" t="str">
        <f>IF(AND(Table1[[#This Row],[fixed acidity]]&gt;Sheet1!$C$4,Table1[[#This Row],[pH]]&lt;Sheet1!$K$4),"High","Normal")</f>
        <v>Normal</v>
      </c>
      <c r="P1507" s="1">
        <f>(Table1[[#This Row],[alcohol]]*2)+(Table1[[#This Row],[sulphates]]*1.5)-(Table1[[#This Row],[volatile acidity]]*2)</f>
        <v>19.324999999999999</v>
      </c>
      <c r="Q1507" s="1">
        <f>RANK(Table1[[#This Row],[Quality_score_index]],Table1[Quality_score_index],0)</f>
        <v>1034</v>
      </c>
      <c r="R1507" s="1">
        <f>Table1[[#This Row],[total sulfur dioxide]]-Table1[[#This Row],[free sulfur dioxide]]</f>
        <v>6</v>
      </c>
      <c r="S1507" s="1" t="str">
        <f>IF(AND(Table1[[#This Row],[pH]]&gt;=3.2,Table1[[#This Row],[alcohol]]&gt;=10),"White wine","Red wine")</f>
        <v>Red wine</v>
      </c>
    </row>
    <row r="1508" spans="1:19" x14ac:dyDescent="0.3">
      <c r="A1508" s="13">
        <v>1507</v>
      </c>
      <c r="B1508" s="1">
        <v>6.8</v>
      </c>
      <c r="C1508" s="1">
        <v>0.81</v>
      </c>
      <c r="D1508" s="1">
        <v>0.05</v>
      </c>
      <c r="E1508" s="1">
        <v>2</v>
      </c>
      <c r="F1508" s="1">
        <v>7.0000000000000007E-2</v>
      </c>
      <c r="G1508" s="1">
        <v>6</v>
      </c>
      <c r="H1508" s="1">
        <v>14</v>
      </c>
      <c r="I1508" s="1">
        <v>0.99561999999999995</v>
      </c>
      <c r="J1508" s="1">
        <v>3.51</v>
      </c>
      <c r="K1508" s="1">
        <v>0.66</v>
      </c>
      <c r="L1508" s="1">
        <v>10.8</v>
      </c>
      <c r="M1508" s="2">
        <v>6</v>
      </c>
      <c r="N1508" s="2" t="str" cm="1">
        <f t="array" ref="N1508">_xlfn.IFS(Table1[[#This Row],[quality]]&lt;=4,"Low",Table1[[#This Row],[quality]]&lt;=6,"Medium",Table1[[#This Row],[quality]]&gt;=7,"High")</f>
        <v>Medium</v>
      </c>
      <c r="O1508" s="2" t="str">
        <f>IF(AND(Table1[[#This Row],[fixed acidity]]&gt;Sheet1!$C$4,Table1[[#This Row],[pH]]&lt;Sheet1!$K$4),"High","Normal")</f>
        <v>Normal</v>
      </c>
      <c r="P1508" s="1">
        <f>(Table1[[#This Row],[alcohol]]*2)+(Table1[[#This Row],[sulphates]]*1.5)-(Table1[[#This Row],[volatile acidity]]*2)</f>
        <v>20.97</v>
      </c>
      <c r="Q1508" s="1">
        <f>RANK(Table1[[#This Row],[Quality_score_index]],Table1[Quality_score_index],0)</f>
        <v>657</v>
      </c>
      <c r="R1508" s="1">
        <f>Table1[[#This Row],[total sulfur dioxide]]-Table1[[#This Row],[free sulfur dioxide]]</f>
        <v>8</v>
      </c>
      <c r="S1508" s="1" t="str">
        <f>IF(AND(Table1[[#This Row],[pH]]&gt;=3.2,Table1[[#This Row],[alcohol]]&gt;=10),"White wine","Red wine")</f>
        <v>White wine</v>
      </c>
    </row>
    <row r="1509" spans="1:19" x14ac:dyDescent="0.3">
      <c r="A1509" s="13">
        <v>1508</v>
      </c>
      <c r="B1509" s="1">
        <v>7.5</v>
      </c>
      <c r="C1509" s="1">
        <v>0.38</v>
      </c>
      <c r="D1509" s="1">
        <v>0.56999999999999995</v>
      </c>
      <c r="E1509" s="1">
        <v>2.2999999999999998</v>
      </c>
      <c r="F1509" s="1">
        <v>0.106</v>
      </c>
      <c r="G1509" s="1">
        <v>5</v>
      </c>
      <c r="H1509" s="1">
        <v>12</v>
      </c>
      <c r="I1509" s="1">
        <v>0.99604999999999999</v>
      </c>
      <c r="J1509" s="1">
        <v>3.36</v>
      </c>
      <c r="K1509" s="1">
        <v>0.55000000000000004</v>
      </c>
      <c r="L1509" s="1">
        <v>11.4</v>
      </c>
      <c r="M1509" s="2">
        <v>6</v>
      </c>
      <c r="N1509" s="2" t="str" cm="1">
        <f t="array" ref="N1509">_xlfn.IFS(Table1[[#This Row],[quality]]&lt;=4,"Low",Table1[[#This Row],[quality]]&lt;=6,"Medium",Table1[[#This Row],[quality]]&gt;=7,"High")</f>
        <v>Medium</v>
      </c>
      <c r="O1509" s="2" t="str">
        <f>IF(AND(Table1[[#This Row],[fixed acidity]]&gt;Sheet1!$C$4,Table1[[#This Row],[pH]]&lt;Sheet1!$K$4),"High","Normal")</f>
        <v>Normal</v>
      </c>
      <c r="P1509" s="1">
        <f>(Table1[[#This Row],[alcohol]]*2)+(Table1[[#This Row],[sulphates]]*1.5)-(Table1[[#This Row],[volatile acidity]]*2)</f>
        <v>22.864999999999998</v>
      </c>
      <c r="Q1509" s="1">
        <f>RANK(Table1[[#This Row],[Quality_score_index]],Table1[Quality_score_index],0)</f>
        <v>300</v>
      </c>
      <c r="R1509" s="1">
        <f>Table1[[#This Row],[total sulfur dioxide]]-Table1[[#This Row],[free sulfur dioxide]]</f>
        <v>7</v>
      </c>
      <c r="S1509" s="1" t="str">
        <f>IF(AND(Table1[[#This Row],[pH]]&gt;=3.2,Table1[[#This Row],[alcohol]]&gt;=10),"White wine","Red wine")</f>
        <v>White wine</v>
      </c>
    </row>
    <row r="1510" spans="1:19" x14ac:dyDescent="0.3">
      <c r="A1510" s="13">
        <v>1509</v>
      </c>
      <c r="B1510" s="1">
        <v>7.1</v>
      </c>
      <c r="C1510" s="1">
        <v>0.27</v>
      </c>
      <c r="D1510" s="1">
        <v>0.6</v>
      </c>
      <c r="E1510" s="1">
        <v>2.1</v>
      </c>
      <c r="F1510" s="1">
        <v>7.3999999999999996E-2</v>
      </c>
      <c r="G1510" s="1">
        <v>17</v>
      </c>
      <c r="H1510" s="1">
        <v>25</v>
      </c>
      <c r="I1510" s="1">
        <v>0.99814000000000003</v>
      </c>
      <c r="J1510" s="1">
        <v>3.38</v>
      </c>
      <c r="K1510" s="1">
        <v>0.72</v>
      </c>
      <c r="L1510" s="1">
        <v>10.6</v>
      </c>
      <c r="M1510" s="2">
        <v>6</v>
      </c>
      <c r="N1510" s="2" t="str" cm="1">
        <f t="array" ref="N1510">_xlfn.IFS(Table1[[#This Row],[quality]]&lt;=4,"Low",Table1[[#This Row],[quality]]&lt;=6,"Medium",Table1[[#This Row],[quality]]&gt;=7,"High")</f>
        <v>Medium</v>
      </c>
      <c r="O1510" s="2" t="str">
        <f>IF(AND(Table1[[#This Row],[fixed acidity]]&gt;Sheet1!$C$4,Table1[[#This Row],[pH]]&lt;Sheet1!$K$4),"High","Normal")</f>
        <v>Normal</v>
      </c>
      <c r="P1510" s="1">
        <f>(Table1[[#This Row],[alcohol]]*2)+(Table1[[#This Row],[sulphates]]*1.5)-(Table1[[#This Row],[volatile acidity]]*2)</f>
        <v>21.740000000000002</v>
      </c>
      <c r="Q1510" s="1">
        <f>RANK(Table1[[#This Row],[Quality_score_index]],Table1[Quality_score_index],0)</f>
        <v>497</v>
      </c>
      <c r="R1510" s="1">
        <f>Table1[[#This Row],[total sulfur dioxide]]-Table1[[#This Row],[free sulfur dioxide]]</f>
        <v>8</v>
      </c>
      <c r="S1510" s="1" t="str">
        <f>IF(AND(Table1[[#This Row],[pH]]&gt;=3.2,Table1[[#This Row],[alcohol]]&gt;=10),"White wine","Red wine")</f>
        <v>White wine</v>
      </c>
    </row>
    <row r="1511" spans="1:19" x14ac:dyDescent="0.3">
      <c r="A1511" s="13">
        <v>1510</v>
      </c>
      <c r="B1511" s="1">
        <v>7.9</v>
      </c>
      <c r="C1511" s="1">
        <v>0.18</v>
      </c>
      <c r="D1511" s="1">
        <v>0.4</v>
      </c>
      <c r="E1511" s="1">
        <v>1.8</v>
      </c>
      <c r="F1511" s="1">
        <v>6.2E-2</v>
      </c>
      <c r="G1511" s="1">
        <v>7</v>
      </c>
      <c r="H1511" s="1">
        <v>20</v>
      </c>
      <c r="I1511" s="1">
        <v>0.99409999999999998</v>
      </c>
      <c r="J1511" s="1">
        <v>3.28</v>
      </c>
      <c r="K1511" s="1">
        <v>0.7</v>
      </c>
      <c r="L1511" s="1">
        <v>11.1</v>
      </c>
      <c r="M1511" s="2">
        <v>5</v>
      </c>
      <c r="N1511" s="2" t="str" cm="1">
        <f t="array" ref="N1511">_xlfn.IFS(Table1[[#This Row],[quality]]&lt;=4,"Low",Table1[[#This Row],[quality]]&lt;=6,"Medium",Table1[[#This Row],[quality]]&gt;=7,"High")</f>
        <v>Medium</v>
      </c>
      <c r="O1511" s="2" t="str">
        <f>IF(AND(Table1[[#This Row],[fixed acidity]]&gt;Sheet1!$C$4,Table1[[#This Row],[pH]]&lt;Sheet1!$K$4),"High","Normal")</f>
        <v>Normal</v>
      </c>
      <c r="P1511" s="1">
        <f>(Table1[[#This Row],[alcohol]]*2)+(Table1[[#This Row],[sulphates]]*1.5)-(Table1[[#This Row],[volatile acidity]]*2)</f>
        <v>22.89</v>
      </c>
      <c r="Q1511" s="1">
        <f>RANK(Table1[[#This Row],[Quality_score_index]],Table1[Quality_score_index],0)</f>
        <v>292</v>
      </c>
      <c r="R1511" s="1">
        <f>Table1[[#This Row],[total sulfur dioxide]]-Table1[[#This Row],[free sulfur dioxide]]</f>
        <v>13</v>
      </c>
      <c r="S1511" s="1" t="str">
        <f>IF(AND(Table1[[#This Row],[pH]]&gt;=3.2,Table1[[#This Row],[alcohol]]&gt;=10),"White wine","Red wine")</f>
        <v>White wine</v>
      </c>
    </row>
    <row r="1512" spans="1:19" x14ac:dyDescent="0.3">
      <c r="A1512" s="13">
        <v>1511</v>
      </c>
      <c r="B1512" s="1">
        <v>6.4</v>
      </c>
      <c r="C1512" s="1">
        <v>0.36</v>
      </c>
      <c r="D1512" s="1">
        <v>0.21</v>
      </c>
      <c r="E1512" s="1">
        <v>2.2000000000000002</v>
      </c>
      <c r="F1512" s="1">
        <v>4.7E-2</v>
      </c>
      <c r="G1512" s="1">
        <v>26</v>
      </c>
      <c r="H1512" s="1">
        <v>48</v>
      </c>
      <c r="I1512" s="1">
        <v>0.99661</v>
      </c>
      <c r="J1512" s="1">
        <v>3.47</v>
      </c>
      <c r="K1512" s="1">
        <v>0.77</v>
      </c>
      <c r="L1512" s="1">
        <v>9.6999999999999993</v>
      </c>
      <c r="M1512" s="2">
        <v>6</v>
      </c>
      <c r="N1512" s="2" t="str" cm="1">
        <f t="array" ref="N1512">_xlfn.IFS(Table1[[#This Row],[quality]]&lt;=4,"Low",Table1[[#This Row],[quality]]&lt;=6,"Medium",Table1[[#This Row],[quality]]&gt;=7,"High")</f>
        <v>Medium</v>
      </c>
      <c r="O1512" s="2" t="str">
        <f>IF(AND(Table1[[#This Row],[fixed acidity]]&gt;Sheet1!$C$4,Table1[[#This Row],[pH]]&lt;Sheet1!$K$4),"High","Normal")</f>
        <v>Normal</v>
      </c>
      <c r="P1512" s="1">
        <f>(Table1[[#This Row],[alcohol]]*2)+(Table1[[#This Row],[sulphates]]*1.5)-(Table1[[#This Row],[volatile acidity]]*2)</f>
        <v>19.835000000000001</v>
      </c>
      <c r="Q1512" s="1">
        <f>RANK(Table1[[#This Row],[Quality_score_index]],Table1[Quality_score_index],0)</f>
        <v>897</v>
      </c>
      <c r="R1512" s="1">
        <f>Table1[[#This Row],[total sulfur dioxide]]-Table1[[#This Row],[free sulfur dioxide]]</f>
        <v>22</v>
      </c>
      <c r="S1512" s="1" t="str">
        <f>IF(AND(Table1[[#This Row],[pH]]&gt;=3.2,Table1[[#This Row],[alcohol]]&gt;=10),"White wine","Red wine")</f>
        <v>Red wine</v>
      </c>
    </row>
    <row r="1513" spans="1:19" x14ac:dyDescent="0.3">
      <c r="A1513" s="13">
        <v>1512</v>
      </c>
      <c r="B1513" s="1">
        <v>7.1</v>
      </c>
      <c r="C1513" s="1">
        <v>0.69</v>
      </c>
      <c r="D1513" s="1">
        <v>0.04</v>
      </c>
      <c r="E1513" s="1">
        <v>2.1</v>
      </c>
      <c r="F1513" s="1">
        <v>6.8000000000000005E-2</v>
      </c>
      <c r="G1513" s="1">
        <v>19</v>
      </c>
      <c r="H1513" s="1">
        <v>27</v>
      </c>
      <c r="I1513" s="1">
        <v>0.99712000000000001</v>
      </c>
      <c r="J1513" s="1">
        <v>3.44</v>
      </c>
      <c r="K1513" s="1">
        <v>0.67</v>
      </c>
      <c r="L1513" s="1">
        <v>9.8000000000000007</v>
      </c>
      <c r="M1513" s="2">
        <v>5</v>
      </c>
      <c r="N1513" s="2" t="str" cm="1">
        <f t="array" ref="N1513">_xlfn.IFS(Table1[[#This Row],[quality]]&lt;=4,"Low",Table1[[#This Row],[quality]]&lt;=6,"Medium",Table1[[#This Row],[quality]]&gt;=7,"High")</f>
        <v>Medium</v>
      </c>
      <c r="O1513" s="2" t="str">
        <f>IF(AND(Table1[[#This Row],[fixed acidity]]&gt;Sheet1!$C$4,Table1[[#This Row],[pH]]&lt;Sheet1!$K$4),"High","Normal")</f>
        <v>Normal</v>
      </c>
      <c r="P1513" s="1">
        <f>(Table1[[#This Row],[alcohol]]*2)+(Table1[[#This Row],[sulphates]]*1.5)-(Table1[[#This Row],[volatile acidity]]*2)</f>
        <v>19.225000000000001</v>
      </c>
      <c r="Q1513" s="1">
        <f>RANK(Table1[[#This Row],[Quality_score_index]],Table1[Quality_score_index],0)</f>
        <v>1071</v>
      </c>
      <c r="R1513" s="1">
        <f>Table1[[#This Row],[total sulfur dioxide]]-Table1[[#This Row],[free sulfur dioxide]]</f>
        <v>8</v>
      </c>
      <c r="S1513" s="1" t="str">
        <f>IF(AND(Table1[[#This Row],[pH]]&gt;=3.2,Table1[[#This Row],[alcohol]]&gt;=10),"White wine","Red wine")</f>
        <v>Red wine</v>
      </c>
    </row>
    <row r="1514" spans="1:19" x14ac:dyDescent="0.3">
      <c r="A1514" s="13">
        <v>1513</v>
      </c>
      <c r="B1514" s="1">
        <v>6.4</v>
      </c>
      <c r="C1514" s="1">
        <v>0.79</v>
      </c>
      <c r="D1514" s="1">
        <v>0.04</v>
      </c>
      <c r="E1514" s="1">
        <v>2.2000000000000002</v>
      </c>
      <c r="F1514" s="1">
        <v>6.0999999999999999E-2</v>
      </c>
      <c r="G1514" s="1">
        <v>11</v>
      </c>
      <c r="H1514" s="1">
        <v>17</v>
      </c>
      <c r="I1514" s="1">
        <v>0.99587999999999999</v>
      </c>
      <c r="J1514" s="1">
        <v>3.53</v>
      </c>
      <c r="K1514" s="1">
        <v>0.65</v>
      </c>
      <c r="L1514" s="1">
        <v>10.4</v>
      </c>
      <c r="M1514" s="2">
        <v>6</v>
      </c>
      <c r="N1514" s="2" t="str" cm="1">
        <f t="array" ref="N1514">_xlfn.IFS(Table1[[#This Row],[quality]]&lt;=4,"Low",Table1[[#This Row],[quality]]&lt;=6,"Medium",Table1[[#This Row],[quality]]&gt;=7,"High")</f>
        <v>Medium</v>
      </c>
      <c r="O1514" s="2" t="str">
        <f>IF(AND(Table1[[#This Row],[fixed acidity]]&gt;Sheet1!$C$4,Table1[[#This Row],[pH]]&lt;Sheet1!$K$4),"High","Normal")</f>
        <v>Normal</v>
      </c>
      <c r="P1514" s="1">
        <f>(Table1[[#This Row],[alcohol]]*2)+(Table1[[#This Row],[sulphates]]*1.5)-(Table1[[#This Row],[volatile acidity]]*2)</f>
        <v>20.195</v>
      </c>
      <c r="Q1514" s="1">
        <f>RANK(Table1[[#This Row],[Quality_score_index]],Table1[Quality_score_index],0)</f>
        <v>814</v>
      </c>
      <c r="R1514" s="1">
        <f>Table1[[#This Row],[total sulfur dioxide]]-Table1[[#This Row],[free sulfur dioxide]]</f>
        <v>6</v>
      </c>
      <c r="S1514" s="1" t="str">
        <f>IF(AND(Table1[[#This Row],[pH]]&gt;=3.2,Table1[[#This Row],[alcohol]]&gt;=10),"White wine","Red wine")</f>
        <v>White wine</v>
      </c>
    </row>
    <row r="1515" spans="1:19" x14ac:dyDescent="0.3">
      <c r="A1515" s="13">
        <v>1514</v>
      </c>
      <c r="B1515" s="1">
        <v>6.4</v>
      </c>
      <c r="C1515" s="1">
        <v>0.56000000000000005</v>
      </c>
      <c r="D1515" s="1">
        <v>0.15</v>
      </c>
      <c r="E1515" s="1">
        <v>1.8</v>
      </c>
      <c r="F1515" s="1">
        <v>7.8E-2</v>
      </c>
      <c r="G1515" s="1">
        <v>17</v>
      </c>
      <c r="H1515" s="1">
        <v>65</v>
      </c>
      <c r="I1515" s="1">
        <v>0.99294000000000004</v>
      </c>
      <c r="J1515" s="1">
        <v>3.33</v>
      </c>
      <c r="K1515" s="1">
        <v>0.6</v>
      </c>
      <c r="L1515" s="1">
        <v>10.5</v>
      </c>
      <c r="M1515" s="2">
        <v>6</v>
      </c>
      <c r="N1515" s="2" t="str" cm="1">
        <f t="array" ref="N1515">_xlfn.IFS(Table1[[#This Row],[quality]]&lt;=4,"Low",Table1[[#This Row],[quality]]&lt;=6,"Medium",Table1[[#This Row],[quality]]&gt;=7,"High")</f>
        <v>Medium</v>
      </c>
      <c r="O1515" s="2" t="str">
        <f>IF(AND(Table1[[#This Row],[fixed acidity]]&gt;Sheet1!$C$4,Table1[[#This Row],[pH]]&lt;Sheet1!$K$4),"High","Normal")</f>
        <v>Normal</v>
      </c>
      <c r="P1515" s="1">
        <f>(Table1[[#This Row],[alcohol]]*2)+(Table1[[#This Row],[sulphates]]*1.5)-(Table1[[#This Row],[volatile acidity]]*2)</f>
        <v>20.779999999999998</v>
      </c>
      <c r="Q1515" s="1">
        <f>RANK(Table1[[#This Row],[Quality_score_index]],Table1[Quality_score_index],0)</f>
        <v>708</v>
      </c>
      <c r="R1515" s="1">
        <f>Table1[[#This Row],[total sulfur dioxide]]-Table1[[#This Row],[free sulfur dioxide]]</f>
        <v>48</v>
      </c>
      <c r="S1515" s="1" t="str">
        <f>IF(AND(Table1[[#This Row],[pH]]&gt;=3.2,Table1[[#This Row],[alcohol]]&gt;=10),"White wine","Red wine")</f>
        <v>White wine</v>
      </c>
    </row>
    <row r="1516" spans="1:19" x14ac:dyDescent="0.3">
      <c r="A1516" s="13">
        <v>1515</v>
      </c>
      <c r="B1516" s="1">
        <v>6.9</v>
      </c>
      <c r="C1516" s="1">
        <v>0.84</v>
      </c>
      <c r="D1516" s="1">
        <v>0.21</v>
      </c>
      <c r="E1516" s="1">
        <v>4.0999999999999996</v>
      </c>
      <c r="F1516" s="1">
        <v>7.3999999999999996E-2</v>
      </c>
      <c r="G1516" s="1">
        <v>16</v>
      </c>
      <c r="H1516" s="1">
        <v>65</v>
      </c>
      <c r="I1516" s="1">
        <v>0.99841999999999997</v>
      </c>
      <c r="J1516" s="1">
        <v>3.53</v>
      </c>
      <c r="K1516" s="1">
        <v>0.72</v>
      </c>
      <c r="L1516" s="1">
        <v>9.2333333333333307</v>
      </c>
      <c r="M1516" s="2">
        <v>6</v>
      </c>
      <c r="N1516" s="2" t="str" cm="1">
        <f t="array" ref="N1516">_xlfn.IFS(Table1[[#This Row],[quality]]&lt;=4,"Low",Table1[[#This Row],[quality]]&lt;=6,"Medium",Table1[[#This Row],[quality]]&gt;=7,"High")</f>
        <v>Medium</v>
      </c>
      <c r="O1516" s="2" t="str">
        <f>IF(AND(Table1[[#This Row],[fixed acidity]]&gt;Sheet1!$C$4,Table1[[#This Row],[pH]]&lt;Sheet1!$K$4),"High","Normal")</f>
        <v>Normal</v>
      </c>
      <c r="P1516" s="1">
        <f>(Table1[[#This Row],[alcohol]]*2)+(Table1[[#This Row],[sulphates]]*1.5)-(Table1[[#This Row],[volatile acidity]]*2)</f>
        <v>17.86666666666666</v>
      </c>
      <c r="Q1516" s="1">
        <f>RANK(Table1[[#This Row],[Quality_score_index]],Table1[Quality_score_index],0)</f>
        <v>1543</v>
      </c>
      <c r="R1516" s="1">
        <f>Table1[[#This Row],[total sulfur dioxide]]-Table1[[#This Row],[free sulfur dioxide]]</f>
        <v>49</v>
      </c>
      <c r="S1516" s="1" t="str">
        <f>IF(AND(Table1[[#This Row],[pH]]&gt;=3.2,Table1[[#This Row],[alcohol]]&gt;=10),"White wine","Red wine")</f>
        <v>Red wine</v>
      </c>
    </row>
    <row r="1517" spans="1:19" x14ac:dyDescent="0.3">
      <c r="A1517" s="13">
        <v>1516</v>
      </c>
      <c r="B1517" s="1">
        <v>6.9</v>
      </c>
      <c r="C1517" s="1">
        <v>0.84</v>
      </c>
      <c r="D1517" s="1">
        <v>0.21</v>
      </c>
      <c r="E1517" s="1">
        <v>4.0999999999999996</v>
      </c>
      <c r="F1517" s="1">
        <v>7.3999999999999996E-2</v>
      </c>
      <c r="G1517" s="1">
        <v>16</v>
      </c>
      <c r="H1517" s="1">
        <v>65</v>
      </c>
      <c r="I1517" s="1">
        <v>0.99841999999999997</v>
      </c>
      <c r="J1517" s="1">
        <v>3.53</v>
      </c>
      <c r="K1517" s="1">
        <v>0.72</v>
      </c>
      <c r="L1517" s="1">
        <v>9.25</v>
      </c>
      <c r="M1517" s="2">
        <v>6</v>
      </c>
      <c r="N1517" s="2" t="str" cm="1">
        <f t="array" ref="N1517">_xlfn.IFS(Table1[[#This Row],[quality]]&lt;=4,"Low",Table1[[#This Row],[quality]]&lt;=6,"Medium",Table1[[#This Row],[quality]]&gt;=7,"High")</f>
        <v>Medium</v>
      </c>
      <c r="O1517" s="2" t="str">
        <f>IF(AND(Table1[[#This Row],[fixed acidity]]&gt;Sheet1!$C$4,Table1[[#This Row],[pH]]&lt;Sheet1!$K$4),"High","Normal")</f>
        <v>Normal</v>
      </c>
      <c r="P1517" s="1">
        <f>(Table1[[#This Row],[alcohol]]*2)+(Table1[[#This Row],[sulphates]]*1.5)-(Table1[[#This Row],[volatile acidity]]*2)</f>
        <v>17.899999999999999</v>
      </c>
      <c r="Q1517" s="1">
        <f>RANK(Table1[[#This Row],[Quality_score_index]],Table1[Quality_score_index],0)</f>
        <v>1536</v>
      </c>
      <c r="R1517" s="1">
        <f>Table1[[#This Row],[total sulfur dioxide]]-Table1[[#This Row],[free sulfur dioxide]]</f>
        <v>49</v>
      </c>
      <c r="S1517" s="1" t="str">
        <f>IF(AND(Table1[[#This Row],[pH]]&gt;=3.2,Table1[[#This Row],[alcohol]]&gt;=10),"White wine","Red wine")</f>
        <v>Red wine</v>
      </c>
    </row>
    <row r="1518" spans="1:19" x14ac:dyDescent="0.3">
      <c r="A1518" s="13">
        <v>1517</v>
      </c>
      <c r="B1518" s="1">
        <v>6.1</v>
      </c>
      <c r="C1518" s="1">
        <v>0.32</v>
      </c>
      <c r="D1518" s="1">
        <v>0.25</v>
      </c>
      <c r="E1518" s="1">
        <v>2.2999999999999998</v>
      </c>
      <c r="F1518" s="1">
        <v>7.0999999999999994E-2</v>
      </c>
      <c r="G1518" s="1">
        <v>23</v>
      </c>
      <c r="H1518" s="1">
        <v>58</v>
      </c>
      <c r="I1518" s="1">
        <v>0.99633000000000005</v>
      </c>
      <c r="J1518" s="1">
        <v>3.42</v>
      </c>
      <c r="K1518" s="1">
        <v>0.97</v>
      </c>
      <c r="L1518" s="1">
        <v>10.6</v>
      </c>
      <c r="M1518" s="2">
        <v>5</v>
      </c>
      <c r="N1518" s="2" t="str" cm="1">
        <f t="array" ref="N1518">_xlfn.IFS(Table1[[#This Row],[quality]]&lt;=4,"Low",Table1[[#This Row],[quality]]&lt;=6,"Medium",Table1[[#This Row],[quality]]&gt;=7,"High")</f>
        <v>Medium</v>
      </c>
      <c r="O1518" s="2" t="str">
        <f>IF(AND(Table1[[#This Row],[fixed acidity]]&gt;Sheet1!$C$4,Table1[[#This Row],[pH]]&lt;Sheet1!$K$4),"High","Normal")</f>
        <v>Normal</v>
      </c>
      <c r="P1518" s="1">
        <f>(Table1[[#This Row],[alcohol]]*2)+(Table1[[#This Row],[sulphates]]*1.5)-(Table1[[#This Row],[volatile acidity]]*2)</f>
        <v>22.015000000000001</v>
      </c>
      <c r="Q1518" s="1">
        <f>RANK(Table1[[#This Row],[Quality_score_index]],Table1[Quality_score_index],0)</f>
        <v>454</v>
      </c>
      <c r="R1518" s="1">
        <f>Table1[[#This Row],[total sulfur dioxide]]-Table1[[#This Row],[free sulfur dioxide]]</f>
        <v>35</v>
      </c>
      <c r="S1518" s="1" t="str">
        <f>IF(AND(Table1[[#This Row],[pH]]&gt;=3.2,Table1[[#This Row],[alcohol]]&gt;=10),"White wine","Red wine")</f>
        <v>White wine</v>
      </c>
    </row>
    <row r="1519" spans="1:19" x14ac:dyDescent="0.3">
      <c r="A1519" s="13">
        <v>1518</v>
      </c>
      <c r="B1519" s="1">
        <v>6.5</v>
      </c>
      <c r="C1519" s="1">
        <v>0.53</v>
      </c>
      <c r="D1519" s="1">
        <v>0.06</v>
      </c>
      <c r="E1519" s="1">
        <v>2</v>
      </c>
      <c r="F1519" s="1">
        <v>6.3E-2</v>
      </c>
      <c r="G1519" s="1">
        <v>29</v>
      </c>
      <c r="H1519" s="1">
        <v>44</v>
      </c>
      <c r="I1519" s="1">
        <v>0.99489000000000005</v>
      </c>
      <c r="J1519" s="1">
        <v>3.38</v>
      </c>
      <c r="K1519" s="1">
        <v>0.83</v>
      </c>
      <c r="L1519" s="1">
        <v>10.3</v>
      </c>
      <c r="M1519" s="2">
        <v>6</v>
      </c>
      <c r="N1519" s="2" t="str" cm="1">
        <f t="array" ref="N1519">_xlfn.IFS(Table1[[#This Row],[quality]]&lt;=4,"Low",Table1[[#This Row],[quality]]&lt;=6,"Medium",Table1[[#This Row],[quality]]&gt;=7,"High")</f>
        <v>Medium</v>
      </c>
      <c r="O1519" s="2" t="str">
        <f>IF(AND(Table1[[#This Row],[fixed acidity]]&gt;Sheet1!$C$4,Table1[[#This Row],[pH]]&lt;Sheet1!$K$4),"High","Normal")</f>
        <v>Normal</v>
      </c>
      <c r="P1519" s="1">
        <f>(Table1[[#This Row],[alcohol]]*2)+(Table1[[#This Row],[sulphates]]*1.5)-(Table1[[#This Row],[volatile acidity]]*2)</f>
        <v>20.785000000000004</v>
      </c>
      <c r="Q1519" s="1">
        <f>RANK(Table1[[#This Row],[Quality_score_index]],Table1[Quality_score_index],0)</f>
        <v>704</v>
      </c>
      <c r="R1519" s="1">
        <f>Table1[[#This Row],[total sulfur dioxide]]-Table1[[#This Row],[free sulfur dioxide]]</f>
        <v>15</v>
      </c>
      <c r="S1519" s="1" t="str">
        <f>IF(AND(Table1[[#This Row],[pH]]&gt;=3.2,Table1[[#This Row],[alcohol]]&gt;=10),"White wine","Red wine")</f>
        <v>White wine</v>
      </c>
    </row>
    <row r="1520" spans="1:19" x14ac:dyDescent="0.3">
      <c r="A1520" s="13">
        <v>1519</v>
      </c>
      <c r="B1520" s="1">
        <v>7.4</v>
      </c>
      <c r="C1520" s="1">
        <v>0.47</v>
      </c>
      <c r="D1520" s="1">
        <v>0.46</v>
      </c>
      <c r="E1520" s="1">
        <v>2.2000000000000002</v>
      </c>
      <c r="F1520" s="1">
        <v>0.114</v>
      </c>
      <c r="G1520" s="1">
        <v>7</v>
      </c>
      <c r="H1520" s="1">
        <v>20</v>
      </c>
      <c r="I1520" s="1">
        <v>0.99646999999999997</v>
      </c>
      <c r="J1520" s="1">
        <v>3.32</v>
      </c>
      <c r="K1520" s="1">
        <v>0.63</v>
      </c>
      <c r="L1520" s="1">
        <v>10.5</v>
      </c>
      <c r="M1520" s="2">
        <v>5</v>
      </c>
      <c r="N1520" s="2" t="str" cm="1">
        <f t="array" ref="N1520">_xlfn.IFS(Table1[[#This Row],[quality]]&lt;=4,"Low",Table1[[#This Row],[quality]]&lt;=6,"Medium",Table1[[#This Row],[quality]]&gt;=7,"High")</f>
        <v>Medium</v>
      </c>
      <c r="O1520" s="2" t="str">
        <f>IF(AND(Table1[[#This Row],[fixed acidity]]&gt;Sheet1!$C$4,Table1[[#This Row],[pH]]&lt;Sheet1!$K$4),"High","Normal")</f>
        <v>Normal</v>
      </c>
      <c r="P1520" s="1">
        <f>(Table1[[#This Row],[alcohol]]*2)+(Table1[[#This Row],[sulphates]]*1.5)-(Table1[[#This Row],[volatile acidity]]*2)</f>
        <v>21.004999999999999</v>
      </c>
      <c r="Q1520" s="1">
        <f>RANK(Table1[[#This Row],[Quality_score_index]],Table1[Quality_score_index],0)</f>
        <v>652</v>
      </c>
      <c r="R1520" s="1">
        <f>Table1[[#This Row],[total sulfur dioxide]]-Table1[[#This Row],[free sulfur dioxide]]</f>
        <v>13</v>
      </c>
      <c r="S1520" s="1" t="str">
        <f>IF(AND(Table1[[#This Row],[pH]]&gt;=3.2,Table1[[#This Row],[alcohol]]&gt;=10),"White wine","Red wine")</f>
        <v>White wine</v>
      </c>
    </row>
    <row r="1521" spans="1:19" x14ac:dyDescent="0.3">
      <c r="A1521" s="13">
        <v>1520</v>
      </c>
      <c r="B1521" s="1">
        <v>6.6</v>
      </c>
      <c r="C1521" s="1">
        <v>0.7</v>
      </c>
      <c r="D1521" s="1">
        <v>0.08</v>
      </c>
      <c r="E1521" s="1">
        <v>2.6</v>
      </c>
      <c r="F1521" s="1">
        <v>0.106</v>
      </c>
      <c r="G1521" s="1">
        <v>14</v>
      </c>
      <c r="H1521" s="1">
        <v>27</v>
      </c>
      <c r="I1521" s="1">
        <v>0.99665000000000004</v>
      </c>
      <c r="J1521" s="1">
        <v>3.44</v>
      </c>
      <c r="K1521" s="1">
        <v>0.57999999999999996</v>
      </c>
      <c r="L1521" s="1">
        <v>10.199999999999999</v>
      </c>
      <c r="M1521" s="2">
        <v>5</v>
      </c>
      <c r="N1521" s="2" t="str" cm="1">
        <f t="array" ref="N1521">_xlfn.IFS(Table1[[#This Row],[quality]]&lt;=4,"Low",Table1[[#This Row],[quality]]&lt;=6,"Medium",Table1[[#This Row],[quality]]&gt;=7,"High")</f>
        <v>Medium</v>
      </c>
      <c r="O1521" s="2" t="str">
        <f>IF(AND(Table1[[#This Row],[fixed acidity]]&gt;Sheet1!$C$4,Table1[[#This Row],[pH]]&lt;Sheet1!$K$4),"High","Normal")</f>
        <v>Normal</v>
      </c>
      <c r="P1521" s="1">
        <f>(Table1[[#This Row],[alcohol]]*2)+(Table1[[#This Row],[sulphates]]*1.5)-(Table1[[#This Row],[volatile acidity]]*2)</f>
        <v>19.87</v>
      </c>
      <c r="Q1521" s="1">
        <f>RANK(Table1[[#This Row],[Quality_score_index]],Table1[Quality_score_index],0)</f>
        <v>887</v>
      </c>
      <c r="R1521" s="1">
        <f>Table1[[#This Row],[total sulfur dioxide]]-Table1[[#This Row],[free sulfur dioxide]]</f>
        <v>13</v>
      </c>
      <c r="S1521" s="1" t="str">
        <f>IF(AND(Table1[[#This Row],[pH]]&gt;=3.2,Table1[[#This Row],[alcohol]]&gt;=10),"White wine","Red wine")</f>
        <v>White wine</v>
      </c>
    </row>
    <row r="1522" spans="1:19" x14ac:dyDescent="0.3">
      <c r="A1522" s="13">
        <v>1521</v>
      </c>
      <c r="B1522" s="1">
        <v>6.5</v>
      </c>
      <c r="C1522" s="1">
        <v>0.53</v>
      </c>
      <c r="D1522" s="1">
        <v>0.06</v>
      </c>
      <c r="E1522" s="1">
        <v>2</v>
      </c>
      <c r="F1522" s="1">
        <v>6.3E-2</v>
      </c>
      <c r="G1522" s="1">
        <v>29</v>
      </c>
      <c r="H1522" s="1">
        <v>44</v>
      </c>
      <c r="I1522" s="1">
        <v>0.99489000000000005</v>
      </c>
      <c r="J1522" s="1">
        <v>3.38</v>
      </c>
      <c r="K1522" s="1">
        <v>0.83</v>
      </c>
      <c r="L1522" s="1">
        <v>10.3</v>
      </c>
      <c r="M1522" s="2">
        <v>6</v>
      </c>
      <c r="N1522" s="2" t="str" cm="1">
        <f t="array" ref="N1522">_xlfn.IFS(Table1[[#This Row],[quality]]&lt;=4,"Low",Table1[[#This Row],[quality]]&lt;=6,"Medium",Table1[[#This Row],[quality]]&gt;=7,"High")</f>
        <v>Medium</v>
      </c>
      <c r="O1522" s="2" t="str">
        <f>IF(AND(Table1[[#This Row],[fixed acidity]]&gt;Sheet1!$C$4,Table1[[#This Row],[pH]]&lt;Sheet1!$K$4),"High","Normal")</f>
        <v>Normal</v>
      </c>
      <c r="P1522" s="1">
        <f>(Table1[[#This Row],[alcohol]]*2)+(Table1[[#This Row],[sulphates]]*1.5)-(Table1[[#This Row],[volatile acidity]]*2)</f>
        <v>20.785000000000004</v>
      </c>
      <c r="Q1522" s="1">
        <f>RANK(Table1[[#This Row],[Quality_score_index]],Table1[Quality_score_index],0)</f>
        <v>704</v>
      </c>
      <c r="R1522" s="1">
        <f>Table1[[#This Row],[total sulfur dioxide]]-Table1[[#This Row],[free sulfur dioxide]]</f>
        <v>15</v>
      </c>
      <c r="S1522" s="1" t="str">
        <f>IF(AND(Table1[[#This Row],[pH]]&gt;=3.2,Table1[[#This Row],[alcohol]]&gt;=10),"White wine","Red wine")</f>
        <v>White wine</v>
      </c>
    </row>
    <row r="1523" spans="1:19" x14ac:dyDescent="0.3">
      <c r="A1523" s="13">
        <v>1522</v>
      </c>
      <c r="B1523" s="1">
        <v>6.9</v>
      </c>
      <c r="C1523" s="1">
        <v>0.48</v>
      </c>
      <c r="D1523" s="1">
        <v>0.2</v>
      </c>
      <c r="E1523" s="1">
        <v>1.9</v>
      </c>
      <c r="F1523" s="1">
        <v>8.2000000000000003E-2</v>
      </c>
      <c r="G1523" s="1">
        <v>9</v>
      </c>
      <c r="H1523" s="1">
        <v>23</v>
      </c>
      <c r="I1523" s="1">
        <v>0.99585000000000001</v>
      </c>
      <c r="J1523" s="1">
        <v>3.39</v>
      </c>
      <c r="K1523" s="1">
        <v>0.43</v>
      </c>
      <c r="L1523" s="1">
        <v>9.0500000000000007</v>
      </c>
      <c r="M1523" s="2">
        <v>4</v>
      </c>
      <c r="N1523" s="2" t="str" cm="1">
        <f t="array" ref="N1523">_xlfn.IFS(Table1[[#This Row],[quality]]&lt;=4,"Low",Table1[[#This Row],[quality]]&lt;=6,"Medium",Table1[[#This Row],[quality]]&gt;=7,"High")</f>
        <v>Low</v>
      </c>
      <c r="O1523" s="2" t="str">
        <f>IF(AND(Table1[[#This Row],[fixed acidity]]&gt;Sheet1!$C$4,Table1[[#This Row],[pH]]&lt;Sheet1!$K$4),"High","Normal")</f>
        <v>Normal</v>
      </c>
      <c r="P1523" s="1">
        <f>(Table1[[#This Row],[alcohol]]*2)+(Table1[[#This Row],[sulphates]]*1.5)-(Table1[[#This Row],[volatile acidity]]*2)</f>
        <v>17.785</v>
      </c>
      <c r="Q1523" s="1">
        <f>RANK(Table1[[#This Row],[Quality_score_index]],Table1[Quality_score_index],0)</f>
        <v>1559</v>
      </c>
      <c r="R1523" s="1">
        <f>Table1[[#This Row],[total sulfur dioxide]]-Table1[[#This Row],[free sulfur dioxide]]</f>
        <v>14</v>
      </c>
      <c r="S1523" s="1" t="str">
        <f>IF(AND(Table1[[#This Row],[pH]]&gt;=3.2,Table1[[#This Row],[alcohol]]&gt;=10),"White wine","Red wine")</f>
        <v>Red wine</v>
      </c>
    </row>
    <row r="1524" spans="1:19" x14ac:dyDescent="0.3">
      <c r="A1524" s="13">
        <v>1523</v>
      </c>
      <c r="B1524" s="1">
        <v>6.1</v>
      </c>
      <c r="C1524" s="1">
        <v>0.32</v>
      </c>
      <c r="D1524" s="1">
        <v>0.25</v>
      </c>
      <c r="E1524" s="1">
        <v>2.2999999999999998</v>
      </c>
      <c r="F1524" s="1">
        <v>7.0999999999999994E-2</v>
      </c>
      <c r="G1524" s="1">
        <v>23</v>
      </c>
      <c r="H1524" s="1">
        <v>58</v>
      </c>
      <c r="I1524" s="1">
        <v>0.99633000000000005</v>
      </c>
      <c r="J1524" s="1">
        <v>3.42</v>
      </c>
      <c r="K1524" s="1">
        <v>0.97</v>
      </c>
      <c r="L1524" s="1">
        <v>10.6</v>
      </c>
      <c r="M1524" s="2">
        <v>5</v>
      </c>
      <c r="N1524" s="2" t="str" cm="1">
        <f t="array" ref="N1524">_xlfn.IFS(Table1[[#This Row],[quality]]&lt;=4,"Low",Table1[[#This Row],[quality]]&lt;=6,"Medium",Table1[[#This Row],[quality]]&gt;=7,"High")</f>
        <v>Medium</v>
      </c>
      <c r="O1524" s="2" t="str">
        <f>IF(AND(Table1[[#This Row],[fixed acidity]]&gt;Sheet1!$C$4,Table1[[#This Row],[pH]]&lt;Sheet1!$K$4),"High","Normal")</f>
        <v>Normal</v>
      </c>
      <c r="P1524" s="1">
        <f>(Table1[[#This Row],[alcohol]]*2)+(Table1[[#This Row],[sulphates]]*1.5)-(Table1[[#This Row],[volatile acidity]]*2)</f>
        <v>22.015000000000001</v>
      </c>
      <c r="Q1524" s="1">
        <f>RANK(Table1[[#This Row],[Quality_score_index]],Table1[Quality_score_index],0)</f>
        <v>454</v>
      </c>
      <c r="R1524" s="1">
        <f>Table1[[#This Row],[total sulfur dioxide]]-Table1[[#This Row],[free sulfur dioxide]]</f>
        <v>35</v>
      </c>
      <c r="S1524" s="1" t="str">
        <f>IF(AND(Table1[[#This Row],[pH]]&gt;=3.2,Table1[[#This Row],[alcohol]]&gt;=10),"White wine","Red wine")</f>
        <v>White wine</v>
      </c>
    </row>
    <row r="1525" spans="1:19" x14ac:dyDescent="0.3">
      <c r="A1525" s="13">
        <v>1524</v>
      </c>
      <c r="B1525" s="1">
        <v>6.8</v>
      </c>
      <c r="C1525" s="1">
        <v>0.48</v>
      </c>
      <c r="D1525" s="1">
        <v>0.25</v>
      </c>
      <c r="E1525" s="1">
        <v>2</v>
      </c>
      <c r="F1525" s="1">
        <v>7.5999999999999998E-2</v>
      </c>
      <c r="G1525" s="1">
        <v>29</v>
      </c>
      <c r="H1525" s="1">
        <v>61</v>
      </c>
      <c r="I1525" s="1">
        <v>0.99529999999999996</v>
      </c>
      <c r="J1525" s="1">
        <v>3.34</v>
      </c>
      <c r="K1525" s="1">
        <v>0.6</v>
      </c>
      <c r="L1525" s="1">
        <v>10.4</v>
      </c>
      <c r="M1525" s="2">
        <v>5</v>
      </c>
      <c r="N1525" s="2" t="str" cm="1">
        <f t="array" ref="N1525">_xlfn.IFS(Table1[[#This Row],[quality]]&lt;=4,"Low",Table1[[#This Row],[quality]]&lt;=6,"Medium",Table1[[#This Row],[quality]]&gt;=7,"High")</f>
        <v>Medium</v>
      </c>
      <c r="O1525" s="2" t="str">
        <f>IF(AND(Table1[[#This Row],[fixed acidity]]&gt;Sheet1!$C$4,Table1[[#This Row],[pH]]&lt;Sheet1!$K$4),"High","Normal")</f>
        <v>Normal</v>
      </c>
      <c r="P1525" s="1">
        <f>(Table1[[#This Row],[alcohol]]*2)+(Table1[[#This Row],[sulphates]]*1.5)-(Table1[[#This Row],[volatile acidity]]*2)</f>
        <v>20.74</v>
      </c>
      <c r="Q1525" s="1">
        <f>RANK(Table1[[#This Row],[Quality_score_index]],Table1[Quality_score_index],0)</f>
        <v>718</v>
      </c>
      <c r="R1525" s="1">
        <f>Table1[[#This Row],[total sulfur dioxide]]-Table1[[#This Row],[free sulfur dioxide]]</f>
        <v>32</v>
      </c>
      <c r="S1525" s="1" t="str">
        <f>IF(AND(Table1[[#This Row],[pH]]&gt;=3.2,Table1[[#This Row],[alcohol]]&gt;=10),"White wine","Red wine")</f>
        <v>White wine</v>
      </c>
    </row>
    <row r="1526" spans="1:19" x14ac:dyDescent="0.3">
      <c r="A1526" s="13">
        <v>1525</v>
      </c>
      <c r="B1526" s="1">
        <v>6</v>
      </c>
      <c r="C1526" s="1">
        <v>0.42</v>
      </c>
      <c r="D1526" s="1">
        <v>0.19</v>
      </c>
      <c r="E1526" s="1">
        <v>2</v>
      </c>
      <c r="F1526" s="1">
        <v>7.4999999999999997E-2</v>
      </c>
      <c r="G1526" s="1">
        <v>22</v>
      </c>
      <c r="H1526" s="1">
        <v>47</v>
      </c>
      <c r="I1526" s="1">
        <v>0.99521999999999999</v>
      </c>
      <c r="J1526" s="1">
        <v>3.39</v>
      </c>
      <c r="K1526" s="1">
        <v>0.78</v>
      </c>
      <c r="L1526" s="1">
        <v>10</v>
      </c>
      <c r="M1526" s="2">
        <v>6</v>
      </c>
      <c r="N1526" s="2" t="str" cm="1">
        <f t="array" ref="N1526">_xlfn.IFS(Table1[[#This Row],[quality]]&lt;=4,"Low",Table1[[#This Row],[quality]]&lt;=6,"Medium",Table1[[#This Row],[quality]]&gt;=7,"High")</f>
        <v>Medium</v>
      </c>
      <c r="O1526" s="2" t="str">
        <f>IF(AND(Table1[[#This Row],[fixed acidity]]&gt;Sheet1!$C$4,Table1[[#This Row],[pH]]&lt;Sheet1!$K$4),"High","Normal")</f>
        <v>Normal</v>
      </c>
      <c r="P1526" s="1">
        <f>(Table1[[#This Row],[alcohol]]*2)+(Table1[[#This Row],[sulphates]]*1.5)-(Table1[[#This Row],[volatile acidity]]*2)</f>
        <v>20.330000000000002</v>
      </c>
      <c r="Q1526" s="1">
        <f>RANK(Table1[[#This Row],[Quality_score_index]],Table1[Quality_score_index],0)</f>
        <v>785</v>
      </c>
      <c r="R1526" s="1">
        <f>Table1[[#This Row],[total sulfur dioxide]]-Table1[[#This Row],[free sulfur dioxide]]</f>
        <v>25</v>
      </c>
      <c r="S1526" s="1" t="str">
        <f>IF(AND(Table1[[#This Row],[pH]]&gt;=3.2,Table1[[#This Row],[alcohol]]&gt;=10),"White wine","Red wine")</f>
        <v>White wine</v>
      </c>
    </row>
    <row r="1527" spans="1:19" x14ac:dyDescent="0.3">
      <c r="A1527" s="13">
        <v>1526</v>
      </c>
      <c r="B1527" s="1">
        <v>6.7</v>
      </c>
      <c r="C1527" s="1">
        <v>0.48</v>
      </c>
      <c r="D1527" s="1">
        <v>0.08</v>
      </c>
      <c r="E1527" s="1">
        <v>2.1</v>
      </c>
      <c r="F1527" s="1">
        <v>6.4000000000000001E-2</v>
      </c>
      <c r="G1527" s="1">
        <v>18</v>
      </c>
      <c r="H1527" s="1">
        <v>34</v>
      </c>
      <c r="I1527" s="1">
        <v>0.99551999999999996</v>
      </c>
      <c r="J1527" s="1">
        <v>3.33</v>
      </c>
      <c r="K1527" s="1">
        <v>0.64</v>
      </c>
      <c r="L1527" s="1">
        <v>9.6999999999999993</v>
      </c>
      <c r="M1527" s="2">
        <v>5</v>
      </c>
      <c r="N1527" s="2" t="str" cm="1">
        <f t="array" ref="N1527">_xlfn.IFS(Table1[[#This Row],[quality]]&lt;=4,"Low",Table1[[#This Row],[quality]]&lt;=6,"Medium",Table1[[#This Row],[quality]]&gt;=7,"High")</f>
        <v>Medium</v>
      </c>
      <c r="O1527" s="2" t="str">
        <f>IF(AND(Table1[[#This Row],[fixed acidity]]&gt;Sheet1!$C$4,Table1[[#This Row],[pH]]&lt;Sheet1!$K$4),"High","Normal")</f>
        <v>Normal</v>
      </c>
      <c r="P1527" s="1">
        <f>(Table1[[#This Row],[alcohol]]*2)+(Table1[[#This Row],[sulphates]]*1.5)-(Table1[[#This Row],[volatile acidity]]*2)</f>
        <v>19.399999999999999</v>
      </c>
      <c r="Q1527" s="1">
        <f>RANK(Table1[[#This Row],[Quality_score_index]],Table1[Quality_score_index],0)</f>
        <v>1006</v>
      </c>
      <c r="R1527" s="1">
        <f>Table1[[#This Row],[total sulfur dioxide]]-Table1[[#This Row],[free sulfur dioxide]]</f>
        <v>16</v>
      </c>
      <c r="S1527" s="1" t="str">
        <f>IF(AND(Table1[[#This Row],[pH]]&gt;=3.2,Table1[[#This Row],[alcohol]]&gt;=10),"White wine","Red wine")</f>
        <v>Red wine</v>
      </c>
    </row>
    <row r="1528" spans="1:19" x14ac:dyDescent="0.3">
      <c r="A1528" s="13">
        <v>1527</v>
      </c>
      <c r="B1528" s="1">
        <v>6.8</v>
      </c>
      <c r="C1528" s="1">
        <v>0.47</v>
      </c>
      <c r="D1528" s="1">
        <v>0.08</v>
      </c>
      <c r="E1528" s="1">
        <v>2.2000000000000002</v>
      </c>
      <c r="F1528" s="1">
        <v>6.4000000000000001E-2</v>
      </c>
      <c r="G1528" s="1">
        <v>18</v>
      </c>
      <c r="H1528" s="1">
        <v>38</v>
      </c>
      <c r="I1528" s="1">
        <v>0.99553000000000003</v>
      </c>
      <c r="J1528" s="1">
        <v>3.3</v>
      </c>
      <c r="K1528" s="1">
        <v>0.65</v>
      </c>
      <c r="L1528" s="1">
        <v>9.6</v>
      </c>
      <c r="M1528" s="2">
        <v>6</v>
      </c>
      <c r="N1528" s="2" t="str" cm="1">
        <f t="array" ref="N1528">_xlfn.IFS(Table1[[#This Row],[quality]]&lt;=4,"Low",Table1[[#This Row],[quality]]&lt;=6,"Medium",Table1[[#This Row],[quality]]&gt;=7,"High")</f>
        <v>Medium</v>
      </c>
      <c r="O1528" s="2" t="str">
        <f>IF(AND(Table1[[#This Row],[fixed acidity]]&gt;Sheet1!$C$4,Table1[[#This Row],[pH]]&lt;Sheet1!$K$4),"High","Normal")</f>
        <v>Normal</v>
      </c>
      <c r="P1528" s="1">
        <f>(Table1[[#This Row],[alcohol]]*2)+(Table1[[#This Row],[sulphates]]*1.5)-(Table1[[#This Row],[volatile acidity]]*2)</f>
        <v>19.234999999999999</v>
      </c>
      <c r="Q1528" s="1">
        <f>RANK(Table1[[#This Row],[Quality_score_index]],Table1[Quality_score_index],0)</f>
        <v>1066</v>
      </c>
      <c r="R1528" s="1">
        <f>Table1[[#This Row],[total sulfur dioxide]]-Table1[[#This Row],[free sulfur dioxide]]</f>
        <v>20</v>
      </c>
      <c r="S1528" s="1" t="str">
        <f>IF(AND(Table1[[#This Row],[pH]]&gt;=3.2,Table1[[#This Row],[alcohol]]&gt;=10),"White wine","Red wine")</f>
        <v>Red wine</v>
      </c>
    </row>
    <row r="1529" spans="1:19" x14ac:dyDescent="0.3">
      <c r="A1529" s="13">
        <v>1528</v>
      </c>
      <c r="B1529" s="1">
        <v>7.1</v>
      </c>
      <c r="C1529" s="1">
        <v>0.53</v>
      </c>
      <c r="D1529" s="1">
        <v>7.0000000000000007E-2</v>
      </c>
      <c r="E1529" s="1">
        <v>1.7</v>
      </c>
      <c r="F1529" s="1">
        <v>7.0999999999999994E-2</v>
      </c>
      <c r="G1529" s="1">
        <v>15</v>
      </c>
      <c r="H1529" s="1">
        <v>24</v>
      </c>
      <c r="I1529" s="1">
        <v>0.99509999999999998</v>
      </c>
      <c r="J1529" s="1">
        <v>3.29</v>
      </c>
      <c r="K1529" s="1">
        <v>0.66</v>
      </c>
      <c r="L1529" s="1">
        <v>10.8</v>
      </c>
      <c r="M1529" s="2">
        <v>6</v>
      </c>
      <c r="N1529" s="2" t="str" cm="1">
        <f t="array" ref="N1529">_xlfn.IFS(Table1[[#This Row],[quality]]&lt;=4,"Low",Table1[[#This Row],[quality]]&lt;=6,"Medium",Table1[[#This Row],[quality]]&gt;=7,"High")</f>
        <v>Medium</v>
      </c>
      <c r="O1529" s="2" t="str">
        <f>IF(AND(Table1[[#This Row],[fixed acidity]]&gt;Sheet1!$C$4,Table1[[#This Row],[pH]]&lt;Sheet1!$K$4),"High","Normal")</f>
        <v>Normal</v>
      </c>
      <c r="P1529" s="1">
        <f>(Table1[[#This Row],[alcohol]]*2)+(Table1[[#This Row],[sulphates]]*1.5)-(Table1[[#This Row],[volatile acidity]]*2)</f>
        <v>21.53</v>
      </c>
      <c r="Q1529" s="1">
        <f>RANK(Table1[[#This Row],[Quality_score_index]],Table1[Quality_score_index],0)</f>
        <v>538</v>
      </c>
      <c r="R1529" s="1">
        <f>Table1[[#This Row],[total sulfur dioxide]]-Table1[[#This Row],[free sulfur dioxide]]</f>
        <v>9</v>
      </c>
      <c r="S1529" s="1" t="str">
        <f>IF(AND(Table1[[#This Row],[pH]]&gt;=3.2,Table1[[#This Row],[alcohol]]&gt;=10),"White wine","Red wine")</f>
        <v>White wine</v>
      </c>
    </row>
    <row r="1530" spans="1:19" x14ac:dyDescent="0.3">
      <c r="A1530" s="13">
        <v>1529</v>
      </c>
      <c r="B1530" s="1">
        <v>7.9</v>
      </c>
      <c r="C1530" s="1">
        <v>0.28999999999999998</v>
      </c>
      <c r="D1530" s="1">
        <v>0.49</v>
      </c>
      <c r="E1530" s="1">
        <v>2.2000000000000002</v>
      </c>
      <c r="F1530" s="1">
        <v>9.6000000000000002E-2</v>
      </c>
      <c r="G1530" s="1">
        <v>21</v>
      </c>
      <c r="H1530" s="1">
        <v>59</v>
      </c>
      <c r="I1530" s="1">
        <v>0.99714000000000003</v>
      </c>
      <c r="J1530" s="1">
        <v>3.31</v>
      </c>
      <c r="K1530" s="1">
        <v>0.67</v>
      </c>
      <c r="L1530" s="1">
        <v>10.1</v>
      </c>
      <c r="M1530" s="2">
        <v>6</v>
      </c>
      <c r="N1530" s="2" t="str" cm="1">
        <f t="array" ref="N1530">_xlfn.IFS(Table1[[#This Row],[quality]]&lt;=4,"Low",Table1[[#This Row],[quality]]&lt;=6,"Medium",Table1[[#This Row],[quality]]&gt;=7,"High")</f>
        <v>Medium</v>
      </c>
      <c r="O1530" s="2" t="str">
        <f>IF(AND(Table1[[#This Row],[fixed acidity]]&gt;Sheet1!$C$4,Table1[[#This Row],[pH]]&lt;Sheet1!$K$4),"High","Normal")</f>
        <v>Normal</v>
      </c>
      <c r="P1530" s="1">
        <f>(Table1[[#This Row],[alcohol]]*2)+(Table1[[#This Row],[sulphates]]*1.5)-(Table1[[#This Row],[volatile acidity]]*2)</f>
        <v>20.625</v>
      </c>
      <c r="Q1530" s="1">
        <f>RANK(Table1[[#This Row],[Quality_score_index]],Table1[Quality_score_index],0)</f>
        <v>736</v>
      </c>
      <c r="R1530" s="1">
        <f>Table1[[#This Row],[total sulfur dioxide]]-Table1[[#This Row],[free sulfur dioxide]]</f>
        <v>38</v>
      </c>
      <c r="S1530" s="1" t="str">
        <f>IF(AND(Table1[[#This Row],[pH]]&gt;=3.2,Table1[[#This Row],[alcohol]]&gt;=10),"White wine","Red wine")</f>
        <v>White wine</v>
      </c>
    </row>
    <row r="1531" spans="1:19" x14ac:dyDescent="0.3">
      <c r="A1531" s="13">
        <v>1530</v>
      </c>
      <c r="B1531" s="1">
        <v>7.1</v>
      </c>
      <c r="C1531" s="1">
        <v>0.69</v>
      </c>
      <c r="D1531" s="1">
        <v>0.08</v>
      </c>
      <c r="E1531" s="1">
        <v>2.1</v>
      </c>
      <c r="F1531" s="1">
        <v>6.3E-2</v>
      </c>
      <c r="G1531" s="1">
        <v>42</v>
      </c>
      <c r="H1531" s="1">
        <v>52</v>
      </c>
      <c r="I1531" s="1">
        <v>0.99607999999999997</v>
      </c>
      <c r="J1531" s="1">
        <v>3.42</v>
      </c>
      <c r="K1531" s="1">
        <v>0.6</v>
      </c>
      <c r="L1531" s="1">
        <v>10.199999999999999</v>
      </c>
      <c r="M1531" s="2">
        <v>6</v>
      </c>
      <c r="N1531" s="2" t="str" cm="1">
        <f t="array" ref="N1531">_xlfn.IFS(Table1[[#This Row],[quality]]&lt;=4,"Low",Table1[[#This Row],[quality]]&lt;=6,"Medium",Table1[[#This Row],[quality]]&gt;=7,"High")</f>
        <v>Medium</v>
      </c>
      <c r="O1531" s="2" t="str">
        <f>IF(AND(Table1[[#This Row],[fixed acidity]]&gt;Sheet1!$C$4,Table1[[#This Row],[pH]]&lt;Sheet1!$K$4),"High","Normal")</f>
        <v>Normal</v>
      </c>
      <c r="P1531" s="1">
        <f>(Table1[[#This Row],[alcohol]]*2)+(Table1[[#This Row],[sulphates]]*1.5)-(Table1[[#This Row],[volatile acidity]]*2)</f>
        <v>19.919999999999998</v>
      </c>
      <c r="Q1531" s="1">
        <f>RANK(Table1[[#This Row],[Quality_score_index]],Table1[Quality_score_index],0)</f>
        <v>873</v>
      </c>
      <c r="R1531" s="1">
        <f>Table1[[#This Row],[total sulfur dioxide]]-Table1[[#This Row],[free sulfur dioxide]]</f>
        <v>10</v>
      </c>
      <c r="S1531" s="1" t="str">
        <f>IF(AND(Table1[[#This Row],[pH]]&gt;=3.2,Table1[[#This Row],[alcohol]]&gt;=10),"White wine","Red wine")</f>
        <v>White wine</v>
      </c>
    </row>
    <row r="1532" spans="1:19" x14ac:dyDescent="0.3">
      <c r="A1532" s="13">
        <v>1531</v>
      </c>
      <c r="B1532" s="1">
        <v>6.6</v>
      </c>
      <c r="C1532" s="1">
        <v>0.44</v>
      </c>
      <c r="D1532" s="1">
        <v>0.09</v>
      </c>
      <c r="E1532" s="1">
        <v>2.2000000000000002</v>
      </c>
      <c r="F1532" s="1">
        <v>6.3E-2</v>
      </c>
      <c r="G1532" s="1">
        <v>9</v>
      </c>
      <c r="H1532" s="1">
        <v>18</v>
      </c>
      <c r="I1532" s="1">
        <v>0.99443999999999999</v>
      </c>
      <c r="J1532" s="1">
        <v>3.42</v>
      </c>
      <c r="K1532" s="1">
        <v>0.69</v>
      </c>
      <c r="L1532" s="1">
        <v>11.3</v>
      </c>
      <c r="M1532" s="2">
        <v>6</v>
      </c>
      <c r="N1532" s="2" t="str" cm="1">
        <f t="array" ref="N1532">_xlfn.IFS(Table1[[#This Row],[quality]]&lt;=4,"Low",Table1[[#This Row],[quality]]&lt;=6,"Medium",Table1[[#This Row],[quality]]&gt;=7,"High")</f>
        <v>Medium</v>
      </c>
      <c r="O1532" s="2" t="str">
        <f>IF(AND(Table1[[#This Row],[fixed acidity]]&gt;Sheet1!$C$4,Table1[[#This Row],[pH]]&lt;Sheet1!$K$4),"High","Normal")</f>
        <v>Normal</v>
      </c>
      <c r="P1532" s="1">
        <f>(Table1[[#This Row],[alcohol]]*2)+(Table1[[#This Row],[sulphates]]*1.5)-(Table1[[#This Row],[volatile acidity]]*2)</f>
        <v>22.755000000000003</v>
      </c>
      <c r="Q1532" s="1">
        <f>RANK(Table1[[#This Row],[Quality_score_index]],Table1[Quality_score_index],0)</f>
        <v>319</v>
      </c>
      <c r="R1532" s="1">
        <f>Table1[[#This Row],[total sulfur dioxide]]-Table1[[#This Row],[free sulfur dioxide]]</f>
        <v>9</v>
      </c>
      <c r="S1532" s="1" t="str">
        <f>IF(AND(Table1[[#This Row],[pH]]&gt;=3.2,Table1[[#This Row],[alcohol]]&gt;=10),"White wine","Red wine")</f>
        <v>White wine</v>
      </c>
    </row>
    <row r="1533" spans="1:19" x14ac:dyDescent="0.3">
      <c r="A1533" s="13">
        <v>1532</v>
      </c>
      <c r="B1533" s="1">
        <v>6.1</v>
      </c>
      <c r="C1533" s="1">
        <v>0.70499999999999996</v>
      </c>
      <c r="D1533" s="1">
        <v>0.1</v>
      </c>
      <c r="E1533" s="1">
        <v>2.8</v>
      </c>
      <c r="F1533" s="1">
        <v>8.1000000000000003E-2</v>
      </c>
      <c r="G1533" s="1">
        <v>13</v>
      </c>
      <c r="H1533" s="1">
        <v>28</v>
      </c>
      <c r="I1533" s="1">
        <v>0.99631000000000003</v>
      </c>
      <c r="J1533" s="1">
        <v>3.6</v>
      </c>
      <c r="K1533" s="1">
        <v>0.66</v>
      </c>
      <c r="L1533" s="1">
        <v>10.199999999999999</v>
      </c>
      <c r="M1533" s="2">
        <v>5</v>
      </c>
      <c r="N1533" s="2" t="str" cm="1">
        <f t="array" ref="N1533">_xlfn.IFS(Table1[[#This Row],[quality]]&lt;=4,"Low",Table1[[#This Row],[quality]]&lt;=6,"Medium",Table1[[#This Row],[quality]]&gt;=7,"High")</f>
        <v>Medium</v>
      </c>
      <c r="O1533" s="2" t="str">
        <f>IF(AND(Table1[[#This Row],[fixed acidity]]&gt;Sheet1!$C$4,Table1[[#This Row],[pH]]&lt;Sheet1!$K$4),"High","Normal")</f>
        <v>Normal</v>
      </c>
      <c r="P1533" s="1">
        <f>(Table1[[#This Row],[alcohol]]*2)+(Table1[[#This Row],[sulphates]]*1.5)-(Table1[[#This Row],[volatile acidity]]*2)</f>
        <v>19.979999999999997</v>
      </c>
      <c r="Q1533" s="1">
        <f>RANK(Table1[[#This Row],[Quality_score_index]],Table1[Quality_score_index],0)</f>
        <v>857</v>
      </c>
      <c r="R1533" s="1">
        <f>Table1[[#This Row],[total sulfur dioxide]]-Table1[[#This Row],[free sulfur dioxide]]</f>
        <v>15</v>
      </c>
      <c r="S1533" s="1" t="str">
        <f>IF(AND(Table1[[#This Row],[pH]]&gt;=3.2,Table1[[#This Row],[alcohol]]&gt;=10),"White wine","Red wine")</f>
        <v>White wine</v>
      </c>
    </row>
    <row r="1534" spans="1:19" x14ac:dyDescent="0.3">
      <c r="A1534" s="13">
        <v>1533</v>
      </c>
      <c r="B1534" s="1">
        <v>7.2</v>
      </c>
      <c r="C1534" s="1">
        <v>0.53</v>
      </c>
      <c r="D1534" s="1">
        <v>0.13</v>
      </c>
      <c r="E1534" s="1">
        <v>2</v>
      </c>
      <c r="F1534" s="1">
        <v>5.8000000000000003E-2</v>
      </c>
      <c r="G1534" s="1">
        <v>18</v>
      </c>
      <c r="H1534" s="1">
        <v>22</v>
      </c>
      <c r="I1534" s="1">
        <v>0.99573</v>
      </c>
      <c r="J1534" s="1">
        <v>3.21</v>
      </c>
      <c r="K1534" s="1">
        <v>0.68</v>
      </c>
      <c r="L1534" s="1">
        <v>9.9</v>
      </c>
      <c r="M1534" s="2">
        <v>6</v>
      </c>
      <c r="N1534" s="2" t="str" cm="1">
        <f t="array" ref="N1534">_xlfn.IFS(Table1[[#This Row],[quality]]&lt;=4,"Low",Table1[[#This Row],[quality]]&lt;=6,"Medium",Table1[[#This Row],[quality]]&gt;=7,"High")</f>
        <v>Medium</v>
      </c>
      <c r="O1534" s="2" t="str">
        <f>IF(AND(Table1[[#This Row],[fixed acidity]]&gt;Sheet1!$C$4,Table1[[#This Row],[pH]]&lt;Sheet1!$K$4),"High","Normal")</f>
        <v>Normal</v>
      </c>
      <c r="P1534" s="1">
        <f>(Table1[[#This Row],[alcohol]]*2)+(Table1[[#This Row],[sulphates]]*1.5)-(Table1[[#This Row],[volatile acidity]]*2)</f>
        <v>19.760000000000002</v>
      </c>
      <c r="Q1534" s="1">
        <f>RANK(Table1[[#This Row],[Quality_score_index]],Table1[Quality_score_index],0)</f>
        <v>912</v>
      </c>
      <c r="R1534" s="1">
        <f>Table1[[#This Row],[total sulfur dioxide]]-Table1[[#This Row],[free sulfur dioxide]]</f>
        <v>4</v>
      </c>
      <c r="S1534" s="1" t="str">
        <f>IF(AND(Table1[[#This Row],[pH]]&gt;=3.2,Table1[[#This Row],[alcohol]]&gt;=10),"White wine","Red wine")</f>
        <v>Red wine</v>
      </c>
    </row>
    <row r="1535" spans="1:19" x14ac:dyDescent="0.3">
      <c r="A1535" s="13">
        <v>1534</v>
      </c>
      <c r="B1535" s="1">
        <v>8</v>
      </c>
      <c r="C1535" s="1">
        <v>0.39</v>
      </c>
      <c r="D1535" s="1">
        <v>0.3</v>
      </c>
      <c r="E1535" s="1">
        <v>1.9</v>
      </c>
      <c r="F1535" s="1">
        <v>7.3999999999999996E-2</v>
      </c>
      <c r="G1535" s="1">
        <v>32</v>
      </c>
      <c r="H1535" s="1">
        <v>84</v>
      </c>
      <c r="I1535" s="1">
        <v>0.99717</v>
      </c>
      <c r="J1535" s="1">
        <v>3.39</v>
      </c>
      <c r="K1535" s="1">
        <v>0.61</v>
      </c>
      <c r="L1535" s="1">
        <v>9</v>
      </c>
      <c r="M1535" s="2">
        <v>5</v>
      </c>
      <c r="N1535" s="2" t="str" cm="1">
        <f t="array" ref="N1535">_xlfn.IFS(Table1[[#This Row],[quality]]&lt;=4,"Low",Table1[[#This Row],[quality]]&lt;=6,"Medium",Table1[[#This Row],[quality]]&gt;=7,"High")</f>
        <v>Medium</v>
      </c>
      <c r="O1535" s="2" t="str">
        <f>IF(AND(Table1[[#This Row],[fixed acidity]]&gt;Sheet1!$C$4,Table1[[#This Row],[pH]]&lt;Sheet1!$K$4),"High","Normal")</f>
        <v>Normal</v>
      </c>
      <c r="P1535" s="1">
        <f>(Table1[[#This Row],[alcohol]]*2)+(Table1[[#This Row],[sulphates]]*1.5)-(Table1[[#This Row],[volatile acidity]]*2)</f>
        <v>18.134999999999998</v>
      </c>
      <c r="Q1535" s="1">
        <f>RANK(Table1[[#This Row],[Quality_score_index]],Table1[Quality_score_index],0)</f>
        <v>1495</v>
      </c>
      <c r="R1535" s="1">
        <f>Table1[[#This Row],[total sulfur dioxide]]-Table1[[#This Row],[free sulfur dioxide]]</f>
        <v>52</v>
      </c>
      <c r="S1535" s="1" t="str">
        <f>IF(AND(Table1[[#This Row],[pH]]&gt;=3.2,Table1[[#This Row],[alcohol]]&gt;=10),"White wine","Red wine")</f>
        <v>Red wine</v>
      </c>
    </row>
    <row r="1536" spans="1:19" x14ac:dyDescent="0.3">
      <c r="A1536" s="13">
        <v>1535</v>
      </c>
      <c r="B1536" s="1">
        <v>6.6</v>
      </c>
      <c r="C1536" s="1">
        <v>0.56000000000000005</v>
      </c>
      <c r="D1536" s="1">
        <v>0.14000000000000001</v>
      </c>
      <c r="E1536" s="1">
        <v>2.4</v>
      </c>
      <c r="F1536" s="1">
        <v>6.4000000000000001E-2</v>
      </c>
      <c r="G1536" s="1">
        <v>13</v>
      </c>
      <c r="H1536" s="1">
        <v>29</v>
      </c>
      <c r="I1536" s="1">
        <v>0.99397000000000002</v>
      </c>
      <c r="J1536" s="1">
        <v>3.42</v>
      </c>
      <c r="K1536" s="1">
        <v>0.62</v>
      </c>
      <c r="L1536" s="1">
        <v>11.7</v>
      </c>
      <c r="M1536" s="2">
        <v>7</v>
      </c>
      <c r="N1536" s="2" t="str" cm="1">
        <f t="array" ref="N1536">_xlfn.IFS(Table1[[#This Row],[quality]]&lt;=4,"Low",Table1[[#This Row],[quality]]&lt;=6,"Medium",Table1[[#This Row],[quality]]&gt;=7,"High")</f>
        <v>High</v>
      </c>
      <c r="O1536" s="2" t="str">
        <f>IF(AND(Table1[[#This Row],[fixed acidity]]&gt;Sheet1!$C$4,Table1[[#This Row],[pH]]&lt;Sheet1!$K$4),"High","Normal")</f>
        <v>Normal</v>
      </c>
      <c r="P1536" s="1">
        <f>(Table1[[#This Row],[alcohol]]*2)+(Table1[[#This Row],[sulphates]]*1.5)-(Table1[[#This Row],[volatile acidity]]*2)</f>
        <v>23.209999999999997</v>
      </c>
      <c r="Q1536" s="1">
        <f>RANK(Table1[[#This Row],[Quality_score_index]],Table1[Quality_score_index],0)</f>
        <v>244</v>
      </c>
      <c r="R1536" s="1">
        <f>Table1[[#This Row],[total sulfur dioxide]]-Table1[[#This Row],[free sulfur dioxide]]</f>
        <v>16</v>
      </c>
      <c r="S1536" s="1" t="str">
        <f>IF(AND(Table1[[#This Row],[pH]]&gt;=3.2,Table1[[#This Row],[alcohol]]&gt;=10),"White wine","Red wine")</f>
        <v>White wine</v>
      </c>
    </row>
    <row r="1537" spans="1:19" x14ac:dyDescent="0.3">
      <c r="A1537" s="13">
        <v>1536</v>
      </c>
      <c r="B1537" s="1">
        <v>7</v>
      </c>
      <c r="C1537" s="1">
        <v>0.55000000000000004</v>
      </c>
      <c r="D1537" s="1">
        <v>0.13</v>
      </c>
      <c r="E1537" s="1">
        <v>2.2000000000000002</v>
      </c>
      <c r="F1537" s="1">
        <v>7.4999999999999997E-2</v>
      </c>
      <c r="G1537" s="1">
        <v>15</v>
      </c>
      <c r="H1537" s="1">
        <v>35</v>
      </c>
      <c r="I1537" s="1">
        <v>0.99590000000000001</v>
      </c>
      <c r="J1537" s="1">
        <v>3.36</v>
      </c>
      <c r="K1537" s="1">
        <v>0.59</v>
      </c>
      <c r="L1537" s="1">
        <v>9.6999999999999993</v>
      </c>
      <c r="M1537" s="2">
        <v>6</v>
      </c>
      <c r="N1537" s="2" t="str" cm="1">
        <f t="array" ref="N1537">_xlfn.IFS(Table1[[#This Row],[quality]]&lt;=4,"Low",Table1[[#This Row],[quality]]&lt;=6,"Medium",Table1[[#This Row],[quality]]&gt;=7,"High")</f>
        <v>Medium</v>
      </c>
      <c r="O1537" s="2" t="str">
        <f>IF(AND(Table1[[#This Row],[fixed acidity]]&gt;Sheet1!$C$4,Table1[[#This Row],[pH]]&lt;Sheet1!$K$4),"High","Normal")</f>
        <v>Normal</v>
      </c>
      <c r="P1537" s="1">
        <f>(Table1[[#This Row],[alcohol]]*2)+(Table1[[#This Row],[sulphates]]*1.5)-(Table1[[#This Row],[volatile acidity]]*2)</f>
        <v>19.184999999999999</v>
      </c>
      <c r="Q1537" s="1">
        <f>RANK(Table1[[#This Row],[Quality_score_index]],Table1[Quality_score_index],0)</f>
        <v>1090</v>
      </c>
      <c r="R1537" s="1">
        <f>Table1[[#This Row],[total sulfur dioxide]]-Table1[[#This Row],[free sulfur dioxide]]</f>
        <v>20</v>
      </c>
      <c r="S1537" s="1" t="str">
        <f>IF(AND(Table1[[#This Row],[pH]]&gt;=3.2,Table1[[#This Row],[alcohol]]&gt;=10),"White wine","Red wine")</f>
        <v>Red wine</v>
      </c>
    </row>
    <row r="1538" spans="1:19" x14ac:dyDescent="0.3">
      <c r="A1538" s="13">
        <v>1537</v>
      </c>
      <c r="B1538" s="1">
        <v>6.1</v>
      </c>
      <c r="C1538" s="1">
        <v>0.53</v>
      </c>
      <c r="D1538" s="1">
        <v>0.08</v>
      </c>
      <c r="E1538" s="1">
        <v>1.9</v>
      </c>
      <c r="F1538" s="1">
        <v>7.6999999999999999E-2</v>
      </c>
      <c r="G1538" s="1">
        <v>24</v>
      </c>
      <c r="H1538" s="1">
        <v>45</v>
      </c>
      <c r="I1538" s="1">
        <v>0.99528000000000005</v>
      </c>
      <c r="J1538" s="1">
        <v>3.6</v>
      </c>
      <c r="K1538" s="1">
        <v>0.68</v>
      </c>
      <c r="L1538" s="1">
        <v>10.3</v>
      </c>
      <c r="M1538" s="2">
        <v>6</v>
      </c>
      <c r="N1538" s="2" t="str" cm="1">
        <f t="array" ref="N1538">_xlfn.IFS(Table1[[#This Row],[quality]]&lt;=4,"Low",Table1[[#This Row],[quality]]&lt;=6,"Medium",Table1[[#This Row],[quality]]&gt;=7,"High")</f>
        <v>Medium</v>
      </c>
      <c r="O1538" s="2" t="str">
        <f>IF(AND(Table1[[#This Row],[fixed acidity]]&gt;Sheet1!$C$4,Table1[[#This Row],[pH]]&lt;Sheet1!$K$4),"High","Normal")</f>
        <v>Normal</v>
      </c>
      <c r="P1538" s="1">
        <f>(Table1[[#This Row],[alcohol]]*2)+(Table1[[#This Row],[sulphates]]*1.5)-(Table1[[#This Row],[volatile acidity]]*2)</f>
        <v>20.560000000000002</v>
      </c>
      <c r="Q1538" s="1">
        <f>RANK(Table1[[#This Row],[Quality_score_index]],Table1[Quality_score_index],0)</f>
        <v>742</v>
      </c>
      <c r="R1538" s="1">
        <f>Table1[[#This Row],[total sulfur dioxide]]-Table1[[#This Row],[free sulfur dioxide]]</f>
        <v>21</v>
      </c>
      <c r="S1538" s="1" t="str">
        <f>IF(AND(Table1[[#This Row],[pH]]&gt;=3.2,Table1[[#This Row],[alcohol]]&gt;=10),"White wine","Red wine")</f>
        <v>White wine</v>
      </c>
    </row>
    <row r="1539" spans="1:19" x14ac:dyDescent="0.3">
      <c r="A1539" s="13">
        <v>1538</v>
      </c>
      <c r="B1539" s="1">
        <v>5.4</v>
      </c>
      <c r="C1539" s="1">
        <v>0.57999999999999996</v>
      </c>
      <c r="D1539" s="1">
        <v>0.08</v>
      </c>
      <c r="E1539" s="1">
        <v>1.9</v>
      </c>
      <c r="F1539" s="1">
        <v>5.8999999999999997E-2</v>
      </c>
      <c r="G1539" s="1">
        <v>20</v>
      </c>
      <c r="H1539" s="1">
        <v>31</v>
      </c>
      <c r="I1539" s="1">
        <v>0.99483999999999995</v>
      </c>
      <c r="J1539" s="1">
        <v>3.5</v>
      </c>
      <c r="K1539" s="1">
        <v>0.64</v>
      </c>
      <c r="L1539" s="1">
        <v>10.199999999999999</v>
      </c>
      <c r="M1539" s="2">
        <v>6</v>
      </c>
      <c r="N1539" s="2" t="str" cm="1">
        <f t="array" ref="N1539">_xlfn.IFS(Table1[[#This Row],[quality]]&lt;=4,"Low",Table1[[#This Row],[quality]]&lt;=6,"Medium",Table1[[#This Row],[quality]]&gt;=7,"High")</f>
        <v>Medium</v>
      </c>
      <c r="O1539" s="2" t="str">
        <f>IF(AND(Table1[[#This Row],[fixed acidity]]&gt;Sheet1!$C$4,Table1[[#This Row],[pH]]&lt;Sheet1!$K$4),"High","Normal")</f>
        <v>Normal</v>
      </c>
      <c r="P1539" s="1">
        <f>(Table1[[#This Row],[alcohol]]*2)+(Table1[[#This Row],[sulphates]]*1.5)-(Table1[[#This Row],[volatile acidity]]*2)</f>
        <v>20.2</v>
      </c>
      <c r="Q1539" s="1">
        <f>RANK(Table1[[#This Row],[Quality_score_index]],Table1[Quality_score_index],0)</f>
        <v>813</v>
      </c>
      <c r="R1539" s="1">
        <f>Table1[[#This Row],[total sulfur dioxide]]-Table1[[#This Row],[free sulfur dioxide]]</f>
        <v>11</v>
      </c>
      <c r="S1539" s="1" t="str">
        <f>IF(AND(Table1[[#This Row],[pH]]&gt;=3.2,Table1[[#This Row],[alcohol]]&gt;=10),"White wine","Red wine")</f>
        <v>White wine</v>
      </c>
    </row>
    <row r="1540" spans="1:19" x14ac:dyDescent="0.3">
      <c r="A1540" s="13">
        <v>1539</v>
      </c>
      <c r="B1540" s="1">
        <v>6.2</v>
      </c>
      <c r="C1540" s="1">
        <v>0.64</v>
      </c>
      <c r="D1540" s="1">
        <v>0.09</v>
      </c>
      <c r="E1540" s="1">
        <v>2.5</v>
      </c>
      <c r="F1540" s="1">
        <v>8.1000000000000003E-2</v>
      </c>
      <c r="G1540" s="1">
        <v>15</v>
      </c>
      <c r="H1540" s="1">
        <v>26</v>
      </c>
      <c r="I1540" s="1">
        <v>0.99538000000000004</v>
      </c>
      <c r="J1540" s="1">
        <v>3.57</v>
      </c>
      <c r="K1540" s="1">
        <v>0.63</v>
      </c>
      <c r="L1540" s="1">
        <v>12</v>
      </c>
      <c r="M1540" s="2">
        <v>5</v>
      </c>
      <c r="N1540" s="2" t="str" cm="1">
        <f t="array" ref="N1540">_xlfn.IFS(Table1[[#This Row],[quality]]&lt;=4,"Low",Table1[[#This Row],[quality]]&lt;=6,"Medium",Table1[[#This Row],[quality]]&gt;=7,"High")</f>
        <v>Medium</v>
      </c>
      <c r="O1540" s="2" t="str">
        <f>IF(AND(Table1[[#This Row],[fixed acidity]]&gt;Sheet1!$C$4,Table1[[#This Row],[pH]]&lt;Sheet1!$K$4),"High","Normal")</f>
        <v>Normal</v>
      </c>
      <c r="P1540" s="1">
        <f>(Table1[[#This Row],[alcohol]]*2)+(Table1[[#This Row],[sulphates]]*1.5)-(Table1[[#This Row],[volatile acidity]]*2)</f>
        <v>23.664999999999999</v>
      </c>
      <c r="Q1540" s="1">
        <f>RANK(Table1[[#This Row],[Quality_score_index]],Table1[Quality_score_index],0)</f>
        <v>204</v>
      </c>
      <c r="R1540" s="1">
        <f>Table1[[#This Row],[total sulfur dioxide]]-Table1[[#This Row],[free sulfur dioxide]]</f>
        <v>11</v>
      </c>
      <c r="S1540" s="1" t="str">
        <f>IF(AND(Table1[[#This Row],[pH]]&gt;=3.2,Table1[[#This Row],[alcohol]]&gt;=10),"White wine","Red wine")</f>
        <v>White wine</v>
      </c>
    </row>
    <row r="1541" spans="1:19" x14ac:dyDescent="0.3">
      <c r="A1541" s="13">
        <v>1540</v>
      </c>
      <c r="B1541" s="1">
        <v>7.2</v>
      </c>
      <c r="C1541" s="1">
        <v>0.39</v>
      </c>
      <c r="D1541" s="1">
        <v>0.32</v>
      </c>
      <c r="E1541" s="1">
        <v>1.8</v>
      </c>
      <c r="F1541" s="1">
        <v>6.5000000000000002E-2</v>
      </c>
      <c r="G1541" s="1">
        <v>34</v>
      </c>
      <c r="H1541" s="1">
        <v>60</v>
      </c>
      <c r="I1541" s="1">
        <v>0.99714000000000003</v>
      </c>
      <c r="J1541" s="1">
        <v>3.46</v>
      </c>
      <c r="K1541" s="1">
        <v>0.78</v>
      </c>
      <c r="L1541" s="1">
        <v>9.9</v>
      </c>
      <c r="M1541" s="2">
        <v>5</v>
      </c>
      <c r="N1541" s="2" t="str" cm="1">
        <f t="array" ref="N1541">_xlfn.IFS(Table1[[#This Row],[quality]]&lt;=4,"Low",Table1[[#This Row],[quality]]&lt;=6,"Medium",Table1[[#This Row],[quality]]&gt;=7,"High")</f>
        <v>Medium</v>
      </c>
      <c r="O1541" s="2" t="str">
        <f>IF(AND(Table1[[#This Row],[fixed acidity]]&gt;Sheet1!$C$4,Table1[[#This Row],[pH]]&lt;Sheet1!$K$4),"High","Normal")</f>
        <v>Normal</v>
      </c>
      <c r="P1541" s="1">
        <f>(Table1[[#This Row],[alcohol]]*2)+(Table1[[#This Row],[sulphates]]*1.5)-(Table1[[#This Row],[volatile acidity]]*2)</f>
        <v>20.189999999999998</v>
      </c>
      <c r="Q1541" s="1">
        <f>RANK(Table1[[#This Row],[Quality_score_index]],Table1[Quality_score_index],0)</f>
        <v>816</v>
      </c>
      <c r="R1541" s="1">
        <f>Table1[[#This Row],[total sulfur dioxide]]-Table1[[#This Row],[free sulfur dioxide]]</f>
        <v>26</v>
      </c>
      <c r="S1541" s="1" t="str">
        <f>IF(AND(Table1[[#This Row],[pH]]&gt;=3.2,Table1[[#This Row],[alcohol]]&gt;=10),"White wine","Red wine")</f>
        <v>Red wine</v>
      </c>
    </row>
    <row r="1542" spans="1:19" x14ac:dyDescent="0.3">
      <c r="A1542" s="13">
        <v>1541</v>
      </c>
      <c r="B1542" s="1">
        <v>6.2</v>
      </c>
      <c r="C1542" s="1">
        <v>0.52</v>
      </c>
      <c r="D1542" s="1">
        <v>0.08</v>
      </c>
      <c r="E1542" s="1">
        <v>4.4000000000000004</v>
      </c>
      <c r="F1542" s="1">
        <v>7.0999999999999994E-2</v>
      </c>
      <c r="G1542" s="1">
        <v>11</v>
      </c>
      <c r="H1542" s="1">
        <v>32</v>
      </c>
      <c r="I1542" s="1">
        <v>0.99646000000000001</v>
      </c>
      <c r="J1542" s="1">
        <v>3.56</v>
      </c>
      <c r="K1542" s="1">
        <v>0.63</v>
      </c>
      <c r="L1542" s="1">
        <v>11.6</v>
      </c>
      <c r="M1542" s="2">
        <v>6</v>
      </c>
      <c r="N1542" s="2" t="str" cm="1">
        <f t="array" ref="N1542">_xlfn.IFS(Table1[[#This Row],[quality]]&lt;=4,"Low",Table1[[#This Row],[quality]]&lt;=6,"Medium",Table1[[#This Row],[quality]]&gt;=7,"High")</f>
        <v>Medium</v>
      </c>
      <c r="O1542" s="2" t="str">
        <f>IF(AND(Table1[[#This Row],[fixed acidity]]&gt;Sheet1!$C$4,Table1[[#This Row],[pH]]&lt;Sheet1!$K$4),"High","Normal")</f>
        <v>Normal</v>
      </c>
      <c r="P1542" s="1">
        <f>(Table1[[#This Row],[alcohol]]*2)+(Table1[[#This Row],[sulphates]]*1.5)-(Table1[[#This Row],[volatile acidity]]*2)</f>
        <v>23.105</v>
      </c>
      <c r="Q1542" s="1">
        <f>RANK(Table1[[#This Row],[Quality_score_index]],Table1[Quality_score_index],0)</f>
        <v>259</v>
      </c>
      <c r="R1542" s="1">
        <f>Table1[[#This Row],[total sulfur dioxide]]-Table1[[#This Row],[free sulfur dioxide]]</f>
        <v>21</v>
      </c>
      <c r="S1542" s="1" t="str">
        <f>IF(AND(Table1[[#This Row],[pH]]&gt;=3.2,Table1[[#This Row],[alcohol]]&gt;=10),"White wine","Red wine")</f>
        <v>White wine</v>
      </c>
    </row>
    <row r="1543" spans="1:19" x14ac:dyDescent="0.3">
      <c r="A1543" s="13">
        <v>1542</v>
      </c>
      <c r="B1543" s="1">
        <v>7.4</v>
      </c>
      <c r="C1543" s="1">
        <v>0.25</v>
      </c>
      <c r="D1543" s="1">
        <v>0.28999999999999998</v>
      </c>
      <c r="E1543" s="1">
        <v>2.2000000000000002</v>
      </c>
      <c r="F1543" s="1">
        <v>5.3999999999999999E-2</v>
      </c>
      <c r="G1543" s="1">
        <v>19</v>
      </c>
      <c r="H1543" s="1">
        <v>49</v>
      </c>
      <c r="I1543" s="1">
        <v>0.99665999999999999</v>
      </c>
      <c r="J1543" s="1">
        <v>3.4</v>
      </c>
      <c r="K1543" s="1">
        <v>0.76</v>
      </c>
      <c r="L1543" s="1">
        <v>10.9</v>
      </c>
      <c r="M1543" s="2">
        <v>7</v>
      </c>
      <c r="N1543" s="2" t="str" cm="1">
        <f t="array" ref="N1543">_xlfn.IFS(Table1[[#This Row],[quality]]&lt;=4,"Low",Table1[[#This Row],[quality]]&lt;=6,"Medium",Table1[[#This Row],[quality]]&gt;=7,"High")</f>
        <v>High</v>
      </c>
      <c r="O1543" s="2" t="str">
        <f>IF(AND(Table1[[#This Row],[fixed acidity]]&gt;Sheet1!$C$4,Table1[[#This Row],[pH]]&lt;Sheet1!$K$4),"High","Normal")</f>
        <v>Normal</v>
      </c>
      <c r="P1543" s="1">
        <f>(Table1[[#This Row],[alcohol]]*2)+(Table1[[#This Row],[sulphates]]*1.5)-(Table1[[#This Row],[volatile acidity]]*2)</f>
        <v>22.44</v>
      </c>
      <c r="Q1543" s="1">
        <f>RANK(Table1[[#This Row],[Quality_score_index]],Table1[Quality_score_index],0)</f>
        <v>384</v>
      </c>
      <c r="R1543" s="1">
        <f>Table1[[#This Row],[total sulfur dioxide]]-Table1[[#This Row],[free sulfur dioxide]]</f>
        <v>30</v>
      </c>
      <c r="S1543" s="1" t="str">
        <f>IF(AND(Table1[[#This Row],[pH]]&gt;=3.2,Table1[[#This Row],[alcohol]]&gt;=10),"White wine","Red wine")</f>
        <v>White wine</v>
      </c>
    </row>
    <row r="1544" spans="1:19" x14ac:dyDescent="0.3">
      <c r="A1544" s="13">
        <v>1543</v>
      </c>
      <c r="B1544" s="1">
        <v>6.7</v>
      </c>
      <c r="C1544" s="1">
        <v>0.85499999999999998</v>
      </c>
      <c r="D1544" s="1">
        <v>0.02</v>
      </c>
      <c r="E1544" s="1">
        <v>1.9</v>
      </c>
      <c r="F1544" s="1">
        <v>6.4000000000000001E-2</v>
      </c>
      <c r="G1544" s="1">
        <v>29</v>
      </c>
      <c r="H1544" s="1">
        <v>38</v>
      </c>
      <c r="I1544" s="1">
        <v>0.99472000000000005</v>
      </c>
      <c r="J1544" s="1">
        <v>3.3</v>
      </c>
      <c r="K1544" s="1">
        <v>0.56000000000000005</v>
      </c>
      <c r="L1544" s="1">
        <v>10.75</v>
      </c>
      <c r="M1544" s="2">
        <v>6</v>
      </c>
      <c r="N1544" s="2" t="str" cm="1">
        <f t="array" ref="N1544">_xlfn.IFS(Table1[[#This Row],[quality]]&lt;=4,"Low",Table1[[#This Row],[quality]]&lt;=6,"Medium",Table1[[#This Row],[quality]]&gt;=7,"High")</f>
        <v>Medium</v>
      </c>
      <c r="O1544" s="2" t="str">
        <f>IF(AND(Table1[[#This Row],[fixed acidity]]&gt;Sheet1!$C$4,Table1[[#This Row],[pH]]&lt;Sheet1!$K$4),"High","Normal")</f>
        <v>Normal</v>
      </c>
      <c r="P1544" s="1">
        <f>(Table1[[#This Row],[alcohol]]*2)+(Table1[[#This Row],[sulphates]]*1.5)-(Table1[[#This Row],[volatile acidity]]*2)</f>
        <v>20.63</v>
      </c>
      <c r="Q1544" s="1">
        <f>RANK(Table1[[#This Row],[Quality_score_index]],Table1[Quality_score_index],0)</f>
        <v>734</v>
      </c>
      <c r="R1544" s="1">
        <f>Table1[[#This Row],[total sulfur dioxide]]-Table1[[#This Row],[free sulfur dioxide]]</f>
        <v>9</v>
      </c>
      <c r="S1544" s="1" t="str">
        <f>IF(AND(Table1[[#This Row],[pH]]&gt;=3.2,Table1[[#This Row],[alcohol]]&gt;=10),"White wine","Red wine")</f>
        <v>White wine</v>
      </c>
    </row>
    <row r="1545" spans="1:19" x14ac:dyDescent="0.3">
      <c r="A1545" s="13">
        <v>1544</v>
      </c>
      <c r="B1545" s="1">
        <v>11.1</v>
      </c>
      <c r="C1545" s="1">
        <v>0.44</v>
      </c>
      <c r="D1545" s="1">
        <v>0.42</v>
      </c>
      <c r="E1545" s="1">
        <v>2.2000000000000002</v>
      </c>
      <c r="F1545" s="1">
        <v>6.4000000000000001E-2</v>
      </c>
      <c r="G1545" s="1">
        <v>14</v>
      </c>
      <c r="H1545" s="1">
        <v>19</v>
      </c>
      <c r="I1545" s="1">
        <v>0.99758000000000002</v>
      </c>
      <c r="J1545" s="1">
        <v>3.25</v>
      </c>
      <c r="K1545" s="1">
        <v>0.56999999999999995</v>
      </c>
      <c r="L1545" s="1">
        <v>10.4</v>
      </c>
      <c r="M1545" s="2">
        <v>6</v>
      </c>
      <c r="N1545" s="2" t="str" cm="1">
        <f t="array" ref="N1545">_xlfn.IFS(Table1[[#This Row],[quality]]&lt;=4,"Low",Table1[[#This Row],[quality]]&lt;=6,"Medium",Table1[[#This Row],[quality]]&gt;=7,"High")</f>
        <v>Medium</v>
      </c>
      <c r="O1545" s="2" t="str">
        <f>IF(AND(Table1[[#This Row],[fixed acidity]]&gt;Sheet1!$C$4,Table1[[#This Row],[pH]]&lt;Sheet1!$K$4),"High","Normal")</f>
        <v>High</v>
      </c>
      <c r="P1545" s="1">
        <f>(Table1[[#This Row],[alcohol]]*2)+(Table1[[#This Row],[sulphates]]*1.5)-(Table1[[#This Row],[volatile acidity]]*2)</f>
        <v>20.775000000000002</v>
      </c>
      <c r="Q1545" s="1">
        <f>RANK(Table1[[#This Row],[Quality_score_index]],Table1[Quality_score_index],0)</f>
        <v>709</v>
      </c>
      <c r="R1545" s="1">
        <f>Table1[[#This Row],[total sulfur dioxide]]-Table1[[#This Row],[free sulfur dioxide]]</f>
        <v>5</v>
      </c>
      <c r="S1545" s="1" t="str">
        <f>IF(AND(Table1[[#This Row],[pH]]&gt;=3.2,Table1[[#This Row],[alcohol]]&gt;=10),"White wine","Red wine")</f>
        <v>White wine</v>
      </c>
    </row>
    <row r="1546" spans="1:19" x14ac:dyDescent="0.3">
      <c r="A1546" s="13">
        <v>1545</v>
      </c>
      <c r="B1546" s="1">
        <v>8.4</v>
      </c>
      <c r="C1546" s="1">
        <v>0.37</v>
      </c>
      <c r="D1546" s="1">
        <v>0.43</v>
      </c>
      <c r="E1546" s="1">
        <v>2.2999999999999998</v>
      </c>
      <c r="F1546" s="1">
        <v>6.3E-2</v>
      </c>
      <c r="G1546" s="1">
        <v>12</v>
      </c>
      <c r="H1546" s="1">
        <v>19</v>
      </c>
      <c r="I1546" s="1">
        <v>0.99550000000000005</v>
      </c>
      <c r="J1546" s="1">
        <v>3.17</v>
      </c>
      <c r="K1546" s="1">
        <v>0.81</v>
      </c>
      <c r="L1546" s="1">
        <v>11.2</v>
      </c>
      <c r="M1546" s="2">
        <v>7</v>
      </c>
      <c r="N1546" s="2" t="str" cm="1">
        <f t="array" ref="N1546">_xlfn.IFS(Table1[[#This Row],[quality]]&lt;=4,"Low",Table1[[#This Row],[quality]]&lt;=6,"Medium",Table1[[#This Row],[quality]]&gt;=7,"High")</f>
        <v>High</v>
      </c>
      <c r="O1546" s="2" t="str">
        <f>IF(AND(Table1[[#This Row],[fixed acidity]]&gt;Sheet1!$C$4,Table1[[#This Row],[pH]]&lt;Sheet1!$K$4),"High","Normal")</f>
        <v>High</v>
      </c>
      <c r="P1546" s="1">
        <f>(Table1[[#This Row],[alcohol]]*2)+(Table1[[#This Row],[sulphates]]*1.5)-(Table1[[#This Row],[volatile acidity]]*2)</f>
        <v>22.875</v>
      </c>
      <c r="Q1546" s="1">
        <f>RANK(Table1[[#This Row],[Quality_score_index]],Table1[Quality_score_index],0)</f>
        <v>295</v>
      </c>
      <c r="R1546" s="1">
        <f>Table1[[#This Row],[total sulfur dioxide]]-Table1[[#This Row],[free sulfur dioxide]]</f>
        <v>7</v>
      </c>
      <c r="S1546" s="1" t="str">
        <f>IF(AND(Table1[[#This Row],[pH]]&gt;=3.2,Table1[[#This Row],[alcohol]]&gt;=10),"White wine","Red wine")</f>
        <v>Red wine</v>
      </c>
    </row>
    <row r="1547" spans="1:19" x14ac:dyDescent="0.3">
      <c r="A1547" s="13">
        <v>1546</v>
      </c>
      <c r="B1547" s="1">
        <v>6.5</v>
      </c>
      <c r="C1547" s="1">
        <v>0.63</v>
      </c>
      <c r="D1547" s="1">
        <v>0.33</v>
      </c>
      <c r="E1547" s="1">
        <v>1.8</v>
      </c>
      <c r="F1547" s="1">
        <v>5.8999999999999997E-2</v>
      </c>
      <c r="G1547" s="1">
        <v>16</v>
      </c>
      <c r="H1547" s="1">
        <v>28</v>
      </c>
      <c r="I1547" s="1">
        <v>0.99531000000000003</v>
      </c>
      <c r="J1547" s="1">
        <v>3.36</v>
      </c>
      <c r="K1547" s="1">
        <v>0.64</v>
      </c>
      <c r="L1547" s="1">
        <v>10.1</v>
      </c>
      <c r="M1547" s="2">
        <v>6</v>
      </c>
      <c r="N1547" s="2" t="str" cm="1">
        <f t="array" ref="N1547">_xlfn.IFS(Table1[[#This Row],[quality]]&lt;=4,"Low",Table1[[#This Row],[quality]]&lt;=6,"Medium",Table1[[#This Row],[quality]]&gt;=7,"High")</f>
        <v>Medium</v>
      </c>
      <c r="O1547" s="2" t="str">
        <f>IF(AND(Table1[[#This Row],[fixed acidity]]&gt;Sheet1!$C$4,Table1[[#This Row],[pH]]&lt;Sheet1!$K$4),"High","Normal")</f>
        <v>Normal</v>
      </c>
      <c r="P1547" s="1">
        <f>(Table1[[#This Row],[alcohol]]*2)+(Table1[[#This Row],[sulphates]]*1.5)-(Table1[[#This Row],[volatile acidity]]*2)</f>
        <v>19.899999999999999</v>
      </c>
      <c r="Q1547" s="1">
        <f>RANK(Table1[[#This Row],[Quality_score_index]],Table1[Quality_score_index],0)</f>
        <v>880</v>
      </c>
      <c r="R1547" s="1">
        <f>Table1[[#This Row],[total sulfur dioxide]]-Table1[[#This Row],[free sulfur dioxide]]</f>
        <v>12</v>
      </c>
      <c r="S1547" s="1" t="str">
        <f>IF(AND(Table1[[#This Row],[pH]]&gt;=3.2,Table1[[#This Row],[alcohol]]&gt;=10),"White wine","Red wine")</f>
        <v>White wine</v>
      </c>
    </row>
    <row r="1548" spans="1:19" x14ac:dyDescent="0.3">
      <c r="A1548" s="13">
        <v>1547</v>
      </c>
      <c r="B1548" s="1">
        <v>7</v>
      </c>
      <c r="C1548" s="1">
        <v>0.56999999999999995</v>
      </c>
      <c r="D1548" s="1">
        <v>0.02</v>
      </c>
      <c r="E1548" s="1">
        <v>2</v>
      </c>
      <c r="F1548" s="1">
        <v>7.1999999999999995E-2</v>
      </c>
      <c r="G1548" s="1">
        <v>17</v>
      </c>
      <c r="H1548" s="1">
        <v>26</v>
      </c>
      <c r="I1548" s="1">
        <v>0.99575000000000002</v>
      </c>
      <c r="J1548" s="1">
        <v>3.36</v>
      </c>
      <c r="K1548" s="1">
        <v>0.61</v>
      </c>
      <c r="L1548" s="1">
        <v>10.199999999999999</v>
      </c>
      <c r="M1548" s="2">
        <v>5</v>
      </c>
      <c r="N1548" s="2" t="str" cm="1">
        <f t="array" ref="N1548">_xlfn.IFS(Table1[[#This Row],[quality]]&lt;=4,"Low",Table1[[#This Row],[quality]]&lt;=6,"Medium",Table1[[#This Row],[quality]]&gt;=7,"High")</f>
        <v>Medium</v>
      </c>
      <c r="O1548" s="2" t="str">
        <f>IF(AND(Table1[[#This Row],[fixed acidity]]&gt;Sheet1!$C$4,Table1[[#This Row],[pH]]&lt;Sheet1!$K$4),"High","Normal")</f>
        <v>Normal</v>
      </c>
      <c r="P1548" s="1">
        <f>(Table1[[#This Row],[alcohol]]*2)+(Table1[[#This Row],[sulphates]]*1.5)-(Table1[[#This Row],[volatile acidity]]*2)</f>
        <v>20.174999999999997</v>
      </c>
      <c r="Q1548" s="1">
        <f>RANK(Table1[[#This Row],[Quality_score_index]],Table1[Quality_score_index],0)</f>
        <v>823</v>
      </c>
      <c r="R1548" s="1">
        <f>Table1[[#This Row],[total sulfur dioxide]]-Table1[[#This Row],[free sulfur dioxide]]</f>
        <v>9</v>
      </c>
      <c r="S1548" s="1" t="str">
        <f>IF(AND(Table1[[#This Row],[pH]]&gt;=3.2,Table1[[#This Row],[alcohol]]&gt;=10),"White wine","Red wine")</f>
        <v>White wine</v>
      </c>
    </row>
    <row r="1549" spans="1:19" x14ac:dyDescent="0.3">
      <c r="A1549" s="13">
        <v>1548</v>
      </c>
      <c r="B1549" s="1">
        <v>6.3</v>
      </c>
      <c r="C1549" s="1">
        <v>0.6</v>
      </c>
      <c r="D1549" s="1">
        <v>0.1</v>
      </c>
      <c r="E1549" s="1">
        <v>1.6</v>
      </c>
      <c r="F1549" s="1">
        <v>4.8000000000000001E-2</v>
      </c>
      <c r="G1549" s="1">
        <v>12</v>
      </c>
      <c r="H1549" s="1">
        <v>26</v>
      </c>
      <c r="I1549" s="1">
        <v>0.99306000000000005</v>
      </c>
      <c r="J1549" s="1">
        <v>3.55</v>
      </c>
      <c r="K1549" s="1">
        <v>0.51</v>
      </c>
      <c r="L1549" s="1">
        <v>12.1</v>
      </c>
      <c r="M1549" s="2">
        <v>5</v>
      </c>
      <c r="N1549" s="2" t="str" cm="1">
        <f t="array" ref="N1549">_xlfn.IFS(Table1[[#This Row],[quality]]&lt;=4,"Low",Table1[[#This Row],[quality]]&lt;=6,"Medium",Table1[[#This Row],[quality]]&gt;=7,"High")</f>
        <v>Medium</v>
      </c>
      <c r="O1549" s="2" t="str">
        <f>IF(AND(Table1[[#This Row],[fixed acidity]]&gt;Sheet1!$C$4,Table1[[#This Row],[pH]]&lt;Sheet1!$K$4),"High","Normal")</f>
        <v>Normal</v>
      </c>
      <c r="P1549" s="1">
        <f>(Table1[[#This Row],[alcohol]]*2)+(Table1[[#This Row],[sulphates]]*1.5)-(Table1[[#This Row],[volatile acidity]]*2)</f>
        <v>23.765000000000001</v>
      </c>
      <c r="Q1549" s="1">
        <f>RANK(Table1[[#This Row],[Quality_score_index]],Table1[Quality_score_index],0)</f>
        <v>195</v>
      </c>
      <c r="R1549" s="1">
        <f>Table1[[#This Row],[total sulfur dioxide]]-Table1[[#This Row],[free sulfur dioxide]]</f>
        <v>14</v>
      </c>
      <c r="S1549" s="1" t="str">
        <f>IF(AND(Table1[[#This Row],[pH]]&gt;=3.2,Table1[[#This Row],[alcohol]]&gt;=10),"White wine","Red wine")</f>
        <v>White wine</v>
      </c>
    </row>
    <row r="1550" spans="1:19" x14ac:dyDescent="0.3">
      <c r="A1550" s="13">
        <v>1549</v>
      </c>
      <c r="B1550" s="1">
        <v>11.2</v>
      </c>
      <c r="C1550" s="1">
        <v>0.4</v>
      </c>
      <c r="D1550" s="1">
        <v>0.5</v>
      </c>
      <c r="E1550" s="1">
        <v>2</v>
      </c>
      <c r="F1550" s="1">
        <v>9.9000000000000005E-2</v>
      </c>
      <c r="G1550" s="1">
        <v>19</v>
      </c>
      <c r="H1550" s="1">
        <v>50</v>
      </c>
      <c r="I1550" s="1">
        <v>0.99782999999999999</v>
      </c>
      <c r="J1550" s="1">
        <v>3.1</v>
      </c>
      <c r="K1550" s="1">
        <v>0.57999999999999996</v>
      </c>
      <c r="L1550" s="1">
        <v>10.4</v>
      </c>
      <c r="M1550" s="2">
        <v>5</v>
      </c>
      <c r="N1550" s="2" t="str" cm="1">
        <f t="array" ref="N1550">_xlfn.IFS(Table1[[#This Row],[quality]]&lt;=4,"Low",Table1[[#This Row],[quality]]&lt;=6,"Medium",Table1[[#This Row],[quality]]&gt;=7,"High")</f>
        <v>Medium</v>
      </c>
      <c r="O1550" s="2" t="str">
        <f>IF(AND(Table1[[#This Row],[fixed acidity]]&gt;Sheet1!$C$4,Table1[[#This Row],[pH]]&lt;Sheet1!$K$4),"High","Normal")</f>
        <v>High</v>
      </c>
      <c r="P1550" s="1">
        <f>(Table1[[#This Row],[alcohol]]*2)+(Table1[[#This Row],[sulphates]]*1.5)-(Table1[[#This Row],[volatile acidity]]*2)</f>
        <v>20.87</v>
      </c>
      <c r="Q1550" s="1">
        <f>RANK(Table1[[#This Row],[Quality_score_index]],Table1[Quality_score_index],0)</f>
        <v>682</v>
      </c>
      <c r="R1550" s="1">
        <f>Table1[[#This Row],[total sulfur dioxide]]-Table1[[#This Row],[free sulfur dioxide]]</f>
        <v>31</v>
      </c>
      <c r="S1550" s="1" t="str">
        <f>IF(AND(Table1[[#This Row],[pH]]&gt;=3.2,Table1[[#This Row],[alcohol]]&gt;=10),"White wine","Red wine")</f>
        <v>Red wine</v>
      </c>
    </row>
    <row r="1551" spans="1:19" x14ac:dyDescent="0.3">
      <c r="A1551" s="13">
        <v>1550</v>
      </c>
      <c r="B1551" s="1">
        <v>7.4</v>
      </c>
      <c r="C1551" s="1">
        <v>0.36</v>
      </c>
      <c r="D1551" s="1">
        <v>0.3</v>
      </c>
      <c r="E1551" s="1">
        <v>1.8</v>
      </c>
      <c r="F1551" s="1">
        <v>7.3999999999999996E-2</v>
      </c>
      <c r="G1551" s="1">
        <v>17</v>
      </c>
      <c r="H1551" s="1">
        <v>24</v>
      </c>
      <c r="I1551" s="1">
        <v>0.99419000000000002</v>
      </c>
      <c r="J1551" s="1">
        <v>3.24</v>
      </c>
      <c r="K1551" s="1">
        <v>0.7</v>
      </c>
      <c r="L1551" s="1">
        <v>11.4</v>
      </c>
      <c r="M1551" s="2">
        <v>8</v>
      </c>
      <c r="N1551" s="2" t="str" cm="1">
        <f t="array" ref="N1551">_xlfn.IFS(Table1[[#This Row],[quality]]&lt;=4,"Low",Table1[[#This Row],[quality]]&lt;=6,"Medium",Table1[[#This Row],[quality]]&gt;=7,"High")</f>
        <v>High</v>
      </c>
      <c r="O1551" s="2" t="str">
        <f>IF(AND(Table1[[#This Row],[fixed acidity]]&gt;Sheet1!$C$4,Table1[[#This Row],[pH]]&lt;Sheet1!$K$4),"High","Normal")</f>
        <v>Normal</v>
      </c>
      <c r="P1551" s="1">
        <f>(Table1[[#This Row],[alcohol]]*2)+(Table1[[#This Row],[sulphates]]*1.5)-(Table1[[#This Row],[volatile acidity]]*2)</f>
        <v>23.130000000000003</v>
      </c>
      <c r="Q1551" s="1">
        <f>RANK(Table1[[#This Row],[Quality_score_index]],Table1[Quality_score_index],0)</f>
        <v>255</v>
      </c>
      <c r="R1551" s="1">
        <f>Table1[[#This Row],[total sulfur dioxide]]-Table1[[#This Row],[free sulfur dioxide]]</f>
        <v>7</v>
      </c>
      <c r="S1551" s="1" t="str">
        <f>IF(AND(Table1[[#This Row],[pH]]&gt;=3.2,Table1[[#This Row],[alcohol]]&gt;=10),"White wine","Red wine")</f>
        <v>White wine</v>
      </c>
    </row>
    <row r="1552" spans="1:19" x14ac:dyDescent="0.3">
      <c r="A1552" s="13">
        <v>1551</v>
      </c>
      <c r="B1552" s="1">
        <v>7.1</v>
      </c>
      <c r="C1552" s="1">
        <v>0.68</v>
      </c>
      <c r="D1552" s="1">
        <v>0</v>
      </c>
      <c r="E1552" s="1">
        <v>2.2999999999999998</v>
      </c>
      <c r="F1552" s="1">
        <v>8.6999999999999994E-2</v>
      </c>
      <c r="G1552" s="1">
        <v>17</v>
      </c>
      <c r="H1552" s="1">
        <v>26</v>
      </c>
      <c r="I1552" s="1">
        <v>0.99782999999999999</v>
      </c>
      <c r="J1552" s="1">
        <v>3.45</v>
      </c>
      <c r="K1552" s="1">
        <v>0.53</v>
      </c>
      <c r="L1552" s="1">
        <v>9.5</v>
      </c>
      <c r="M1552" s="2">
        <v>5</v>
      </c>
      <c r="N1552" s="2" t="str" cm="1">
        <f t="array" ref="N1552">_xlfn.IFS(Table1[[#This Row],[quality]]&lt;=4,"Low",Table1[[#This Row],[quality]]&lt;=6,"Medium",Table1[[#This Row],[quality]]&gt;=7,"High")</f>
        <v>Medium</v>
      </c>
      <c r="O1552" s="2" t="str">
        <f>IF(AND(Table1[[#This Row],[fixed acidity]]&gt;Sheet1!$C$4,Table1[[#This Row],[pH]]&lt;Sheet1!$K$4),"High","Normal")</f>
        <v>Normal</v>
      </c>
      <c r="P1552" s="1">
        <f>(Table1[[#This Row],[alcohol]]*2)+(Table1[[#This Row],[sulphates]]*1.5)-(Table1[[#This Row],[volatile acidity]]*2)</f>
        <v>18.435000000000002</v>
      </c>
      <c r="Q1552" s="1">
        <f>RANK(Table1[[#This Row],[Quality_score_index]],Table1[Quality_score_index],0)</f>
        <v>1398</v>
      </c>
      <c r="R1552" s="1">
        <f>Table1[[#This Row],[total sulfur dioxide]]-Table1[[#This Row],[free sulfur dioxide]]</f>
        <v>9</v>
      </c>
      <c r="S1552" s="1" t="str">
        <f>IF(AND(Table1[[#This Row],[pH]]&gt;=3.2,Table1[[#This Row],[alcohol]]&gt;=10),"White wine","Red wine")</f>
        <v>Red wine</v>
      </c>
    </row>
    <row r="1553" spans="1:19" x14ac:dyDescent="0.3">
      <c r="A1553" s="13">
        <v>1552</v>
      </c>
      <c r="B1553" s="1">
        <v>7.1</v>
      </c>
      <c r="C1553" s="1">
        <v>0.67</v>
      </c>
      <c r="D1553" s="1">
        <v>0</v>
      </c>
      <c r="E1553" s="1">
        <v>2.2999999999999998</v>
      </c>
      <c r="F1553" s="1">
        <v>8.3000000000000004E-2</v>
      </c>
      <c r="G1553" s="1">
        <v>18</v>
      </c>
      <c r="H1553" s="1">
        <v>27</v>
      </c>
      <c r="I1553" s="1">
        <v>0.99768000000000001</v>
      </c>
      <c r="J1553" s="1">
        <v>3.44</v>
      </c>
      <c r="K1553" s="1">
        <v>0.54</v>
      </c>
      <c r="L1553" s="1">
        <v>9.4</v>
      </c>
      <c r="M1553" s="2">
        <v>5</v>
      </c>
      <c r="N1553" s="2" t="str" cm="1">
        <f t="array" ref="N1553">_xlfn.IFS(Table1[[#This Row],[quality]]&lt;=4,"Low",Table1[[#This Row],[quality]]&lt;=6,"Medium",Table1[[#This Row],[quality]]&gt;=7,"High")</f>
        <v>Medium</v>
      </c>
      <c r="O1553" s="2" t="str">
        <f>IF(AND(Table1[[#This Row],[fixed acidity]]&gt;Sheet1!$C$4,Table1[[#This Row],[pH]]&lt;Sheet1!$K$4),"High","Normal")</f>
        <v>Normal</v>
      </c>
      <c r="P1553" s="1">
        <f>(Table1[[#This Row],[alcohol]]*2)+(Table1[[#This Row],[sulphates]]*1.5)-(Table1[[#This Row],[volatile acidity]]*2)</f>
        <v>18.27</v>
      </c>
      <c r="Q1553" s="1">
        <f>RANK(Table1[[#This Row],[Quality_score_index]],Table1[Quality_score_index],0)</f>
        <v>1460</v>
      </c>
      <c r="R1553" s="1">
        <f>Table1[[#This Row],[total sulfur dioxide]]-Table1[[#This Row],[free sulfur dioxide]]</f>
        <v>9</v>
      </c>
      <c r="S1553" s="1" t="str">
        <f>IF(AND(Table1[[#This Row],[pH]]&gt;=3.2,Table1[[#This Row],[alcohol]]&gt;=10),"White wine","Red wine")</f>
        <v>Red wine</v>
      </c>
    </row>
    <row r="1554" spans="1:19" x14ac:dyDescent="0.3">
      <c r="A1554" s="13">
        <v>1553</v>
      </c>
      <c r="B1554" s="1">
        <v>6.3</v>
      </c>
      <c r="C1554" s="1">
        <v>0.68</v>
      </c>
      <c r="D1554" s="1">
        <v>0.01</v>
      </c>
      <c r="E1554" s="1">
        <v>3.7</v>
      </c>
      <c r="F1554" s="1">
        <v>0.10299999999999999</v>
      </c>
      <c r="G1554" s="1">
        <v>32</v>
      </c>
      <c r="H1554" s="1">
        <v>54</v>
      </c>
      <c r="I1554" s="1">
        <v>0.99585999999999997</v>
      </c>
      <c r="J1554" s="1">
        <v>3.51</v>
      </c>
      <c r="K1554" s="1">
        <v>0.66</v>
      </c>
      <c r="L1554" s="1">
        <v>11.3</v>
      </c>
      <c r="M1554" s="2">
        <v>6</v>
      </c>
      <c r="N1554" s="2" t="str" cm="1">
        <f t="array" ref="N1554">_xlfn.IFS(Table1[[#This Row],[quality]]&lt;=4,"Low",Table1[[#This Row],[quality]]&lt;=6,"Medium",Table1[[#This Row],[quality]]&gt;=7,"High")</f>
        <v>Medium</v>
      </c>
      <c r="O1554" s="2" t="str">
        <f>IF(AND(Table1[[#This Row],[fixed acidity]]&gt;Sheet1!$C$4,Table1[[#This Row],[pH]]&lt;Sheet1!$K$4),"High","Normal")</f>
        <v>Normal</v>
      </c>
      <c r="P1554" s="1">
        <f>(Table1[[#This Row],[alcohol]]*2)+(Table1[[#This Row],[sulphates]]*1.5)-(Table1[[#This Row],[volatile acidity]]*2)</f>
        <v>22.23</v>
      </c>
      <c r="Q1554" s="1">
        <f>RANK(Table1[[#This Row],[Quality_score_index]],Table1[Quality_score_index],0)</f>
        <v>417</v>
      </c>
      <c r="R1554" s="1">
        <f>Table1[[#This Row],[total sulfur dioxide]]-Table1[[#This Row],[free sulfur dioxide]]</f>
        <v>22</v>
      </c>
      <c r="S1554" s="1" t="str">
        <f>IF(AND(Table1[[#This Row],[pH]]&gt;=3.2,Table1[[#This Row],[alcohol]]&gt;=10),"White wine","Red wine")</f>
        <v>White wine</v>
      </c>
    </row>
    <row r="1555" spans="1:19" x14ac:dyDescent="0.3">
      <c r="A1555" s="13">
        <v>1554</v>
      </c>
      <c r="B1555" s="1">
        <v>7.3</v>
      </c>
      <c r="C1555" s="1">
        <v>0.73499999999999999</v>
      </c>
      <c r="D1555" s="1">
        <v>0</v>
      </c>
      <c r="E1555" s="1">
        <v>2.2000000000000002</v>
      </c>
      <c r="F1555" s="1">
        <v>0.08</v>
      </c>
      <c r="G1555" s="1">
        <v>18</v>
      </c>
      <c r="H1555" s="1">
        <v>28</v>
      </c>
      <c r="I1555" s="1">
        <v>0.99765000000000004</v>
      </c>
      <c r="J1555" s="1">
        <v>3.41</v>
      </c>
      <c r="K1555" s="1">
        <v>0.6</v>
      </c>
      <c r="L1555" s="1">
        <v>9.4</v>
      </c>
      <c r="M1555" s="2">
        <v>5</v>
      </c>
      <c r="N1555" s="2" t="str" cm="1">
        <f t="array" ref="N1555">_xlfn.IFS(Table1[[#This Row],[quality]]&lt;=4,"Low",Table1[[#This Row],[quality]]&lt;=6,"Medium",Table1[[#This Row],[quality]]&gt;=7,"High")</f>
        <v>Medium</v>
      </c>
      <c r="O1555" s="2" t="str">
        <f>IF(AND(Table1[[#This Row],[fixed acidity]]&gt;Sheet1!$C$4,Table1[[#This Row],[pH]]&lt;Sheet1!$K$4),"High","Normal")</f>
        <v>Normal</v>
      </c>
      <c r="P1555" s="1">
        <f>(Table1[[#This Row],[alcohol]]*2)+(Table1[[#This Row],[sulphates]]*1.5)-(Table1[[#This Row],[volatile acidity]]*2)</f>
        <v>18.23</v>
      </c>
      <c r="Q1555" s="1">
        <f>RANK(Table1[[#This Row],[Quality_score_index]],Table1[Quality_score_index],0)</f>
        <v>1477</v>
      </c>
      <c r="R1555" s="1">
        <f>Table1[[#This Row],[total sulfur dioxide]]-Table1[[#This Row],[free sulfur dioxide]]</f>
        <v>10</v>
      </c>
      <c r="S1555" s="1" t="str">
        <f>IF(AND(Table1[[#This Row],[pH]]&gt;=3.2,Table1[[#This Row],[alcohol]]&gt;=10),"White wine","Red wine")</f>
        <v>Red wine</v>
      </c>
    </row>
    <row r="1556" spans="1:19" x14ac:dyDescent="0.3">
      <c r="A1556" s="13">
        <v>1555</v>
      </c>
      <c r="B1556" s="1">
        <v>6.6</v>
      </c>
      <c r="C1556" s="1">
        <v>0.85499999999999998</v>
      </c>
      <c r="D1556" s="1">
        <v>0.02</v>
      </c>
      <c r="E1556" s="1">
        <v>2.4</v>
      </c>
      <c r="F1556" s="1">
        <v>6.2E-2</v>
      </c>
      <c r="G1556" s="1">
        <v>15</v>
      </c>
      <c r="H1556" s="1">
        <v>23</v>
      </c>
      <c r="I1556" s="1">
        <v>0.99626999999999999</v>
      </c>
      <c r="J1556" s="1">
        <v>3.54</v>
      </c>
      <c r="K1556" s="1">
        <v>0.6</v>
      </c>
      <c r="L1556" s="1">
        <v>11</v>
      </c>
      <c r="M1556" s="2">
        <v>6</v>
      </c>
      <c r="N1556" s="2" t="str" cm="1">
        <f t="array" ref="N1556">_xlfn.IFS(Table1[[#This Row],[quality]]&lt;=4,"Low",Table1[[#This Row],[quality]]&lt;=6,"Medium",Table1[[#This Row],[quality]]&gt;=7,"High")</f>
        <v>Medium</v>
      </c>
      <c r="O1556" s="2" t="str">
        <f>IF(AND(Table1[[#This Row],[fixed acidity]]&gt;Sheet1!$C$4,Table1[[#This Row],[pH]]&lt;Sheet1!$K$4),"High","Normal")</f>
        <v>Normal</v>
      </c>
      <c r="P1556" s="1">
        <f>(Table1[[#This Row],[alcohol]]*2)+(Table1[[#This Row],[sulphates]]*1.5)-(Table1[[#This Row],[volatile acidity]]*2)</f>
        <v>21.189999999999998</v>
      </c>
      <c r="Q1556" s="1">
        <f>RANK(Table1[[#This Row],[Quality_score_index]],Table1[Quality_score_index],0)</f>
        <v>606</v>
      </c>
      <c r="R1556" s="1">
        <f>Table1[[#This Row],[total sulfur dioxide]]-Table1[[#This Row],[free sulfur dioxide]]</f>
        <v>8</v>
      </c>
      <c r="S1556" s="1" t="str">
        <f>IF(AND(Table1[[#This Row],[pH]]&gt;=3.2,Table1[[#This Row],[alcohol]]&gt;=10),"White wine","Red wine")</f>
        <v>White wine</v>
      </c>
    </row>
    <row r="1557" spans="1:19" x14ac:dyDescent="0.3">
      <c r="A1557" s="13">
        <v>1556</v>
      </c>
      <c r="B1557" s="1">
        <v>7</v>
      </c>
      <c r="C1557" s="1">
        <v>0.56000000000000005</v>
      </c>
      <c r="D1557" s="1">
        <v>0.17</v>
      </c>
      <c r="E1557" s="1">
        <v>1.7</v>
      </c>
      <c r="F1557" s="1">
        <v>6.5000000000000002E-2</v>
      </c>
      <c r="G1557" s="1">
        <v>15</v>
      </c>
      <c r="H1557" s="1">
        <v>24</v>
      </c>
      <c r="I1557" s="1">
        <v>0.99514000000000002</v>
      </c>
      <c r="J1557" s="1">
        <v>3.44</v>
      </c>
      <c r="K1557" s="1">
        <v>0.68</v>
      </c>
      <c r="L1557" s="1">
        <v>10.55</v>
      </c>
      <c r="M1557" s="2">
        <v>7</v>
      </c>
      <c r="N1557" s="2" t="str" cm="1">
        <f t="array" ref="N1557">_xlfn.IFS(Table1[[#This Row],[quality]]&lt;=4,"Low",Table1[[#This Row],[quality]]&lt;=6,"Medium",Table1[[#This Row],[quality]]&gt;=7,"High")</f>
        <v>High</v>
      </c>
      <c r="O1557" s="2" t="str">
        <f>IF(AND(Table1[[#This Row],[fixed acidity]]&gt;Sheet1!$C$4,Table1[[#This Row],[pH]]&lt;Sheet1!$K$4),"High","Normal")</f>
        <v>Normal</v>
      </c>
      <c r="P1557" s="1">
        <f>(Table1[[#This Row],[alcohol]]*2)+(Table1[[#This Row],[sulphates]]*1.5)-(Table1[[#This Row],[volatile acidity]]*2)</f>
        <v>21</v>
      </c>
      <c r="Q1557" s="1">
        <f>RANK(Table1[[#This Row],[Quality_score_index]],Table1[Quality_score_index],0)</f>
        <v>653</v>
      </c>
      <c r="R1557" s="1">
        <f>Table1[[#This Row],[total sulfur dioxide]]-Table1[[#This Row],[free sulfur dioxide]]</f>
        <v>9</v>
      </c>
      <c r="S1557" s="1" t="str">
        <f>IF(AND(Table1[[#This Row],[pH]]&gt;=3.2,Table1[[#This Row],[alcohol]]&gt;=10),"White wine","Red wine")</f>
        <v>White wine</v>
      </c>
    </row>
    <row r="1558" spans="1:19" x14ac:dyDescent="0.3">
      <c r="A1558" s="13">
        <v>1557</v>
      </c>
      <c r="B1558" s="1">
        <v>6.6</v>
      </c>
      <c r="C1558" s="1">
        <v>0.88</v>
      </c>
      <c r="D1558" s="1">
        <v>0.04</v>
      </c>
      <c r="E1558" s="1">
        <v>2.2000000000000002</v>
      </c>
      <c r="F1558" s="1">
        <v>6.6000000000000003E-2</v>
      </c>
      <c r="G1558" s="1">
        <v>12</v>
      </c>
      <c r="H1558" s="1">
        <v>20</v>
      </c>
      <c r="I1558" s="1">
        <v>0.99636000000000002</v>
      </c>
      <c r="J1558" s="1">
        <v>3.53</v>
      </c>
      <c r="K1558" s="1">
        <v>0.56000000000000005</v>
      </c>
      <c r="L1558" s="1">
        <v>9.9</v>
      </c>
      <c r="M1558" s="2">
        <v>5</v>
      </c>
      <c r="N1558" s="2" t="str" cm="1">
        <f t="array" ref="N1558">_xlfn.IFS(Table1[[#This Row],[quality]]&lt;=4,"Low",Table1[[#This Row],[quality]]&lt;=6,"Medium",Table1[[#This Row],[quality]]&gt;=7,"High")</f>
        <v>Medium</v>
      </c>
      <c r="O1558" s="2" t="str">
        <f>IF(AND(Table1[[#This Row],[fixed acidity]]&gt;Sheet1!$C$4,Table1[[#This Row],[pH]]&lt;Sheet1!$K$4),"High","Normal")</f>
        <v>Normal</v>
      </c>
      <c r="P1558" s="1">
        <f>(Table1[[#This Row],[alcohol]]*2)+(Table1[[#This Row],[sulphates]]*1.5)-(Table1[[#This Row],[volatile acidity]]*2)</f>
        <v>18.88</v>
      </c>
      <c r="Q1558" s="1">
        <f>RANK(Table1[[#This Row],[Quality_score_index]],Table1[Quality_score_index],0)</f>
        <v>1211</v>
      </c>
      <c r="R1558" s="1">
        <f>Table1[[#This Row],[total sulfur dioxide]]-Table1[[#This Row],[free sulfur dioxide]]</f>
        <v>8</v>
      </c>
      <c r="S1558" s="1" t="str">
        <f>IF(AND(Table1[[#This Row],[pH]]&gt;=3.2,Table1[[#This Row],[alcohol]]&gt;=10),"White wine","Red wine")</f>
        <v>Red wine</v>
      </c>
    </row>
    <row r="1559" spans="1:19" x14ac:dyDescent="0.3">
      <c r="A1559" s="13">
        <v>1558</v>
      </c>
      <c r="B1559" s="1">
        <v>6.6</v>
      </c>
      <c r="C1559" s="1">
        <v>0.85499999999999998</v>
      </c>
      <c r="D1559" s="1">
        <v>0.02</v>
      </c>
      <c r="E1559" s="1">
        <v>2.4</v>
      </c>
      <c r="F1559" s="1">
        <v>6.2E-2</v>
      </c>
      <c r="G1559" s="1">
        <v>15</v>
      </c>
      <c r="H1559" s="1">
        <v>23</v>
      </c>
      <c r="I1559" s="1">
        <v>0.99626999999999999</v>
      </c>
      <c r="J1559" s="1">
        <v>3.54</v>
      </c>
      <c r="K1559" s="1">
        <v>0.6</v>
      </c>
      <c r="L1559" s="1">
        <v>11</v>
      </c>
      <c r="M1559" s="2">
        <v>6</v>
      </c>
      <c r="N1559" s="2" t="str" cm="1">
        <f t="array" ref="N1559">_xlfn.IFS(Table1[[#This Row],[quality]]&lt;=4,"Low",Table1[[#This Row],[quality]]&lt;=6,"Medium",Table1[[#This Row],[quality]]&gt;=7,"High")</f>
        <v>Medium</v>
      </c>
      <c r="O1559" s="2" t="str">
        <f>IF(AND(Table1[[#This Row],[fixed acidity]]&gt;Sheet1!$C$4,Table1[[#This Row],[pH]]&lt;Sheet1!$K$4),"High","Normal")</f>
        <v>Normal</v>
      </c>
      <c r="P1559" s="1">
        <f>(Table1[[#This Row],[alcohol]]*2)+(Table1[[#This Row],[sulphates]]*1.5)-(Table1[[#This Row],[volatile acidity]]*2)</f>
        <v>21.189999999999998</v>
      </c>
      <c r="Q1559" s="1">
        <f>RANK(Table1[[#This Row],[Quality_score_index]],Table1[Quality_score_index],0)</f>
        <v>606</v>
      </c>
      <c r="R1559" s="1">
        <f>Table1[[#This Row],[total sulfur dioxide]]-Table1[[#This Row],[free sulfur dioxide]]</f>
        <v>8</v>
      </c>
      <c r="S1559" s="1" t="str">
        <f>IF(AND(Table1[[#This Row],[pH]]&gt;=3.2,Table1[[#This Row],[alcohol]]&gt;=10),"White wine","Red wine")</f>
        <v>White wine</v>
      </c>
    </row>
    <row r="1560" spans="1:19" x14ac:dyDescent="0.3">
      <c r="A1560" s="13">
        <v>1559</v>
      </c>
      <c r="B1560" s="1">
        <v>6.9</v>
      </c>
      <c r="C1560" s="1">
        <v>0.63</v>
      </c>
      <c r="D1560" s="1">
        <v>0.33</v>
      </c>
      <c r="E1560" s="1">
        <v>6.7</v>
      </c>
      <c r="F1560" s="1">
        <v>0.23499999999999999</v>
      </c>
      <c r="G1560" s="1">
        <v>66</v>
      </c>
      <c r="H1560" s="1">
        <v>115</v>
      </c>
      <c r="I1560" s="1">
        <v>0.99787000000000003</v>
      </c>
      <c r="J1560" s="1">
        <v>3.22</v>
      </c>
      <c r="K1560" s="1">
        <v>0.56000000000000005</v>
      </c>
      <c r="L1560" s="1">
        <v>9.5</v>
      </c>
      <c r="M1560" s="2">
        <v>5</v>
      </c>
      <c r="N1560" s="2" t="str" cm="1">
        <f t="array" ref="N1560">_xlfn.IFS(Table1[[#This Row],[quality]]&lt;=4,"Low",Table1[[#This Row],[quality]]&lt;=6,"Medium",Table1[[#This Row],[quality]]&gt;=7,"High")</f>
        <v>Medium</v>
      </c>
      <c r="O1560" s="2" t="str">
        <f>IF(AND(Table1[[#This Row],[fixed acidity]]&gt;Sheet1!$C$4,Table1[[#This Row],[pH]]&lt;Sheet1!$K$4),"High","Normal")</f>
        <v>Normal</v>
      </c>
      <c r="P1560" s="1">
        <f>(Table1[[#This Row],[alcohol]]*2)+(Table1[[#This Row],[sulphates]]*1.5)-(Table1[[#This Row],[volatile acidity]]*2)</f>
        <v>18.579999999999998</v>
      </c>
      <c r="Q1560" s="1">
        <f>RANK(Table1[[#This Row],[Quality_score_index]],Table1[Quality_score_index],0)</f>
        <v>1350</v>
      </c>
      <c r="R1560" s="1">
        <f>Table1[[#This Row],[total sulfur dioxide]]-Table1[[#This Row],[free sulfur dioxide]]</f>
        <v>49</v>
      </c>
      <c r="S1560" s="1" t="str">
        <f>IF(AND(Table1[[#This Row],[pH]]&gt;=3.2,Table1[[#This Row],[alcohol]]&gt;=10),"White wine","Red wine")</f>
        <v>Red wine</v>
      </c>
    </row>
    <row r="1561" spans="1:19" x14ac:dyDescent="0.3">
      <c r="A1561" s="13">
        <v>1560</v>
      </c>
      <c r="B1561" s="1">
        <v>7.8</v>
      </c>
      <c r="C1561" s="1">
        <v>0.6</v>
      </c>
      <c r="D1561" s="1">
        <v>0.26</v>
      </c>
      <c r="E1561" s="1">
        <v>2</v>
      </c>
      <c r="F1561" s="1">
        <v>0.08</v>
      </c>
      <c r="G1561" s="1">
        <v>31</v>
      </c>
      <c r="H1561" s="1">
        <v>131</v>
      </c>
      <c r="I1561" s="1">
        <v>0.99621999999999999</v>
      </c>
      <c r="J1561" s="1">
        <v>3.21</v>
      </c>
      <c r="K1561" s="1">
        <v>0.52</v>
      </c>
      <c r="L1561" s="1">
        <v>9.9</v>
      </c>
      <c r="M1561" s="2">
        <v>5</v>
      </c>
      <c r="N1561" s="2" t="str" cm="1">
        <f t="array" ref="N1561">_xlfn.IFS(Table1[[#This Row],[quality]]&lt;=4,"Low",Table1[[#This Row],[quality]]&lt;=6,"Medium",Table1[[#This Row],[quality]]&gt;=7,"High")</f>
        <v>Medium</v>
      </c>
      <c r="O1561" s="2" t="str">
        <f>IF(AND(Table1[[#This Row],[fixed acidity]]&gt;Sheet1!$C$4,Table1[[#This Row],[pH]]&lt;Sheet1!$K$4),"High","Normal")</f>
        <v>Normal</v>
      </c>
      <c r="P1561" s="1">
        <f>(Table1[[#This Row],[alcohol]]*2)+(Table1[[#This Row],[sulphates]]*1.5)-(Table1[[#This Row],[volatile acidity]]*2)</f>
        <v>19.380000000000003</v>
      </c>
      <c r="Q1561" s="1">
        <f>RANK(Table1[[#This Row],[Quality_score_index]],Table1[Quality_score_index],0)</f>
        <v>1012</v>
      </c>
      <c r="R1561" s="1">
        <f>Table1[[#This Row],[total sulfur dioxide]]-Table1[[#This Row],[free sulfur dioxide]]</f>
        <v>100</v>
      </c>
      <c r="S1561" s="1" t="str">
        <f>IF(AND(Table1[[#This Row],[pH]]&gt;=3.2,Table1[[#This Row],[alcohol]]&gt;=10),"White wine","Red wine")</f>
        <v>Red wine</v>
      </c>
    </row>
    <row r="1562" spans="1:19" x14ac:dyDescent="0.3">
      <c r="A1562" s="13">
        <v>1561</v>
      </c>
      <c r="B1562" s="1">
        <v>7.8</v>
      </c>
      <c r="C1562" s="1">
        <v>0.6</v>
      </c>
      <c r="D1562" s="1">
        <v>0.26</v>
      </c>
      <c r="E1562" s="1">
        <v>2</v>
      </c>
      <c r="F1562" s="1">
        <v>0.08</v>
      </c>
      <c r="G1562" s="1">
        <v>31</v>
      </c>
      <c r="H1562" s="1">
        <v>131</v>
      </c>
      <c r="I1562" s="1">
        <v>0.99621999999999999</v>
      </c>
      <c r="J1562" s="1">
        <v>3.21</v>
      </c>
      <c r="K1562" s="1">
        <v>0.52</v>
      </c>
      <c r="L1562" s="1">
        <v>9.9</v>
      </c>
      <c r="M1562" s="2">
        <v>5</v>
      </c>
      <c r="N1562" s="2" t="str" cm="1">
        <f t="array" ref="N1562">_xlfn.IFS(Table1[[#This Row],[quality]]&lt;=4,"Low",Table1[[#This Row],[quality]]&lt;=6,"Medium",Table1[[#This Row],[quality]]&gt;=7,"High")</f>
        <v>Medium</v>
      </c>
      <c r="O1562" s="2" t="str">
        <f>IF(AND(Table1[[#This Row],[fixed acidity]]&gt;Sheet1!$C$4,Table1[[#This Row],[pH]]&lt;Sheet1!$K$4),"High","Normal")</f>
        <v>Normal</v>
      </c>
      <c r="P1562" s="1">
        <f>(Table1[[#This Row],[alcohol]]*2)+(Table1[[#This Row],[sulphates]]*1.5)-(Table1[[#This Row],[volatile acidity]]*2)</f>
        <v>19.380000000000003</v>
      </c>
      <c r="Q1562" s="1">
        <f>RANK(Table1[[#This Row],[Quality_score_index]],Table1[Quality_score_index],0)</f>
        <v>1012</v>
      </c>
      <c r="R1562" s="1">
        <f>Table1[[#This Row],[total sulfur dioxide]]-Table1[[#This Row],[free sulfur dioxide]]</f>
        <v>100</v>
      </c>
      <c r="S1562" s="1" t="str">
        <f>IF(AND(Table1[[#This Row],[pH]]&gt;=3.2,Table1[[#This Row],[alcohol]]&gt;=10),"White wine","Red wine")</f>
        <v>Red wine</v>
      </c>
    </row>
    <row r="1563" spans="1:19" x14ac:dyDescent="0.3">
      <c r="A1563" s="13">
        <v>1562</v>
      </c>
      <c r="B1563" s="1">
        <v>7.8</v>
      </c>
      <c r="C1563" s="1">
        <v>0.6</v>
      </c>
      <c r="D1563" s="1">
        <v>0.26</v>
      </c>
      <c r="E1563" s="1">
        <v>2</v>
      </c>
      <c r="F1563" s="1">
        <v>0.08</v>
      </c>
      <c r="G1563" s="1">
        <v>31</v>
      </c>
      <c r="H1563" s="1">
        <v>131</v>
      </c>
      <c r="I1563" s="1">
        <v>0.99621999999999999</v>
      </c>
      <c r="J1563" s="1">
        <v>3.21</v>
      </c>
      <c r="K1563" s="1">
        <v>0.52</v>
      </c>
      <c r="L1563" s="1">
        <v>9.9</v>
      </c>
      <c r="M1563" s="2">
        <v>5</v>
      </c>
      <c r="N1563" s="2" t="str" cm="1">
        <f t="array" ref="N1563">_xlfn.IFS(Table1[[#This Row],[quality]]&lt;=4,"Low",Table1[[#This Row],[quality]]&lt;=6,"Medium",Table1[[#This Row],[quality]]&gt;=7,"High")</f>
        <v>Medium</v>
      </c>
      <c r="O1563" s="2" t="str">
        <f>IF(AND(Table1[[#This Row],[fixed acidity]]&gt;Sheet1!$C$4,Table1[[#This Row],[pH]]&lt;Sheet1!$K$4),"High","Normal")</f>
        <v>Normal</v>
      </c>
      <c r="P1563" s="1">
        <f>(Table1[[#This Row],[alcohol]]*2)+(Table1[[#This Row],[sulphates]]*1.5)-(Table1[[#This Row],[volatile acidity]]*2)</f>
        <v>19.380000000000003</v>
      </c>
      <c r="Q1563" s="1">
        <f>RANK(Table1[[#This Row],[Quality_score_index]],Table1[Quality_score_index],0)</f>
        <v>1012</v>
      </c>
      <c r="R1563" s="1">
        <f>Table1[[#This Row],[total sulfur dioxide]]-Table1[[#This Row],[free sulfur dioxide]]</f>
        <v>100</v>
      </c>
      <c r="S1563" s="1" t="str">
        <f>IF(AND(Table1[[#This Row],[pH]]&gt;=3.2,Table1[[#This Row],[alcohol]]&gt;=10),"White wine","Red wine")</f>
        <v>Red wine</v>
      </c>
    </row>
    <row r="1564" spans="1:19" x14ac:dyDescent="0.3">
      <c r="A1564" s="13">
        <v>1563</v>
      </c>
      <c r="B1564" s="1">
        <v>7.2</v>
      </c>
      <c r="C1564" s="1">
        <v>0.69499999999999995</v>
      </c>
      <c r="D1564" s="1">
        <v>0.13</v>
      </c>
      <c r="E1564" s="1">
        <v>2</v>
      </c>
      <c r="F1564" s="1">
        <v>7.5999999999999998E-2</v>
      </c>
      <c r="G1564" s="1">
        <v>12</v>
      </c>
      <c r="H1564" s="1">
        <v>20</v>
      </c>
      <c r="I1564" s="1">
        <v>0.99546000000000001</v>
      </c>
      <c r="J1564" s="1">
        <v>3.29</v>
      </c>
      <c r="K1564" s="1">
        <v>0.54</v>
      </c>
      <c r="L1564" s="1">
        <v>10.1</v>
      </c>
      <c r="M1564" s="2">
        <v>5</v>
      </c>
      <c r="N1564" s="2" t="str" cm="1">
        <f t="array" ref="N1564">_xlfn.IFS(Table1[[#This Row],[quality]]&lt;=4,"Low",Table1[[#This Row],[quality]]&lt;=6,"Medium",Table1[[#This Row],[quality]]&gt;=7,"High")</f>
        <v>Medium</v>
      </c>
      <c r="O1564" s="2" t="str">
        <f>IF(AND(Table1[[#This Row],[fixed acidity]]&gt;Sheet1!$C$4,Table1[[#This Row],[pH]]&lt;Sheet1!$K$4),"High","Normal")</f>
        <v>Normal</v>
      </c>
      <c r="P1564" s="1">
        <f>(Table1[[#This Row],[alcohol]]*2)+(Table1[[#This Row],[sulphates]]*1.5)-(Table1[[#This Row],[volatile acidity]]*2)</f>
        <v>19.619999999999997</v>
      </c>
      <c r="Q1564" s="1">
        <f>RANK(Table1[[#This Row],[Quality_score_index]],Table1[Quality_score_index],0)</f>
        <v>944</v>
      </c>
      <c r="R1564" s="1">
        <f>Table1[[#This Row],[total sulfur dioxide]]-Table1[[#This Row],[free sulfur dioxide]]</f>
        <v>8</v>
      </c>
      <c r="S1564" s="1" t="str">
        <f>IF(AND(Table1[[#This Row],[pH]]&gt;=3.2,Table1[[#This Row],[alcohol]]&gt;=10),"White wine","Red wine")</f>
        <v>White wine</v>
      </c>
    </row>
    <row r="1565" spans="1:19" x14ac:dyDescent="0.3">
      <c r="A1565" s="13">
        <v>1564</v>
      </c>
      <c r="B1565" s="1">
        <v>7.2</v>
      </c>
      <c r="C1565" s="1">
        <v>0.69499999999999995</v>
      </c>
      <c r="D1565" s="1">
        <v>0.13</v>
      </c>
      <c r="E1565" s="1">
        <v>2</v>
      </c>
      <c r="F1565" s="1">
        <v>7.5999999999999998E-2</v>
      </c>
      <c r="G1565" s="1">
        <v>12</v>
      </c>
      <c r="H1565" s="1">
        <v>20</v>
      </c>
      <c r="I1565" s="1">
        <v>0.99546000000000001</v>
      </c>
      <c r="J1565" s="1">
        <v>3.29</v>
      </c>
      <c r="K1565" s="1">
        <v>0.54</v>
      </c>
      <c r="L1565" s="1">
        <v>10.1</v>
      </c>
      <c r="M1565" s="2">
        <v>5</v>
      </c>
      <c r="N1565" s="2" t="str" cm="1">
        <f t="array" ref="N1565">_xlfn.IFS(Table1[[#This Row],[quality]]&lt;=4,"Low",Table1[[#This Row],[quality]]&lt;=6,"Medium",Table1[[#This Row],[quality]]&gt;=7,"High")</f>
        <v>Medium</v>
      </c>
      <c r="O1565" s="2" t="str">
        <f>IF(AND(Table1[[#This Row],[fixed acidity]]&gt;Sheet1!$C$4,Table1[[#This Row],[pH]]&lt;Sheet1!$K$4),"High","Normal")</f>
        <v>Normal</v>
      </c>
      <c r="P1565" s="1">
        <f>(Table1[[#This Row],[alcohol]]*2)+(Table1[[#This Row],[sulphates]]*1.5)-(Table1[[#This Row],[volatile acidity]]*2)</f>
        <v>19.619999999999997</v>
      </c>
      <c r="Q1565" s="1">
        <f>RANK(Table1[[#This Row],[Quality_score_index]],Table1[Quality_score_index],0)</f>
        <v>944</v>
      </c>
      <c r="R1565" s="1">
        <f>Table1[[#This Row],[total sulfur dioxide]]-Table1[[#This Row],[free sulfur dioxide]]</f>
        <v>8</v>
      </c>
      <c r="S1565" s="1" t="str">
        <f>IF(AND(Table1[[#This Row],[pH]]&gt;=3.2,Table1[[#This Row],[alcohol]]&gt;=10),"White wine","Red wine")</f>
        <v>White wine</v>
      </c>
    </row>
    <row r="1566" spans="1:19" x14ac:dyDescent="0.3">
      <c r="A1566" s="13">
        <v>1565</v>
      </c>
      <c r="B1566" s="1">
        <v>7.2</v>
      </c>
      <c r="C1566" s="1">
        <v>0.69499999999999995</v>
      </c>
      <c r="D1566" s="1">
        <v>0.13</v>
      </c>
      <c r="E1566" s="1">
        <v>2</v>
      </c>
      <c r="F1566" s="1">
        <v>7.5999999999999998E-2</v>
      </c>
      <c r="G1566" s="1">
        <v>12</v>
      </c>
      <c r="H1566" s="1">
        <v>20</v>
      </c>
      <c r="I1566" s="1">
        <v>0.99546000000000001</v>
      </c>
      <c r="J1566" s="1">
        <v>3.29</v>
      </c>
      <c r="K1566" s="1">
        <v>0.54</v>
      </c>
      <c r="L1566" s="1">
        <v>10.1</v>
      </c>
      <c r="M1566" s="2">
        <v>5</v>
      </c>
      <c r="N1566" s="2" t="str" cm="1">
        <f t="array" ref="N1566">_xlfn.IFS(Table1[[#This Row],[quality]]&lt;=4,"Low",Table1[[#This Row],[quality]]&lt;=6,"Medium",Table1[[#This Row],[quality]]&gt;=7,"High")</f>
        <v>Medium</v>
      </c>
      <c r="O1566" s="2" t="str">
        <f>IF(AND(Table1[[#This Row],[fixed acidity]]&gt;Sheet1!$C$4,Table1[[#This Row],[pH]]&lt;Sheet1!$K$4),"High","Normal")</f>
        <v>Normal</v>
      </c>
      <c r="P1566" s="1">
        <f>(Table1[[#This Row],[alcohol]]*2)+(Table1[[#This Row],[sulphates]]*1.5)-(Table1[[#This Row],[volatile acidity]]*2)</f>
        <v>19.619999999999997</v>
      </c>
      <c r="Q1566" s="1">
        <f>RANK(Table1[[#This Row],[Quality_score_index]],Table1[Quality_score_index],0)</f>
        <v>944</v>
      </c>
      <c r="R1566" s="1">
        <f>Table1[[#This Row],[total sulfur dioxide]]-Table1[[#This Row],[free sulfur dioxide]]</f>
        <v>8</v>
      </c>
      <c r="S1566" s="1" t="str">
        <f>IF(AND(Table1[[#This Row],[pH]]&gt;=3.2,Table1[[#This Row],[alcohol]]&gt;=10),"White wine","Red wine")</f>
        <v>White wine</v>
      </c>
    </row>
    <row r="1567" spans="1:19" x14ac:dyDescent="0.3">
      <c r="A1567" s="13">
        <v>1566</v>
      </c>
      <c r="B1567" s="1">
        <v>6.7</v>
      </c>
      <c r="C1567" s="1">
        <v>0.67</v>
      </c>
      <c r="D1567" s="1">
        <v>0.02</v>
      </c>
      <c r="E1567" s="1">
        <v>1.9</v>
      </c>
      <c r="F1567" s="1">
        <v>6.0999999999999999E-2</v>
      </c>
      <c r="G1567" s="1">
        <v>26</v>
      </c>
      <c r="H1567" s="1">
        <v>42</v>
      </c>
      <c r="I1567" s="1">
        <v>0.99489000000000005</v>
      </c>
      <c r="J1567" s="1">
        <v>3.39</v>
      </c>
      <c r="K1567" s="1">
        <v>0.82</v>
      </c>
      <c r="L1567" s="1">
        <v>10.9</v>
      </c>
      <c r="M1567" s="2">
        <v>6</v>
      </c>
      <c r="N1567" s="2" t="str" cm="1">
        <f t="array" ref="N1567">_xlfn.IFS(Table1[[#This Row],[quality]]&lt;=4,"Low",Table1[[#This Row],[quality]]&lt;=6,"Medium",Table1[[#This Row],[quality]]&gt;=7,"High")</f>
        <v>Medium</v>
      </c>
      <c r="O1567" s="2" t="str">
        <f>IF(AND(Table1[[#This Row],[fixed acidity]]&gt;Sheet1!$C$4,Table1[[#This Row],[pH]]&lt;Sheet1!$K$4),"High","Normal")</f>
        <v>Normal</v>
      </c>
      <c r="P1567" s="1">
        <f>(Table1[[#This Row],[alcohol]]*2)+(Table1[[#This Row],[sulphates]]*1.5)-(Table1[[#This Row],[volatile acidity]]*2)</f>
        <v>21.69</v>
      </c>
      <c r="Q1567" s="1">
        <f>RANK(Table1[[#This Row],[Quality_score_index]],Table1[Quality_score_index],0)</f>
        <v>506</v>
      </c>
      <c r="R1567" s="1">
        <f>Table1[[#This Row],[total sulfur dioxide]]-Table1[[#This Row],[free sulfur dioxide]]</f>
        <v>16</v>
      </c>
      <c r="S1567" s="1" t="str">
        <f>IF(AND(Table1[[#This Row],[pH]]&gt;=3.2,Table1[[#This Row],[alcohol]]&gt;=10),"White wine","Red wine")</f>
        <v>White wine</v>
      </c>
    </row>
    <row r="1568" spans="1:19" x14ac:dyDescent="0.3">
      <c r="A1568" s="13">
        <v>1567</v>
      </c>
      <c r="B1568" s="1">
        <v>6.7</v>
      </c>
      <c r="C1568" s="1">
        <v>0.16</v>
      </c>
      <c r="D1568" s="1">
        <v>0.64</v>
      </c>
      <c r="E1568" s="1">
        <v>2.1</v>
      </c>
      <c r="F1568" s="1">
        <v>5.8999999999999997E-2</v>
      </c>
      <c r="G1568" s="1">
        <v>24</v>
      </c>
      <c r="H1568" s="1">
        <v>52</v>
      </c>
      <c r="I1568" s="1">
        <v>0.99494000000000005</v>
      </c>
      <c r="J1568" s="1">
        <v>3.34</v>
      </c>
      <c r="K1568" s="1">
        <v>0.71</v>
      </c>
      <c r="L1568" s="1">
        <v>11.2</v>
      </c>
      <c r="M1568" s="2">
        <v>6</v>
      </c>
      <c r="N1568" s="2" t="str" cm="1">
        <f t="array" ref="N1568">_xlfn.IFS(Table1[[#This Row],[quality]]&lt;=4,"Low",Table1[[#This Row],[quality]]&lt;=6,"Medium",Table1[[#This Row],[quality]]&gt;=7,"High")</f>
        <v>Medium</v>
      </c>
      <c r="O1568" s="2" t="str">
        <f>IF(AND(Table1[[#This Row],[fixed acidity]]&gt;Sheet1!$C$4,Table1[[#This Row],[pH]]&lt;Sheet1!$K$4),"High","Normal")</f>
        <v>Normal</v>
      </c>
      <c r="P1568" s="1">
        <f>(Table1[[#This Row],[alcohol]]*2)+(Table1[[#This Row],[sulphates]]*1.5)-(Table1[[#This Row],[volatile acidity]]*2)</f>
        <v>23.145</v>
      </c>
      <c r="Q1568" s="1">
        <f>RANK(Table1[[#This Row],[Quality_score_index]],Table1[Quality_score_index],0)</f>
        <v>254</v>
      </c>
      <c r="R1568" s="1">
        <f>Table1[[#This Row],[total sulfur dioxide]]-Table1[[#This Row],[free sulfur dioxide]]</f>
        <v>28</v>
      </c>
      <c r="S1568" s="1" t="str">
        <f>IF(AND(Table1[[#This Row],[pH]]&gt;=3.2,Table1[[#This Row],[alcohol]]&gt;=10),"White wine","Red wine")</f>
        <v>White wine</v>
      </c>
    </row>
    <row r="1569" spans="1:19" x14ac:dyDescent="0.3">
      <c r="A1569" s="13">
        <v>1568</v>
      </c>
      <c r="B1569" s="1">
        <v>7.2</v>
      </c>
      <c r="C1569" s="1">
        <v>0.69499999999999995</v>
      </c>
      <c r="D1569" s="1">
        <v>0.13</v>
      </c>
      <c r="E1569" s="1">
        <v>2</v>
      </c>
      <c r="F1569" s="1">
        <v>7.5999999999999998E-2</v>
      </c>
      <c r="G1569" s="1">
        <v>12</v>
      </c>
      <c r="H1569" s="1">
        <v>20</v>
      </c>
      <c r="I1569" s="1">
        <v>0.99546000000000001</v>
      </c>
      <c r="J1569" s="1">
        <v>3.29</v>
      </c>
      <c r="K1569" s="1">
        <v>0.54</v>
      </c>
      <c r="L1569" s="1">
        <v>10.1</v>
      </c>
      <c r="M1569" s="2">
        <v>5</v>
      </c>
      <c r="N1569" s="2" t="str" cm="1">
        <f t="array" ref="N1569">_xlfn.IFS(Table1[[#This Row],[quality]]&lt;=4,"Low",Table1[[#This Row],[quality]]&lt;=6,"Medium",Table1[[#This Row],[quality]]&gt;=7,"High")</f>
        <v>Medium</v>
      </c>
      <c r="O1569" s="2" t="str">
        <f>IF(AND(Table1[[#This Row],[fixed acidity]]&gt;Sheet1!$C$4,Table1[[#This Row],[pH]]&lt;Sheet1!$K$4),"High","Normal")</f>
        <v>Normal</v>
      </c>
      <c r="P1569" s="1">
        <f>(Table1[[#This Row],[alcohol]]*2)+(Table1[[#This Row],[sulphates]]*1.5)-(Table1[[#This Row],[volatile acidity]]*2)</f>
        <v>19.619999999999997</v>
      </c>
      <c r="Q1569" s="1">
        <f>RANK(Table1[[#This Row],[Quality_score_index]],Table1[Quality_score_index],0)</f>
        <v>944</v>
      </c>
      <c r="R1569" s="1">
        <f>Table1[[#This Row],[total sulfur dioxide]]-Table1[[#This Row],[free sulfur dioxide]]</f>
        <v>8</v>
      </c>
      <c r="S1569" s="1" t="str">
        <f>IF(AND(Table1[[#This Row],[pH]]&gt;=3.2,Table1[[#This Row],[alcohol]]&gt;=10),"White wine","Red wine")</f>
        <v>White wine</v>
      </c>
    </row>
    <row r="1570" spans="1:19" x14ac:dyDescent="0.3">
      <c r="A1570" s="13">
        <v>1569</v>
      </c>
      <c r="B1570" s="1">
        <v>7</v>
      </c>
      <c r="C1570" s="1">
        <v>0.56000000000000005</v>
      </c>
      <c r="D1570" s="1">
        <v>0.13</v>
      </c>
      <c r="E1570" s="1">
        <v>1.6</v>
      </c>
      <c r="F1570" s="1">
        <v>7.6999999999999999E-2</v>
      </c>
      <c r="G1570" s="1">
        <v>25</v>
      </c>
      <c r="H1570" s="1">
        <v>42</v>
      </c>
      <c r="I1570" s="1">
        <v>0.99629000000000001</v>
      </c>
      <c r="J1570" s="1">
        <v>3.34</v>
      </c>
      <c r="K1570" s="1">
        <v>0.59</v>
      </c>
      <c r="L1570" s="1">
        <v>9.1999999999999993</v>
      </c>
      <c r="M1570" s="2">
        <v>5</v>
      </c>
      <c r="N1570" s="2" t="str" cm="1">
        <f t="array" ref="N1570">_xlfn.IFS(Table1[[#This Row],[quality]]&lt;=4,"Low",Table1[[#This Row],[quality]]&lt;=6,"Medium",Table1[[#This Row],[quality]]&gt;=7,"High")</f>
        <v>Medium</v>
      </c>
      <c r="O1570" s="2" t="str">
        <f>IF(AND(Table1[[#This Row],[fixed acidity]]&gt;Sheet1!$C$4,Table1[[#This Row],[pH]]&lt;Sheet1!$K$4),"High","Normal")</f>
        <v>Normal</v>
      </c>
      <c r="P1570" s="1">
        <f>(Table1[[#This Row],[alcohol]]*2)+(Table1[[#This Row],[sulphates]]*1.5)-(Table1[[#This Row],[volatile acidity]]*2)</f>
        <v>18.164999999999999</v>
      </c>
      <c r="Q1570" s="1">
        <f>RANK(Table1[[#This Row],[Quality_score_index]],Table1[Quality_score_index],0)</f>
        <v>1486</v>
      </c>
      <c r="R1570" s="1">
        <f>Table1[[#This Row],[total sulfur dioxide]]-Table1[[#This Row],[free sulfur dioxide]]</f>
        <v>17</v>
      </c>
      <c r="S1570" s="1" t="str">
        <f>IF(AND(Table1[[#This Row],[pH]]&gt;=3.2,Table1[[#This Row],[alcohol]]&gt;=10),"White wine","Red wine")</f>
        <v>Red wine</v>
      </c>
    </row>
    <row r="1571" spans="1:19" x14ac:dyDescent="0.3">
      <c r="A1571" s="13">
        <v>1570</v>
      </c>
      <c r="B1571" s="1">
        <v>6.2</v>
      </c>
      <c r="C1571" s="1">
        <v>0.51</v>
      </c>
      <c r="D1571" s="1">
        <v>0.14000000000000001</v>
      </c>
      <c r="E1571" s="1">
        <v>1.9</v>
      </c>
      <c r="F1571" s="1">
        <v>5.6000000000000001E-2</v>
      </c>
      <c r="G1571" s="1">
        <v>15</v>
      </c>
      <c r="H1571" s="1">
        <v>34</v>
      </c>
      <c r="I1571" s="1">
        <v>0.99395999999999995</v>
      </c>
      <c r="J1571" s="1">
        <v>3.48</v>
      </c>
      <c r="K1571" s="1">
        <v>0.56999999999999995</v>
      </c>
      <c r="L1571" s="1">
        <v>11.5</v>
      </c>
      <c r="M1571" s="2">
        <v>6</v>
      </c>
      <c r="N1571" s="2" t="str" cm="1">
        <f t="array" ref="N1571">_xlfn.IFS(Table1[[#This Row],[quality]]&lt;=4,"Low",Table1[[#This Row],[quality]]&lt;=6,"Medium",Table1[[#This Row],[quality]]&gt;=7,"High")</f>
        <v>Medium</v>
      </c>
      <c r="O1571" s="2" t="str">
        <f>IF(AND(Table1[[#This Row],[fixed acidity]]&gt;Sheet1!$C$4,Table1[[#This Row],[pH]]&lt;Sheet1!$K$4),"High","Normal")</f>
        <v>Normal</v>
      </c>
      <c r="P1571" s="1">
        <f>(Table1[[#This Row],[alcohol]]*2)+(Table1[[#This Row],[sulphates]]*1.5)-(Table1[[#This Row],[volatile acidity]]*2)</f>
        <v>22.835000000000001</v>
      </c>
      <c r="Q1571" s="1">
        <f>RANK(Table1[[#This Row],[Quality_score_index]],Table1[Quality_score_index],0)</f>
        <v>307</v>
      </c>
      <c r="R1571" s="1">
        <f>Table1[[#This Row],[total sulfur dioxide]]-Table1[[#This Row],[free sulfur dioxide]]</f>
        <v>19</v>
      </c>
      <c r="S1571" s="1" t="str">
        <f>IF(AND(Table1[[#This Row],[pH]]&gt;=3.2,Table1[[#This Row],[alcohol]]&gt;=10),"White wine","Red wine")</f>
        <v>White wine</v>
      </c>
    </row>
    <row r="1572" spans="1:19" x14ac:dyDescent="0.3">
      <c r="A1572" s="13">
        <v>1571</v>
      </c>
      <c r="B1572" s="1">
        <v>6.4</v>
      </c>
      <c r="C1572" s="1">
        <v>0.36</v>
      </c>
      <c r="D1572" s="1">
        <v>0.53</v>
      </c>
      <c r="E1572" s="1">
        <v>2.2000000000000002</v>
      </c>
      <c r="F1572" s="1">
        <v>0.23</v>
      </c>
      <c r="G1572" s="1">
        <v>19</v>
      </c>
      <c r="H1572" s="1">
        <v>35</v>
      </c>
      <c r="I1572" s="1">
        <v>0.99339999999999995</v>
      </c>
      <c r="J1572" s="1">
        <v>3.37</v>
      </c>
      <c r="K1572" s="1">
        <v>0.93</v>
      </c>
      <c r="L1572" s="1">
        <v>12.4</v>
      </c>
      <c r="M1572" s="2">
        <v>6</v>
      </c>
      <c r="N1572" s="2" t="str" cm="1">
        <f t="array" ref="N1572">_xlfn.IFS(Table1[[#This Row],[quality]]&lt;=4,"Low",Table1[[#This Row],[quality]]&lt;=6,"Medium",Table1[[#This Row],[quality]]&gt;=7,"High")</f>
        <v>Medium</v>
      </c>
      <c r="O1572" s="2" t="str">
        <f>IF(AND(Table1[[#This Row],[fixed acidity]]&gt;Sheet1!$C$4,Table1[[#This Row],[pH]]&lt;Sheet1!$K$4),"High","Normal")</f>
        <v>Normal</v>
      </c>
      <c r="P1572" s="1">
        <f>(Table1[[#This Row],[alcohol]]*2)+(Table1[[#This Row],[sulphates]]*1.5)-(Table1[[#This Row],[volatile acidity]]*2)</f>
        <v>25.475000000000001</v>
      </c>
      <c r="Q1572" s="1">
        <f>RANK(Table1[[#This Row],[Quality_score_index]],Table1[Quality_score_index],0)</f>
        <v>57</v>
      </c>
      <c r="R1572" s="1">
        <f>Table1[[#This Row],[total sulfur dioxide]]-Table1[[#This Row],[free sulfur dioxide]]</f>
        <v>16</v>
      </c>
      <c r="S1572" s="1" t="str">
        <f>IF(AND(Table1[[#This Row],[pH]]&gt;=3.2,Table1[[#This Row],[alcohol]]&gt;=10),"White wine","Red wine")</f>
        <v>White wine</v>
      </c>
    </row>
    <row r="1573" spans="1:19" x14ac:dyDescent="0.3">
      <c r="A1573" s="13">
        <v>1572</v>
      </c>
      <c r="B1573" s="1">
        <v>6.4</v>
      </c>
      <c r="C1573" s="1">
        <v>0.38</v>
      </c>
      <c r="D1573" s="1">
        <v>0.14000000000000001</v>
      </c>
      <c r="E1573" s="1">
        <v>2.2000000000000002</v>
      </c>
      <c r="F1573" s="1">
        <v>3.7999999999999999E-2</v>
      </c>
      <c r="G1573" s="1">
        <v>15</v>
      </c>
      <c r="H1573" s="1">
        <v>25</v>
      </c>
      <c r="I1573" s="1">
        <v>0.99514000000000002</v>
      </c>
      <c r="J1573" s="1">
        <v>3.44</v>
      </c>
      <c r="K1573" s="1">
        <v>0.65</v>
      </c>
      <c r="L1573" s="1">
        <v>11.1</v>
      </c>
      <c r="M1573" s="2">
        <v>6</v>
      </c>
      <c r="N1573" s="2" t="str" cm="1">
        <f t="array" ref="N1573">_xlfn.IFS(Table1[[#This Row],[quality]]&lt;=4,"Low",Table1[[#This Row],[quality]]&lt;=6,"Medium",Table1[[#This Row],[quality]]&gt;=7,"High")</f>
        <v>Medium</v>
      </c>
      <c r="O1573" s="2" t="str">
        <f>IF(AND(Table1[[#This Row],[fixed acidity]]&gt;Sheet1!$C$4,Table1[[#This Row],[pH]]&lt;Sheet1!$K$4),"High","Normal")</f>
        <v>Normal</v>
      </c>
      <c r="P1573" s="1">
        <f>(Table1[[#This Row],[alcohol]]*2)+(Table1[[#This Row],[sulphates]]*1.5)-(Table1[[#This Row],[volatile acidity]]*2)</f>
        <v>22.414999999999999</v>
      </c>
      <c r="Q1573" s="1">
        <f>RANK(Table1[[#This Row],[Quality_score_index]],Table1[Quality_score_index],0)</f>
        <v>391</v>
      </c>
      <c r="R1573" s="1">
        <f>Table1[[#This Row],[total sulfur dioxide]]-Table1[[#This Row],[free sulfur dioxide]]</f>
        <v>10</v>
      </c>
      <c r="S1573" s="1" t="str">
        <f>IF(AND(Table1[[#This Row],[pH]]&gt;=3.2,Table1[[#This Row],[alcohol]]&gt;=10),"White wine","Red wine")</f>
        <v>White wine</v>
      </c>
    </row>
    <row r="1574" spans="1:19" x14ac:dyDescent="0.3">
      <c r="A1574" s="13">
        <v>1573</v>
      </c>
      <c r="B1574" s="1">
        <v>7.3</v>
      </c>
      <c r="C1574" s="1">
        <v>0.69</v>
      </c>
      <c r="D1574" s="1">
        <v>0.32</v>
      </c>
      <c r="E1574" s="1">
        <v>2.2000000000000002</v>
      </c>
      <c r="F1574" s="1">
        <v>6.9000000000000006E-2</v>
      </c>
      <c r="G1574" s="1">
        <v>35</v>
      </c>
      <c r="H1574" s="1">
        <v>104</v>
      </c>
      <c r="I1574" s="1">
        <v>0.99631999999999998</v>
      </c>
      <c r="J1574" s="1">
        <v>3.33</v>
      </c>
      <c r="K1574" s="1">
        <v>0.51</v>
      </c>
      <c r="L1574" s="1">
        <v>9.5</v>
      </c>
      <c r="M1574" s="2">
        <v>5</v>
      </c>
      <c r="N1574" s="2" t="str" cm="1">
        <f t="array" ref="N1574">_xlfn.IFS(Table1[[#This Row],[quality]]&lt;=4,"Low",Table1[[#This Row],[quality]]&lt;=6,"Medium",Table1[[#This Row],[quality]]&gt;=7,"High")</f>
        <v>Medium</v>
      </c>
      <c r="O1574" s="2" t="str">
        <f>IF(AND(Table1[[#This Row],[fixed acidity]]&gt;Sheet1!$C$4,Table1[[#This Row],[pH]]&lt;Sheet1!$K$4),"High","Normal")</f>
        <v>Normal</v>
      </c>
      <c r="P1574" s="1">
        <f>(Table1[[#This Row],[alcohol]]*2)+(Table1[[#This Row],[sulphates]]*1.5)-(Table1[[#This Row],[volatile acidity]]*2)</f>
        <v>18.385000000000002</v>
      </c>
      <c r="Q1574" s="1">
        <f>RANK(Table1[[#This Row],[Quality_score_index]],Table1[Quality_score_index],0)</f>
        <v>1422</v>
      </c>
      <c r="R1574" s="1">
        <f>Table1[[#This Row],[total sulfur dioxide]]-Table1[[#This Row],[free sulfur dioxide]]</f>
        <v>69</v>
      </c>
      <c r="S1574" s="1" t="str">
        <f>IF(AND(Table1[[#This Row],[pH]]&gt;=3.2,Table1[[#This Row],[alcohol]]&gt;=10),"White wine","Red wine")</f>
        <v>Red wine</v>
      </c>
    </row>
    <row r="1575" spans="1:19" x14ac:dyDescent="0.3">
      <c r="A1575" s="13">
        <v>1574</v>
      </c>
      <c r="B1575" s="1">
        <v>6</v>
      </c>
      <c r="C1575" s="1">
        <v>0.57999999999999996</v>
      </c>
      <c r="D1575" s="1">
        <v>0.2</v>
      </c>
      <c r="E1575" s="1">
        <v>2.4</v>
      </c>
      <c r="F1575" s="1">
        <v>7.4999999999999997E-2</v>
      </c>
      <c r="G1575" s="1">
        <v>15</v>
      </c>
      <c r="H1575" s="1">
        <v>50</v>
      </c>
      <c r="I1575" s="1">
        <v>0.99467000000000005</v>
      </c>
      <c r="J1575" s="1">
        <v>3.58</v>
      </c>
      <c r="K1575" s="1">
        <v>0.67</v>
      </c>
      <c r="L1575" s="1">
        <v>12.5</v>
      </c>
      <c r="M1575" s="2">
        <v>6</v>
      </c>
      <c r="N1575" s="2" t="str" cm="1">
        <f t="array" ref="N1575">_xlfn.IFS(Table1[[#This Row],[quality]]&lt;=4,"Low",Table1[[#This Row],[quality]]&lt;=6,"Medium",Table1[[#This Row],[quality]]&gt;=7,"High")</f>
        <v>Medium</v>
      </c>
      <c r="O1575" s="2" t="str">
        <f>IF(AND(Table1[[#This Row],[fixed acidity]]&gt;Sheet1!$C$4,Table1[[#This Row],[pH]]&lt;Sheet1!$K$4),"High","Normal")</f>
        <v>Normal</v>
      </c>
      <c r="P1575" s="1">
        <f>(Table1[[#This Row],[alcohol]]*2)+(Table1[[#This Row],[sulphates]]*1.5)-(Table1[[#This Row],[volatile acidity]]*2)</f>
        <v>24.844999999999999</v>
      </c>
      <c r="Q1575" s="1">
        <f>RANK(Table1[[#This Row],[Quality_score_index]],Table1[Quality_score_index],0)</f>
        <v>100</v>
      </c>
      <c r="R1575" s="1">
        <f>Table1[[#This Row],[total sulfur dioxide]]-Table1[[#This Row],[free sulfur dioxide]]</f>
        <v>35</v>
      </c>
      <c r="S1575" s="1" t="str">
        <f>IF(AND(Table1[[#This Row],[pH]]&gt;=3.2,Table1[[#This Row],[alcohol]]&gt;=10),"White wine","Red wine")</f>
        <v>White wine</v>
      </c>
    </row>
    <row r="1576" spans="1:19" x14ac:dyDescent="0.3">
      <c r="A1576" s="13">
        <v>1575</v>
      </c>
      <c r="B1576" s="1">
        <v>5.6</v>
      </c>
      <c r="C1576" s="1">
        <v>0.31</v>
      </c>
      <c r="D1576" s="1">
        <v>0.78</v>
      </c>
      <c r="E1576" s="1">
        <v>13.9</v>
      </c>
      <c r="F1576" s="1">
        <v>7.3999999999999996E-2</v>
      </c>
      <c r="G1576" s="1">
        <v>23</v>
      </c>
      <c r="H1576" s="1">
        <v>92</v>
      </c>
      <c r="I1576" s="1">
        <v>0.99677000000000004</v>
      </c>
      <c r="J1576" s="1">
        <v>3.39</v>
      </c>
      <c r="K1576" s="1">
        <v>0.48</v>
      </c>
      <c r="L1576" s="1">
        <v>10.5</v>
      </c>
      <c r="M1576" s="2">
        <v>6</v>
      </c>
      <c r="N1576" s="2" t="str" cm="1">
        <f t="array" ref="N1576">_xlfn.IFS(Table1[[#This Row],[quality]]&lt;=4,"Low",Table1[[#This Row],[quality]]&lt;=6,"Medium",Table1[[#This Row],[quality]]&gt;=7,"High")</f>
        <v>Medium</v>
      </c>
      <c r="O1576" s="2" t="str">
        <f>IF(AND(Table1[[#This Row],[fixed acidity]]&gt;Sheet1!$C$4,Table1[[#This Row],[pH]]&lt;Sheet1!$K$4),"High","Normal")</f>
        <v>Normal</v>
      </c>
      <c r="P1576" s="1">
        <f>(Table1[[#This Row],[alcohol]]*2)+(Table1[[#This Row],[sulphates]]*1.5)-(Table1[[#This Row],[volatile acidity]]*2)</f>
        <v>21.099999999999998</v>
      </c>
      <c r="Q1576" s="1">
        <f>RANK(Table1[[#This Row],[Quality_score_index]],Table1[Quality_score_index],0)</f>
        <v>630</v>
      </c>
      <c r="R1576" s="1">
        <f>Table1[[#This Row],[total sulfur dioxide]]-Table1[[#This Row],[free sulfur dioxide]]</f>
        <v>69</v>
      </c>
      <c r="S1576" s="1" t="str">
        <f>IF(AND(Table1[[#This Row],[pH]]&gt;=3.2,Table1[[#This Row],[alcohol]]&gt;=10),"White wine","Red wine")</f>
        <v>White wine</v>
      </c>
    </row>
    <row r="1577" spans="1:19" x14ac:dyDescent="0.3">
      <c r="A1577" s="13">
        <v>1576</v>
      </c>
      <c r="B1577" s="1">
        <v>7.5</v>
      </c>
      <c r="C1577" s="1">
        <v>0.52</v>
      </c>
      <c r="D1577" s="1">
        <v>0.4</v>
      </c>
      <c r="E1577" s="1">
        <v>2.2000000000000002</v>
      </c>
      <c r="F1577" s="1">
        <v>0.06</v>
      </c>
      <c r="G1577" s="1">
        <v>12</v>
      </c>
      <c r="H1577" s="1">
        <v>20</v>
      </c>
      <c r="I1577" s="1">
        <v>0.99473999999999996</v>
      </c>
      <c r="J1577" s="1">
        <v>3.26</v>
      </c>
      <c r="K1577" s="1">
        <v>0.64</v>
      </c>
      <c r="L1577" s="1">
        <v>11.8</v>
      </c>
      <c r="M1577" s="2">
        <v>6</v>
      </c>
      <c r="N1577" s="2" t="str" cm="1">
        <f t="array" ref="N1577">_xlfn.IFS(Table1[[#This Row],[quality]]&lt;=4,"Low",Table1[[#This Row],[quality]]&lt;=6,"Medium",Table1[[#This Row],[quality]]&gt;=7,"High")</f>
        <v>Medium</v>
      </c>
      <c r="O1577" s="2" t="str">
        <f>IF(AND(Table1[[#This Row],[fixed acidity]]&gt;Sheet1!$C$4,Table1[[#This Row],[pH]]&lt;Sheet1!$K$4),"High","Normal")</f>
        <v>Normal</v>
      </c>
      <c r="P1577" s="1">
        <f>(Table1[[#This Row],[alcohol]]*2)+(Table1[[#This Row],[sulphates]]*1.5)-(Table1[[#This Row],[volatile acidity]]*2)</f>
        <v>23.520000000000003</v>
      </c>
      <c r="Q1577" s="1">
        <f>RANK(Table1[[#This Row],[Quality_score_index]],Table1[Quality_score_index],0)</f>
        <v>216</v>
      </c>
      <c r="R1577" s="1">
        <f>Table1[[#This Row],[total sulfur dioxide]]-Table1[[#This Row],[free sulfur dioxide]]</f>
        <v>8</v>
      </c>
      <c r="S1577" s="1" t="str">
        <f>IF(AND(Table1[[#This Row],[pH]]&gt;=3.2,Table1[[#This Row],[alcohol]]&gt;=10),"White wine","Red wine")</f>
        <v>White wine</v>
      </c>
    </row>
    <row r="1578" spans="1:19" x14ac:dyDescent="0.3">
      <c r="A1578" s="13">
        <v>1577</v>
      </c>
      <c r="B1578" s="1">
        <v>8</v>
      </c>
      <c r="C1578" s="1">
        <v>0.3</v>
      </c>
      <c r="D1578" s="1">
        <v>0.63</v>
      </c>
      <c r="E1578" s="1">
        <v>1.6</v>
      </c>
      <c r="F1578" s="1">
        <v>8.1000000000000003E-2</v>
      </c>
      <c r="G1578" s="1">
        <v>16</v>
      </c>
      <c r="H1578" s="1">
        <v>29</v>
      </c>
      <c r="I1578" s="1">
        <v>0.99587999999999999</v>
      </c>
      <c r="J1578" s="1">
        <v>3.3</v>
      </c>
      <c r="K1578" s="1">
        <v>0.78</v>
      </c>
      <c r="L1578" s="1">
        <v>10.8</v>
      </c>
      <c r="M1578" s="2">
        <v>6</v>
      </c>
      <c r="N1578" s="2" t="str" cm="1">
        <f t="array" ref="N1578">_xlfn.IFS(Table1[[#This Row],[quality]]&lt;=4,"Low",Table1[[#This Row],[quality]]&lt;=6,"Medium",Table1[[#This Row],[quality]]&gt;=7,"High")</f>
        <v>Medium</v>
      </c>
      <c r="O1578" s="2" t="str">
        <f>IF(AND(Table1[[#This Row],[fixed acidity]]&gt;Sheet1!$C$4,Table1[[#This Row],[pH]]&lt;Sheet1!$K$4),"High","Normal")</f>
        <v>Normal</v>
      </c>
      <c r="P1578" s="1">
        <f>(Table1[[#This Row],[alcohol]]*2)+(Table1[[#This Row],[sulphates]]*1.5)-(Table1[[#This Row],[volatile acidity]]*2)</f>
        <v>22.17</v>
      </c>
      <c r="Q1578" s="1">
        <f>RANK(Table1[[#This Row],[Quality_score_index]],Table1[Quality_score_index],0)</f>
        <v>425</v>
      </c>
      <c r="R1578" s="1">
        <f>Table1[[#This Row],[total sulfur dioxide]]-Table1[[#This Row],[free sulfur dioxide]]</f>
        <v>13</v>
      </c>
      <c r="S1578" s="1" t="str">
        <f>IF(AND(Table1[[#This Row],[pH]]&gt;=3.2,Table1[[#This Row],[alcohol]]&gt;=10),"White wine","Red wine")</f>
        <v>White wine</v>
      </c>
    </row>
    <row r="1579" spans="1:19" x14ac:dyDescent="0.3">
      <c r="A1579" s="13">
        <v>1578</v>
      </c>
      <c r="B1579" s="1">
        <v>6.2</v>
      </c>
      <c r="C1579" s="1">
        <v>0.7</v>
      </c>
      <c r="D1579" s="1">
        <v>0.15</v>
      </c>
      <c r="E1579" s="1">
        <v>5.0999999999999996</v>
      </c>
      <c r="F1579" s="1">
        <v>7.5999999999999998E-2</v>
      </c>
      <c r="G1579" s="1">
        <v>13</v>
      </c>
      <c r="H1579" s="1">
        <v>27</v>
      </c>
      <c r="I1579" s="1">
        <v>0.99621999999999999</v>
      </c>
      <c r="J1579" s="1">
        <v>3.54</v>
      </c>
      <c r="K1579" s="1">
        <v>0.6</v>
      </c>
      <c r="L1579" s="1">
        <v>11.9</v>
      </c>
      <c r="M1579" s="2">
        <v>6</v>
      </c>
      <c r="N1579" s="2" t="str" cm="1">
        <f t="array" ref="N1579">_xlfn.IFS(Table1[[#This Row],[quality]]&lt;=4,"Low",Table1[[#This Row],[quality]]&lt;=6,"Medium",Table1[[#This Row],[quality]]&gt;=7,"High")</f>
        <v>Medium</v>
      </c>
      <c r="O1579" s="2" t="str">
        <f>IF(AND(Table1[[#This Row],[fixed acidity]]&gt;Sheet1!$C$4,Table1[[#This Row],[pH]]&lt;Sheet1!$K$4),"High","Normal")</f>
        <v>Normal</v>
      </c>
      <c r="P1579" s="1">
        <f>(Table1[[#This Row],[alcohol]]*2)+(Table1[[#This Row],[sulphates]]*1.5)-(Table1[[#This Row],[volatile acidity]]*2)</f>
        <v>23.3</v>
      </c>
      <c r="Q1579" s="1">
        <f>RANK(Table1[[#This Row],[Quality_score_index]],Table1[Quality_score_index],0)</f>
        <v>234</v>
      </c>
      <c r="R1579" s="1">
        <f>Table1[[#This Row],[total sulfur dioxide]]-Table1[[#This Row],[free sulfur dioxide]]</f>
        <v>14</v>
      </c>
      <c r="S1579" s="1" t="str">
        <f>IF(AND(Table1[[#This Row],[pH]]&gt;=3.2,Table1[[#This Row],[alcohol]]&gt;=10),"White wine","Red wine")</f>
        <v>White wine</v>
      </c>
    </row>
    <row r="1580" spans="1:19" x14ac:dyDescent="0.3">
      <c r="A1580" s="13">
        <v>1579</v>
      </c>
      <c r="B1580" s="1">
        <v>6.8</v>
      </c>
      <c r="C1580" s="1">
        <v>0.67</v>
      </c>
      <c r="D1580" s="1">
        <v>0.15</v>
      </c>
      <c r="E1580" s="1">
        <v>1.8</v>
      </c>
      <c r="F1580" s="1">
        <v>0.11799999999999999</v>
      </c>
      <c r="G1580" s="1">
        <v>13</v>
      </c>
      <c r="H1580" s="1">
        <v>20</v>
      </c>
      <c r="I1580" s="1">
        <v>0.99539999999999995</v>
      </c>
      <c r="J1580" s="1">
        <v>3.42</v>
      </c>
      <c r="K1580" s="1">
        <v>0.67</v>
      </c>
      <c r="L1580" s="1">
        <v>11.3</v>
      </c>
      <c r="M1580" s="2">
        <v>6</v>
      </c>
      <c r="N1580" s="2" t="str" cm="1">
        <f t="array" ref="N1580">_xlfn.IFS(Table1[[#This Row],[quality]]&lt;=4,"Low",Table1[[#This Row],[quality]]&lt;=6,"Medium",Table1[[#This Row],[quality]]&gt;=7,"High")</f>
        <v>Medium</v>
      </c>
      <c r="O1580" s="2" t="str">
        <f>IF(AND(Table1[[#This Row],[fixed acidity]]&gt;Sheet1!$C$4,Table1[[#This Row],[pH]]&lt;Sheet1!$K$4),"High","Normal")</f>
        <v>Normal</v>
      </c>
      <c r="P1580" s="1">
        <f>(Table1[[#This Row],[alcohol]]*2)+(Table1[[#This Row],[sulphates]]*1.5)-(Table1[[#This Row],[volatile acidity]]*2)</f>
        <v>22.265000000000001</v>
      </c>
      <c r="Q1580" s="1">
        <f>RANK(Table1[[#This Row],[Quality_score_index]],Table1[Quality_score_index],0)</f>
        <v>411</v>
      </c>
      <c r="R1580" s="1">
        <f>Table1[[#This Row],[total sulfur dioxide]]-Table1[[#This Row],[free sulfur dioxide]]</f>
        <v>7</v>
      </c>
      <c r="S1580" s="1" t="str">
        <f>IF(AND(Table1[[#This Row],[pH]]&gt;=3.2,Table1[[#This Row],[alcohol]]&gt;=10),"White wine","Red wine")</f>
        <v>White wine</v>
      </c>
    </row>
    <row r="1581" spans="1:19" x14ac:dyDescent="0.3">
      <c r="A1581" s="13">
        <v>1580</v>
      </c>
      <c r="B1581" s="1">
        <v>6.2</v>
      </c>
      <c r="C1581" s="1">
        <v>0.56000000000000005</v>
      </c>
      <c r="D1581" s="1">
        <v>0.09</v>
      </c>
      <c r="E1581" s="1">
        <v>1.7</v>
      </c>
      <c r="F1581" s="1">
        <v>5.2999999999999999E-2</v>
      </c>
      <c r="G1581" s="1">
        <v>24</v>
      </c>
      <c r="H1581" s="1">
        <v>32</v>
      </c>
      <c r="I1581" s="1">
        <v>0.99402000000000001</v>
      </c>
      <c r="J1581" s="1">
        <v>3.54</v>
      </c>
      <c r="K1581" s="1">
        <v>0.6</v>
      </c>
      <c r="L1581" s="1">
        <v>11.3</v>
      </c>
      <c r="M1581" s="2">
        <v>5</v>
      </c>
      <c r="N1581" s="2" t="str" cm="1">
        <f t="array" ref="N1581">_xlfn.IFS(Table1[[#This Row],[quality]]&lt;=4,"Low",Table1[[#This Row],[quality]]&lt;=6,"Medium",Table1[[#This Row],[quality]]&gt;=7,"High")</f>
        <v>Medium</v>
      </c>
      <c r="O1581" s="2" t="str">
        <f>IF(AND(Table1[[#This Row],[fixed acidity]]&gt;Sheet1!$C$4,Table1[[#This Row],[pH]]&lt;Sheet1!$K$4),"High","Normal")</f>
        <v>Normal</v>
      </c>
      <c r="P1581" s="1">
        <f>(Table1[[#This Row],[alcohol]]*2)+(Table1[[#This Row],[sulphates]]*1.5)-(Table1[[#This Row],[volatile acidity]]*2)</f>
        <v>22.38</v>
      </c>
      <c r="Q1581" s="1">
        <f>RANK(Table1[[#This Row],[Quality_score_index]],Table1[Quality_score_index],0)</f>
        <v>394</v>
      </c>
      <c r="R1581" s="1">
        <f>Table1[[#This Row],[total sulfur dioxide]]-Table1[[#This Row],[free sulfur dioxide]]</f>
        <v>8</v>
      </c>
      <c r="S1581" s="1" t="str">
        <f>IF(AND(Table1[[#This Row],[pH]]&gt;=3.2,Table1[[#This Row],[alcohol]]&gt;=10),"White wine","Red wine")</f>
        <v>White wine</v>
      </c>
    </row>
    <row r="1582" spans="1:19" x14ac:dyDescent="0.3">
      <c r="A1582" s="13">
        <v>1581</v>
      </c>
      <c r="B1582" s="1">
        <v>7.4</v>
      </c>
      <c r="C1582" s="1">
        <v>0.35</v>
      </c>
      <c r="D1582" s="1">
        <v>0.33</v>
      </c>
      <c r="E1582" s="1">
        <v>2.4</v>
      </c>
      <c r="F1582" s="1">
        <v>6.8000000000000005E-2</v>
      </c>
      <c r="G1582" s="1">
        <v>9</v>
      </c>
      <c r="H1582" s="1">
        <v>26</v>
      </c>
      <c r="I1582" s="1">
        <v>0.99470000000000003</v>
      </c>
      <c r="J1582" s="1">
        <v>3.36</v>
      </c>
      <c r="K1582" s="1">
        <v>0.6</v>
      </c>
      <c r="L1582" s="1">
        <v>11.9</v>
      </c>
      <c r="M1582" s="2">
        <v>6</v>
      </c>
      <c r="N1582" s="2" t="str" cm="1">
        <f t="array" ref="N1582">_xlfn.IFS(Table1[[#This Row],[quality]]&lt;=4,"Low",Table1[[#This Row],[quality]]&lt;=6,"Medium",Table1[[#This Row],[quality]]&gt;=7,"High")</f>
        <v>Medium</v>
      </c>
      <c r="O1582" s="2" t="str">
        <f>IF(AND(Table1[[#This Row],[fixed acidity]]&gt;Sheet1!$C$4,Table1[[#This Row],[pH]]&lt;Sheet1!$K$4),"High","Normal")</f>
        <v>Normal</v>
      </c>
      <c r="P1582" s="1">
        <f>(Table1[[#This Row],[alcohol]]*2)+(Table1[[#This Row],[sulphates]]*1.5)-(Table1[[#This Row],[volatile acidity]]*2)</f>
        <v>24</v>
      </c>
      <c r="Q1582" s="1">
        <f>RANK(Table1[[#This Row],[Quality_score_index]],Table1[Quality_score_index],0)</f>
        <v>180</v>
      </c>
      <c r="R1582" s="1">
        <f>Table1[[#This Row],[total sulfur dioxide]]-Table1[[#This Row],[free sulfur dioxide]]</f>
        <v>17</v>
      </c>
      <c r="S1582" s="1" t="str">
        <f>IF(AND(Table1[[#This Row],[pH]]&gt;=3.2,Table1[[#This Row],[alcohol]]&gt;=10),"White wine","Red wine")</f>
        <v>White wine</v>
      </c>
    </row>
    <row r="1583" spans="1:19" x14ac:dyDescent="0.3">
      <c r="A1583" s="13">
        <v>1582</v>
      </c>
      <c r="B1583" s="1">
        <v>6.2</v>
      </c>
      <c r="C1583" s="1">
        <v>0.56000000000000005</v>
      </c>
      <c r="D1583" s="1">
        <v>0.09</v>
      </c>
      <c r="E1583" s="1">
        <v>1.7</v>
      </c>
      <c r="F1583" s="1">
        <v>5.2999999999999999E-2</v>
      </c>
      <c r="G1583" s="1">
        <v>24</v>
      </c>
      <c r="H1583" s="1">
        <v>32</v>
      </c>
      <c r="I1583" s="1">
        <v>0.99402000000000001</v>
      </c>
      <c r="J1583" s="1">
        <v>3.54</v>
      </c>
      <c r="K1583" s="1">
        <v>0.6</v>
      </c>
      <c r="L1583" s="1">
        <v>11.3</v>
      </c>
      <c r="M1583" s="2">
        <v>5</v>
      </c>
      <c r="N1583" s="2" t="str" cm="1">
        <f t="array" ref="N1583">_xlfn.IFS(Table1[[#This Row],[quality]]&lt;=4,"Low",Table1[[#This Row],[quality]]&lt;=6,"Medium",Table1[[#This Row],[quality]]&gt;=7,"High")</f>
        <v>Medium</v>
      </c>
      <c r="O1583" s="2" t="str">
        <f>IF(AND(Table1[[#This Row],[fixed acidity]]&gt;Sheet1!$C$4,Table1[[#This Row],[pH]]&lt;Sheet1!$K$4),"High","Normal")</f>
        <v>Normal</v>
      </c>
      <c r="P1583" s="1">
        <f>(Table1[[#This Row],[alcohol]]*2)+(Table1[[#This Row],[sulphates]]*1.5)-(Table1[[#This Row],[volatile acidity]]*2)</f>
        <v>22.38</v>
      </c>
      <c r="Q1583" s="1">
        <f>RANK(Table1[[#This Row],[Quality_score_index]],Table1[Quality_score_index],0)</f>
        <v>394</v>
      </c>
      <c r="R1583" s="1">
        <f>Table1[[#This Row],[total sulfur dioxide]]-Table1[[#This Row],[free sulfur dioxide]]</f>
        <v>8</v>
      </c>
      <c r="S1583" s="1" t="str">
        <f>IF(AND(Table1[[#This Row],[pH]]&gt;=3.2,Table1[[#This Row],[alcohol]]&gt;=10),"White wine","Red wine")</f>
        <v>White wine</v>
      </c>
    </row>
    <row r="1584" spans="1:19" x14ac:dyDescent="0.3">
      <c r="A1584" s="13">
        <v>1583</v>
      </c>
      <c r="B1584" s="1">
        <v>6.1</v>
      </c>
      <c r="C1584" s="1">
        <v>0.71499999999999997</v>
      </c>
      <c r="D1584" s="1">
        <v>0.1</v>
      </c>
      <c r="E1584" s="1">
        <v>2.6</v>
      </c>
      <c r="F1584" s="1">
        <v>5.2999999999999999E-2</v>
      </c>
      <c r="G1584" s="1">
        <v>13</v>
      </c>
      <c r="H1584" s="1">
        <v>27</v>
      </c>
      <c r="I1584" s="1">
        <v>0.99361999999999995</v>
      </c>
      <c r="J1584" s="1">
        <v>3.57</v>
      </c>
      <c r="K1584" s="1">
        <v>0.5</v>
      </c>
      <c r="L1584" s="1">
        <v>11.9</v>
      </c>
      <c r="M1584" s="2">
        <v>5</v>
      </c>
      <c r="N1584" s="2" t="str" cm="1">
        <f t="array" ref="N1584">_xlfn.IFS(Table1[[#This Row],[quality]]&lt;=4,"Low",Table1[[#This Row],[quality]]&lt;=6,"Medium",Table1[[#This Row],[quality]]&gt;=7,"High")</f>
        <v>Medium</v>
      </c>
      <c r="O1584" s="2" t="str">
        <f>IF(AND(Table1[[#This Row],[fixed acidity]]&gt;Sheet1!$C$4,Table1[[#This Row],[pH]]&lt;Sheet1!$K$4),"High","Normal")</f>
        <v>Normal</v>
      </c>
      <c r="P1584" s="1">
        <f>(Table1[[#This Row],[alcohol]]*2)+(Table1[[#This Row],[sulphates]]*1.5)-(Table1[[#This Row],[volatile acidity]]*2)</f>
        <v>23.12</v>
      </c>
      <c r="Q1584" s="1">
        <f>RANK(Table1[[#This Row],[Quality_score_index]],Table1[Quality_score_index],0)</f>
        <v>257</v>
      </c>
      <c r="R1584" s="1">
        <f>Table1[[#This Row],[total sulfur dioxide]]-Table1[[#This Row],[free sulfur dioxide]]</f>
        <v>14</v>
      </c>
      <c r="S1584" s="1" t="str">
        <f>IF(AND(Table1[[#This Row],[pH]]&gt;=3.2,Table1[[#This Row],[alcohol]]&gt;=10),"White wine","Red wine")</f>
        <v>White wine</v>
      </c>
    </row>
    <row r="1585" spans="1:19" x14ac:dyDescent="0.3">
      <c r="A1585" s="13">
        <v>1584</v>
      </c>
      <c r="B1585" s="1">
        <v>6.2</v>
      </c>
      <c r="C1585" s="1">
        <v>0.46</v>
      </c>
      <c r="D1585" s="1">
        <v>0.28999999999999998</v>
      </c>
      <c r="E1585" s="1">
        <v>2.1</v>
      </c>
      <c r="F1585" s="1">
        <v>7.3999999999999996E-2</v>
      </c>
      <c r="G1585" s="1">
        <v>32</v>
      </c>
      <c r="H1585" s="1">
        <v>98</v>
      </c>
      <c r="I1585" s="1">
        <v>0.99578</v>
      </c>
      <c r="J1585" s="1">
        <v>3.33</v>
      </c>
      <c r="K1585" s="1">
        <v>0.62</v>
      </c>
      <c r="L1585" s="1">
        <v>9.8000000000000007</v>
      </c>
      <c r="M1585" s="2">
        <v>5</v>
      </c>
      <c r="N1585" s="2" t="str" cm="1">
        <f t="array" ref="N1585">_xlfn.IFS(Table1[[#This Row],[quality]]&lt;=4,"Low",Table1[[#This Row],[quality]]&lt;=6,"Medium",Table1[[#This Row],[quality]]&gt;=7,"High")</f>
        <v>Medium</v>
      </c>
      <c r="O1585" s="2" t="str">
        <f>IF(AND(Table1[[#This Row],[fixed acidity]]&gt;Sheet1!$C$4,Table1[[#This Row],[pH]]&lt;Sheet1!$K$4),"High","Normal")</f>
        <v>Normal</v>
      </c>
      <c r="P1585" s="1">
        <f>(Table1[[#This Row],[alcohol]]*2)+(Table1[[#This Row],[sulphates]]*1.5)-(Table1[[#This Row],[volatile acidity]]*2)</f>
        <v>19.61</v>
      </c>
      <c r="Q1585" s="1">
        <f>RANK(Table1[[#This Row],[Quality_score_index]],Table1[Quality_score_index],0)</f>
        <v>951</v>
      </c>
      <c r="R1585" s="1">
        <f>Table1[[#This Row],[total sulfur dioxide]]-Table1[[#This Row],[free sulfur dioxide]]</f>
        <v>66</v>
      </c>
      <c r="S1585" s="1" t="str">
        <f>IF(AND(Table1[[#This Row],[pH]]&gt;=3.2,Table1[[#This Row],[alcohol]]&gt;=10),"White wine","Red wine")</f>
        <v>Red wine</v>
      </c>
    </row>
    <row r="1586" spans="1:19" x14ac:dyDescent="0.3">
      <c r="A1586" s="13">
        <v>1585</v>
      </c>
      <c r="B1586" s="1">
        <v>6.7</v>
      </c>
      <c r="C1586" s="1">
        <v>0.32</v>
      </c>
      <c r="D1586" s="1">
        <v>0.44</v>
      </c>
      <c r="E1586" s="1">
        <v>2.4</v>
      </c>
      <c r="F1586" s="1">
        <v>6.0999999999999999E-2</v>
      </c>
      <c r="G1586" s="1">
        <v>24</v>
      </c>
      <c r="H1586" s="1">
        <v>34</v>
      </c>
      <c r="I1586" s="1">
        <v>0.99483999999999995</v>
      </c>
      <c r="J1586" s="1">
        <v>3.29</v>
      </c>
      <c r="K1586" s="1">
        <v>0.8</v>
      </c>
      <c r="L1586" s="1">
        <v>11.6</v>
      </c>
      <c r="M1586" s="2">
        <v>7</v>
      </c>
      <c r="N1586" s="2" t="str" cm="1">
        <f t="array" ref="N1586">_xlfn.IFS(Table1[[#This Row],[quality]]&lt;=4,"Low",Table1[[#This Row],[quality]]&lt;=6,"Medium",Table1[[#This Row],[quality]]&gt;=7,"High")</f>
        <v>High</v>
      </c>
      <c r="O1586" s="2" t="str">
        <f>IF(AND(Table1[[#This Row],[fixed acidity]]&gt;Sheet1!$C$4,Table1[[#This Row],[pH]]&lt;Sheet1!$K$4),"High","Normal")</f>
        <v>Normal</v>
      </c>
      <c r="P1586" s="1">
        <f>(Table1[[#This Row],[alcohol]]*2)+(Table1[[#This Row],[sulphates]]*1.5)-(Table1[[#This Row],[volatile acidity]]*2)</f>
        <v>23.759999999999998</v>
      </c>
      <c r="Q1586" s="1">
        <f>RANK(Table1[[#This Row],[Quality_score_index]],Table1[Quality_score_index],0)</f>
        <v>199</v>
      </c>
      <c r="R1586" s="1">
        <f>Table1[[#This Row],[total sulfur dioxide]]-Table1[[#This Row],[free sulfur dioxide]]</f>
        <v>10</v>
      </c>
      <c r="S1586" s="1" t="str">
        <f>IF(AND(Table1[[#This Row],[pH]]&gt;=3.2,Table1[[#This Row],[alcohol]]&gt;=10),"White wine","Red wine")</f>
        <v>White wine</v>
      </c>
    </row>
    <row r="1587" spans="1:19" x14ac:dyDescent="0.3">
      <c r="A1587" s="13">
        <v>1586</v>
      </c>
      <c r="B1587" s="1">
        <v>7.2</v>
      </c>
      <c r="C1587" s="1">
        <v>0.39</v>
      </c>
      <c r="D1587" s="1">
        <v>0.44</v>
      </c>
      <c r="E1587" s="1">
        <v>2.6</v>
      </c>
      <c r="F1587" s="1">
        <v>6.6000000000000003E-2</v>
      </c>
      <c r="G1587" s="1">
        <v>22</v>
      </c>
      <c r="H1587" s="1">
        <v>48</v>
      </c>
      <c r="I1587" s="1">
        <v>0.99494000000000005</v>
      </c>
      <c r="J1587" s="1">
        <v>3.3</v>
      </c>
      <c r="K1587" s="1">
        <v>0.84</v>
      </c>
      <c r="L1587" s="1">
        <v>11.5</v>
      </c>
      <c r="M1587" s="2">
        <v>6</v>
      </c>
      <c r="N1587" s="2" t="str" cm="1">
        <f t="array" ref="N1587">_xlfn.IFS(Table1[[#This Row],[quality]]&lt;=4,"Low",Table1[[#This Row],[quality]]&lt;=6,"Medium",Table1[[#This Row],[quality]]&gt;=7,"High")</f>
        <v>Medium</v>
      </c>
      <c r="O1587" s="2" t="str">
        <f>IF(AND(Table1[[#This Row],[fixed acidity]]&gt;Sheet1!$C$4,Table1[[#This Row],[pH]]&lt;Sheet1!$K$4),"High","Normal")</f>
        <v>Normal</v>
      </c>
      <c r="P1587" s="1">
        <f>(Table1[[#This Row],[alcohol]]*2)+(Table1[[#This Row],[sulphates]]*1.5)-(Table1[[#This Row],[volatile acidity]]*2)</f>
        <v>23.48</v>
      </c>
      <c r="Q1587" s="1">
        <f>RANK(Table1[[#This Row],[Quality_score_index]],Table1[Quality_score_index],0)</f>
        <v>222</v>
      </c>
      <c r="R1587" s="1">
        <f>Table1[[#This Row],[total sulfur dioxide]]-Table1[[#This Row],[free sulfur dioxide]]</f>
        <v>26</v>
      </c>
      <c r="S1587" s="1" t="str">
        <f>IF(AND(Table1[[#This Row],[pH]]&gt;=3.2,Table1[[#This Row],[alcohol]]&gt;=10),"White wine","Red wine")</f>
        <v>White wine</v>
      </c>
    </row>
    <row r="1588" spans="1:19" x14ac:dyDescent="0.3">
      <c r="A1588" s="13">
        <v>1587</v>
      </c>
      <c r="B1588" s="1">
        <v>7.5</v>
      </c>
      <c r="C1588" s="1">
        <v>0.31</v>
      </c>
      <c r="D1588" s="1">
        <v>0.41</v>
      </c>
      <c r="E1588" s="1">
        <v>2.4</v>
      </c>
      <c r="F1588" s="1">
        <v>6.5000000000000002E-2</v>
      </c>
      <c r="G1588" s="1">
        <v>34</v>
      </c>
      <c r="H1588" s="1">
        <v>60</v>
      </c>
      <c r="I1588" s="1">
        <v>0.99492000000000003</v>
      </c>
      <c r="J1588" s="1">
        <v>3.34</v>
      </c>
      <c r="K1588" s="1">
        <v>0.85</v>
      </c>
      <c r="L1588" s="1">
        <v>11.4</v>
      </c>
      <c r="M1588" s="2">
        <v>6</v>
      </c>
      <c r="N1588" s="2" t="str" cm="1">
        <f t="array" ref="N1588">_xlfn.IFS(Table1[[#This Row],[quality]]&lt;=4,"Low",Table1[[#This Row],[quality]]&lt;=6,"Medium",Table1[[#This Row],[quality]]&gt;=7,"High")</f>
        <v>Medium</v>
      </c>
      <c r="O1588" s="2" t="str">
        <f>IF(AND(Table1[[#This Row],[fixed acidity]]&gt;Sheet1!$C$4,Table1[[#This Row],[pH]]&lt;Sheet1!$K$4),"High","Normal")</f>
        <v>Normal</v>
      </c>
      <c r="P1588" s="1">
        <f>(Table1[[#This Row],[alcohol]]*2)+(Table1[[#This Row],[sulphates]]*1.5)-(Table1[[#This Row],[volatile acidity]]*2)</f>
        <v>23.454999999999998</v>
      </c>
      <c r="Q1588" s="1">
        <f>RANK(Table1[[#This Row],[Quality_score_index]],Table1[Quality_score_index],0)</f>
        <v>223</v>
      </c>
      <c r="R1588" s="1">
        <f>Table1[[#This Row],[total sulfur dioxide]]-Table1[[#This Row],[free sulfur dioxide]]</f>
        <v>26</v>
      </c>
      <c r="S1588" s="1" t="str">
        <f>IF(AND(Table1[[#This Row],[pH]]&gt;=3.2,Table1[[#This Row],[alcohol]]&gt;=10),"White wine","Red wine")</f>
        <v>White wine</v>
      </c>
    </row>
    <row r="1589" spans="1:19" x14ac:dyDescent="0.3">
      <c r="A1589" s="13">
        <v>1588</v>
      </c>
      <c r="B1589" s="1">
        <v>5.8</v>
      </c>
      <c r="C1589" s="1">
        <v>0.61</v>
      </c>
      <c r="D1589" s="1">
        <v>0.11</v>
      </c>
      <c r="E1589" s="1">
        <v>1.8</v>
      </c>
      <c r="F1589" s="1">
        <v>6.6000000000000003E-2</v>
      </c>
      <c r="G1589" s="1">
        <v>18</v>
      </c>
      <c r="H1589" s="1">
        <v>28</v>
      </c>
      <c r="I1589" s="1">
        <v>0.99482999999999999</v>
      </c>
      <c r="J1589" s="1">
        <v>3.55</v>
      </c>
      <c r="K1589" s="1">
        <v>0.66</v>
      </c>
      <c r="L1589" s="1">
        <v>10.9</v>
      </c>
      <c r="M1589" s="2">
        <v>6</v>
      </c>
      <c r="N1589" s="2" t="str" cm="1">
        <f t="array" ref="N1589">_xlfn.IFS(Table1[[#This Row],[quality]]&lt;=4,"Low",Table1[[#This Row],[quality]]&lt;=6,"Medium",Table1[[#This Row],[quality]]&gt;=7,"High")</f>
        <v>Medium</v>
      </c>
      <c r="O1589" s="2" t="str">
        <f>IF(AND(Table1[[#This Row],[fixed acidity]]&gt;Sheet1!$C$4,Table1[[#This Row],[pH]]&lt;Sheet1!$K$4),"High","Normal")</f>
        <v>Normal</v>
      </c>
      <c r="P1589" s="1">
        <f>(Table1[[#This Row],[alcohol]]*2)+(Table1[[#This Row],[sulphates]]*1.5)-(Table1[[#This Row],[volatile acidity]]*2)</f>
        <v>21.57</v>
      </c>
      <c r="Q1589" s="1">
        <f>RANK(Table1[[#This Row],[Quality_score_index]],Table1[Quality_score_index],0)</f>
        <v>532</v>
      </c>
      <c r="R1589" s="1">
        <f>Table1[[#This Row],[total sulfur dioxide]]-Table1[[#This Row],[free sulfur dioxide]]</f>
        <v>10</v>
      </c>
      <c r="S1589" s="1" t="str">
        <f>IF(AND(Table1[[#This Row],[pH]]&gt;=3.2,Table1[[#This Row],[alcohol]]&gt;=10),"White wine","Red wine")</f>
        <v>White wine</v>
      </c>
    </row>
    <row r="1590" spans="1:19" x14ac:dyDescent="0.3">
      <c r="A1590" s="13">
        <v>1589</v>
      </c>
      <c r="B1590" s="1">
        <v>7.2</v>
      </c>
      <c r="C1590" s="1">
        <v>0.66</v>
      </c>
      <c r="D1590" s="1">
        <v>0.33</v>
      </c>
      <c r="E1590" s="1">
        <v>2.5</v>
      </c>
      <c r="F1590" s="1">
        <v>6.8000000000000005E-2</v>
      </c>
      <c r="G1590" s="1">
        <v>34</v>
      </c>
      <c r="H1590" s="1">
        <v>102</v>
      </c>
      <c r="I1590" s="1">
        <v>0.99414000000000002</v>
      </c>
      <c r="J1590" s="1">
        <v>3.27</v>
      </c>
      <c r="K1590" s="1">
        <v>0.78</v>
      </c>
      <c r="L1590" s="1">
        <v>12.8</v>
      </c>
      <c r="M1590" s="2">
        <v>6</v>
      </c>
      <c r="N1590" s="2" t="str" cm="1">
        <f t="array" ref="N1590">_xlfn.IFS(Table1[[#This Row],[quality]]&lt;=4,"Low",Table1[[#This Row],[quality]]&lt;=6,"Medium",Table1[[#This Row],[quality]]&gt;=7,"High")</f>
        <v>Medium</v>
      </c>
      <c r="O1590" s="2" t="str">
        <f>IF(AND(Table1[[#This Row],[fixed acidity]]&gt;Sheet1!$C$4,Table1[[#This Row],[pH]]&lt;Sheet1!$K$4),"High","Normal")</f>
        <v>Normal</v>
      </c>
      <c r="P1590" s="1">
        <f>(Table1[[#This Row],[alcohol]]*2)+(Table1[[#This Row],[sulphates]]*1.5)-(Table1[[#This Row],[volatile acidity]]*2)</f>
        <v>25.450000000000003</v>
      </c>
      <c r="Q1590" s="1">
        <f>RANK(Table1[[#This Row],[Quality_score_index]],Table1[Quality_score_index],0)</f>
        <v>61</v>
      </c>
      <c r="R1590" s="1">
        <f>Table1[[#This Row],[total sulfur dioxide]]-Table1[[#This Row],[free sulfur dioxide]]</f>
        <v>68</v>
      </c>
      <c r="S1590" s="1" t="str">
        <f>IF(AND(Table1[[#This Row],[pH]]&gt;=3.2,Table1[[#This Row],[alcohol]]&gt;=10),"White wine","Red wine")</f>
        <v>White wine</v>
      </c>
    </row>
    <row r="1591" spans="1:19" x14ac:dyDescent="0.3">
      <c r="A1591" s="13">
        <v>1590</v>
      </c>
      <c r="B1591" s="1">
        <v>6.6</v>
      </c>
      <c r="C1591" s="1">
        <v>0.72499999999999998</v>
      </c>
      <c r="D1591" s="1">
        <v>0.2</v>
      </c>
      <c r="E1591" s="1">
        <v>7.8</v>
      </c>
      <c r="F1591" s="1">
        <v>7.2999999999999995E-2</v>
      </c>
      <c r="G1591" s="1">
        <v>29</v>
      </c>
      <c r="H1591" s="1">
        <v>79</v>
      </c>
      <c r="I1591" s="1">
        <v>0.99770000000000003</v>
      </c>
      <c r="J1591" s="1">
        <v>3.29</v>
      </c>
      <c r="K1591" s="1">
        <v>0.54</v>
      </c>
      <c r="L1591" s="1">
        <v>9.1999999999999993</v>
      </c>
      <c r="M1591" s="2">
        <v>5</v>
      </c>
      <c r="N1591" s="2" t="str" cm="1">
        <f t="array" ref="N1591">_xlfn.IFS(Table1[[#This Row],[quality]]&lt;=4,"Low",Table1[[#This Row],[quality]]&lt;=6,"Medium",Table1[[#This Row],[quality]]&gt;=7,"High")</f>
        <v>Medium</v>
      </c>
      <c r="O1591" s="2" t="str">
        <f>IF(AND(Table1[[#This Row],[fixed acidity]]&gt;Sheet1!$C$4,Table1[[#This Row],[pH]]&lt;Sheet1!$K$4),"High","Normal")</f>
        <v>Normal</v>
      </c>
      <c r="P1591" s="1">
        <f>(Table1[[#This Row],[alcohol]]*2)+(Table1[[#This Row],[sulphates]]*1.5)-(Table1[[#This Row],[volatile acidity]]*2)</f>
        <v>17.759999999999998</v>
      </c>
      <c r="Q1591" s="1">
        <f>RANK(Table1[[#This Row],[Quality_score_index]],Table1[Quality_score_index],0)</f>
        <v>1562</v>
      </c>
      <c r="R1591" s="1">
        <f>Table1[[#This Row],[total sulfur dioxide]]-Table1[[#This Row],[free sulfur dioxide]]</f>
        <v>50</v>
      </c>
      <c r="S1591" s="1" t="str">
        <f>IF(AND(Table1[[#This Row],[pH]]&gt;=3.2,Table1[[#This Row],[alcohol]]&gt;=10),"White wine","Red wine")</f>
        <v>Red wine</v>
      </c>
    </row>
    <row r="1592" spans="1:19" x14ac:dyDescent="0.3">
      <c r="A1592" s="13">
        <v>1591</v>
      </c>
      <c r="B1592" s="1">
        <v>6.3</v>
      </c>
      <c r="C1592" s="1">
        <v>0.55000000000000004</v>
      </c>
      <c r="D1592" s="1">
        <v>0.15</v>
      </c>
      <c r="E1592" s="1">
        <v>1.8</v>
      </c>
      <c r="F1592" s="1">
        <v>7.6999999999999999E-2</v>
      </c>
      <c r="G1592" s="1">
        <v>26</v>
      </c>
      <c r="H1592" s="1">
        <v>35</v>
      </c>
      <c r="I1592" s="1">
        <v>0.99314000000000002</v>
      </c>
      <c r="J1592" s="1">
        <v>3.32</v>
      </c>
      <c r="K1592" s="1">
        <v>0.82</v>
      </c>
      <c r="L1592" s="1">
        <v>11.6</v>
      </c>
      <c r="M1592" s="2">
        <v>6</v>
      </c>
      <c r="N1592" s="2" t="str" cm="1">
        <f t="array" ref="N1592">_xlfn.IFS(Table1[[#This Row],[quality]]&lt;=4,"Low",Table1[[#This Row],[quality]]&lt;=6,"Medium",Table1[[#This Row],[quality]]&gt;=7,"High")</f>
        <v>Medium</v>
      </c>
      <c r="O1592" s="2" t="str">
        <f>IF(AND(Table1[[#This Row],[fixed acidity]]&gt;Sheet1!$C$4,Table1[[#This Row],[pH]]&lt;Sheet1!$K$4),"High","Normal")</f>
        <v>Normal</v>
      </c>
      <c r="P1592" s="1">
        <f>(Table1[[#This Row],[alcohol]]*2)+(Table1[[#This Row],[sulphates]]*1.5)-(Table1[[#This Row],[volatile acidity]]*2)</f>
        <v>23.33</v>
      </c>
      <c r="Q1592" s="1">
        <f>RANK(Table1[[#This Row],[Quality_score_index]],Table1[Quality_score_index],0)</f>
        <v>233</v>
      </c>
      <c r="R1592" s="1">
        <f>Table1[[#This Row],[total sulfur dioxide]]-Table1[[#This Row],[free sulfur dioxide]]</f>
        <v>9</v>
      </c>
      <c r="S1592" s="1" t="str">
        <f>IF(AND(Table1[[#This Row],[pH]]&gt;=3.2,Table1[[#This Row],[alcohol]]&gt;=10),"White wine","Red wine")</f>
        <v>White wine</v>
      </c>
    </row>
    <row r="1593" spans="1:19" x14ac:dyDescent="0.3">
      <c r="A1593" s="13">
        <v>1592</v>
      </c>
      <c r="B1593" s="1">
        <v>5.4</v>
      </c>
      <c r="C1593" s="1">
        <v>0.74</v>
      </c>
      <c r="D1593" s="1">
        <v>0.09</v>
      </c>
      <c r="E1593" s="1">
        <v>1.7</v>
      </c>
      <c r="F1593" s="1">
        <v>8.8999999999999996E-2</v>
      </c>
      <c r="G1593" s="1">
        <v>16</v>
      </c>
      <c r="H1593" s="1">
        <v>26</v>
      </c>
      <c r="I1593" s="1">
        <v>0.99402000000000001</v>
      </c>
      <c r="J1593" s="1">
        <v>3.67</v>
      </c>
      <c r="K1593" s="1">
        <v>0.56000000000000005</v>
      </c>
      <c r="L1593" s="1">
        <v>11.6</v>
      </c>
      <c r="M1593" s="2">
        <v>6</v>
      </c>
      <c r="N1593" s="2" t="str" cm="1">
        <f t="array" ref="N1593">_xlfn.IFS(Table1[[#This Row],[quality]]&lt;=4,"Low",Table1[[#This Row],[quality]]&lt;=6,"Medium",Table1[[#This Row],[quality]]&gt;=7,"High")</f>
        <v>Medium</v>
      </c>
      <c r="O1593" s="2" t="str">
        <f>IF(AND(Table1[[#This Row],[fixed acidity]]&gt;Sheet1!$C$4,Table1[[#This Row],[pH]]&lt;Sheet1!$K$4),"High","Normal")</f>
        <v>Normal</v>
      </c>
      <c r="P1593" s="1">
        <f>(Table1[[#This Row],[alcohol]]*2)+(Table1[[#This Row],[sulphates]]*1.5)-(Table1[[#This Row],[volatile acidity]]*2)</f>
        <v>22.56</v>
      </c>
      <c r="Q1593" s="1">
        <f>RANK(Table1[[#This Row],[Quality_score_index]],Table1[Quality_score_index],0)</f>
        <v>349</v>
      </c>
      <c r="R1593" s="1">
        <f>Table1[[#This Row],[total sulfur dioxide]]-Table1[[#This Row],[free sulfur dioxide]]</f>
        <v>10</v>
      </c>
      <c r="S1593" s="1" t="str">
        <f>IF(AND(Table1[[#This Row],[pH]]&gt;=3.2,Table1[[#This Row],[alcohol]]&gt;=10),"White wine","Red wine")</f>
        <v>White wine</v>
      </c>
    </row>
    <row r="1594" spans="1:19" x14ac:dyDescent="0.3">
      <c r="A1594" s="13">
        <v>1593</v>
      </c>
      <c r="B1594" s="1">
        <v>6.3</v>
      </c>
      <c r="C1594" s="1">
        <v>0.51</v>
      </c>
      <c r="D1594" s="1">
        <v>0.13</v>
      </c>
      <c r="E1594" s="1">
        <v>2.2999999999999998</v>
      </c>
      <c r="F1594" s="1">
        <v>7.5999999999999998E-2</v>
      </c>
      <c r="G1594" s="1">
        <v>29</v>
      </c>
      <c r="H1594" s="1">
        <v>40</v>
      </c>
      <c r="I1594" s="1">
        <v>0.99573999999999996</v>
      </c>
      <c r="J1594" s="1">
        <v>3.42</v>
      </c>
      <c r="K1594" s="1">
        <v>0.75</v>
      </c>
      <c r="L1594" s="1">
        <v>11</v>
      </c>
      <c r="M1594" s="2">
        <v>6</v>
      </c>
      <c r="N1594" s="2" t="str" cm="1">
        <f t="array" ref="N1594">_xlfn.IFS(Table1[[#This Row],[quality]]&lt;=4,"Low",Table1[[#This Row],[quality]]&lt;=6,"Medium",Table1[[#This Row],[quality]]&gt;=7,"High")</f>
        <v>Medium</v>
      </c>
      <c r="O1594" s="2" t="str">
        <f>IF(AND(Table1[[#This Row],[fixed acidity]]&gt;Sheet1!$C$4,Table1[[#This Row],[pH]]&lt;Sheet1!$K$4),"High","Normal")</f>
        <v>Normal</v>
      </c>
      <c r="P1594" s="1">
        <f>(Table1[[#This Row],[alcohol]]*2)+(Table1[[#This Row],[sulphates]]*1.5)-(Table1[[#This Row],[volatile acidity]]*2)</f>
        <v>22.105</v>
      </c>
      <c r="Q1594" s="1">
        <f>RANK(Table1[[#This Row],[Quality_score_index]],Table1[Quality_score_index],0)</f>
        <v>440</v>
      </c>
      <c r="R1594" s="1">
        <f>Table1[[#This Row],[total sulfur dioxide]]-Table1[[#This Row],[free sulfur dioxide]]</f>
        <v>11</v>
      </c>
      <c r="S1594" s="1" t="str">
        <f>IF(AND(Table1[[#This Row],[pH]]&gt;=3.2,Table1[[#This Row],[alcohol]]&gt;=10),"White wine","Red wine")</f>
        <v>White wine</v>
      </c>
    </row>
    <row r="1595" spans="1:19" x14ac:dyDescent="0.3">
      <c r="A1595" s="13">
        <v>1594</v>
      </c>
      <c r="B1595" s="1">
        <v>6.8</v>
      </c>
      <c r="C1595" s="1">
        <v>0.62</v>
      </c>
      <c r="D1595" s="1">
        <v>0.08</v>
      </c>
      <c r="E1595" s="1">
        <v>1.9</v>
      </c>
      <c r="F1595" s="1">
        <v>6.8000000000000005E-2</v>
      </c>
      <c r="G1595" s="1">
        <v>28</v>
      </c>
      <c r="H1595" s="1">
        <v>38</v>
      </c>
      <c r="I1595" s="1">
        <v>0.99651000000000001</v>
      </c>
      <c r="J1595" s="1">
        <v>3.42</v>
      </c>
      <c r="K1595" s="1">
        <v>0.82</v>
      </c>
      <c r="L1595" s="1">
        <v>9.5</v>
      </c>
      <c r="M1595" s="2">
        <v>6</v>
      </c>
      <c r="N1595" s="2" t="str" cm="1">
        <f t="array" ref="N1595">_xlfn.IFS(Table1[[#This Row],[quality]]&lt;=4,"Low",Table1[[#This Row],[quality]]&lt;=6,"Medium",Table1[[#This Row],[quality]]&gt;=7,"High")</f>
        <v>Medium</v>
      </c>
      <c r="O1595" s="2" t="str">
        <f>IF(AND(Table1[[#This Row],[fixed acidity]]&gt;Sheet1!$C$4,Table1[[#This Row],[pH]]&lt;Sheet1!$K$4),"High","Normal")</f>
        <v>Normal</v>
      </c>
      <c r="P1595" s="1">
        <f>(Table1[[#This Row],[alcohol]]*2)+(Table1[[#This Row],[sulphates]]*1.5)-(Table1[[#This Row],[volatile acidity]]*2)</f>
        <v>18.990000000000002</v>
      </c>
      <c r="Q1595" s="1">
        <f>RANK(Table1[[#This Row],[Quality_score_index]],Table1[Quality_score_index],0)</f>
        <v>1169</v>
      </c>
      <c r="R1595" s="1">
        <f>Table1[[#This Row],[total sulfur dioxide]]-Table1[[#This Row],[free sulfur dioxide]]</f>
        <v>10</v>
      </c>
      <c r="S1595" s="1" t="str">
        <f>IF(AND(Table1[[#This Row],[pH]]&gt;=3.2,Table1[[#This Row],[alcohol]]&gt;=10),"White wine","Red wine")</f>
        <v>Red wine</v>
      </c>
    </row>
    <row r="1596" spans="1:19" x14ac:dyDescent="0.3">
      <c r="A1596" s="13">
        <v>1595</v>
      </c>
      <c r="B1596" s="1">
        <v>6.2</v>
      </c>
      <c r="C1596" s="1">
        <v>0.6</v>
      </c>
      <c r="D1596" s="1">
        <v>0.08</v>
      </c>
      <c r="E1596" s="1">
        <v>2</v>
      </c>
      <c r="F1596" s="1">
        <v>0.09</v>
      </c>
      <c r="G1596" s="1">
        <v>32</v>
      </c>
      <c r="H1596" s="1">
        <v>44</v>
      </c>
      <c r="I1596" s="1">
        <v>0.99490000000000001</v>
      </c>
      <c r="J1596" s="1">
        <v>3.45</v>
      </c>
      <c r="K1596" s="1">
        <v>0.57999999999999996</v>
      </c>
      <c r="L1596" s="1">
        <v>10.5</v>
      </c>
      <c r="M1596" s="2">
        <v>5</v>
      </c>
      <c r="N1596" s="2" t="str" cm="1">
        <f t="array" ref="N1596">_xlfn.IFS(Table1[[#This Row],[quality]]&lt;=4,"Low",Table1[[#This Row],[quality]]&lt;=6,"Medium",Table1[[#This Row],[quality]]&gt;=7,"High")</f>
        <v>Medium</v>
      </c>
      <c r="O1596" s="2" t="str">
        <f>IF(AND(Table1[[#This Row],[fixed acidity]]&gt;Sheet1!$C$4,Table1[[#This Row],[pH]]&lt;Sheet1!$K$4),"High","Normal")</f>
        <v>Normal</v>
      </c>
      <c r="P1596" s="1">
        <f>(Table1[[#This Row],[alcohol]]*2)+(Table1[[#This Row],[sulphates]]*1.5)-(Table1[[#This Row],[volatile acidity]]*2)</f>
        <v>20.67</v>
      </c>
      <c r="Q1596" s="1">
        <f>RANK(Table1[[#This Row],[Quality_score_index]],Table1[Quality_score_index],0)</f>
        <v>730</v>
      </c>
      <c r="R1596" s="1">
        <f>Table1[[#This Row],[total sulfur dioxide]]-Table1[[#This Row],[free sulfur dioxide]]</f>
        <v>12</v>
      </c>
      <c r="S1596" s="1" t="str">
        <f>IF(AND(Table1[[#This Row],[pH]]&gt;=3.2,Table1[[#This Row],[alcohol]]&gt;=10),"White wine","Red wine")</f>
        <v>White wine</v>
      </c>
    </row>
    <row r="1597" spans="1:19" x14ac:dyDescent="0.3">
      <c r="A1597" s="13">
        <v>1596</v>
      </c>
      <c r="B1597" s="1">
        <v>5.9</v>
      </c>
      <c r="C1597" s="1">
        <v>0.55000000000000004</v>
      </c>
      <c r="D1597" s="1">
        <v>0.1</v>
      </c>
      <c r="E1597" s="1">
        <v>2.2000000000000002</v>
      </c>
      <c r="F1597" s="1">
        <v>6.2E-2</v>
      </c>
      <c r="G1597" s="1">
        <v>39</v>
      </c>
      <c r="H1597" s="1">
        <v>51</v>
      </c>
      <c r="I1597" s="1">
        <v>0.99512</v>
      </c>
      <c r="J1597" s="1">
        <v>3.52</v>
      </c>
      <c r="K1597" s="1">
        <v>0.76</v>
      </c>
      <c r="L1597" s="1">
        <v>11.2</v>
      </c>
      <c r="M1597" s="2">
        <v>6</v>
      </c>
      <c r="N1597" s="2" t="str" cm="1">
        <f t="array" ref="N1597">_xlfn.IFS(Table1[[#This Row],[quality]]&lt;=4,"Low",Table1[[#This Row],[quality]]&lt;=6,"Medium",Table1[[#This Row],[quality]]&gt;=7,"High")</f>
        <v>Medium</v>
      </c>
      <c r="O1597" s="2" t="str">
        <f>IF(AND(Table1[[#This Row],[fixed acidity]]&gt;Sheet1!$C$4,Table1[[#This Row],[pH]]&lt;Sheet1!$K$4),"High","Normal")</f>
        <v>Normal</v>
      </c>
      <c r="P1597" s="1">
        <f>(Table1[[#This Row],[alcohol]]*2)+(Table1[[#This Row],[sulphates]]*1.5)-(Table1[[#This Row],[volatile acidity]]*2)</f>
        <v>22.439999999999998</v>
      </c>
      <c r="Q1597" s="1">
        <f>RANK(Table1[[#This Row],[Quality_score_index]],Table1[Quality_score_index],0)</f>
        <v>387</v>
      </c>
      <c r="R1597" s="1">
        <f>Table1[[#This Row],[total sulfur dioxide]]-Table1[[#This Row],[free sulfur dioxide]]</f>
        <v>12</v>
      </c>
      <c r="S1597" s="1" t="str">
        <f>IF(AND(Table1[[#This Row],[pH]]&gt;=3.2,Table1[[#This Row],[alcohol]]&gt;=10),"White wine","Red wine")</f>
        <v>White wine</v>
      </c>
    </row>
    <row r="1598" spans="1:19" x14ac:dyDescent="0.3">
      <c r="A1598" s="13">
        <v>1597</v>
      </c>
      <c r="B1598" s="1">
        <v>6.3</v>
      </c>
      <c r="C1598" s="1">
        <v>0.51</v>
      </c>
      <c r="D1598" s="1">
        <v>0.13</v>
      </c>
      <c r="E1598" s="1">
        <v>2.2999999999999998</v>
      </c>
      <c r="F1598" s="1">
        <v>7.5999999999999998E-2</v>
      </c>
      <c r="G1598" s="1">
        <v>29</v>
      </c>
      <c r="H1598" s="1">
        <v>40</v>
      </c>
      <c r="I1598" s="1">
        <v>0.99573999999999996</v>
      </c>
      <c r="J1598" s="1">
        <v>3.42</v>
      </c>
      <c r="K1598" s="1">
        <v>0.75</v>
      </c>
      <c r="L1598" s="1">
        <v>11</v>
      </c>
      <c r="M1598" s="2">
        <v>6</v>
      </c>
      <c r="N1598" s="2" t="str" cm="1">
        <f t="array" ref="N1598">_xlfn.IFS(Table1[[#This Row],[quality]]&lt;=4,"Low",Table1[[#This Row],[quality]]&lt;=6,"Medium",Table1[[#This Row],[quality]]&gt;=7,"High")</f>
        <v>Medium</v>
      </c>
      <c r="O1598" s="2" t="str">
        <f>IF(AND(Table1[[#This Row],[fixed acidity]]&gt;Sheet1!$C$4,Table1[[#This Row],[pH]]&lt;Sheet1!$K$4),"High","Normal")</f>
        <v>Normal</v>
      </c>
      <c r="P1598" s="1">
        <f>(Table1[[#This Row],[alcohol]]*2)+(Table1[[#This Row],[sulphates]]*1.5)-(Table1[[#This Row],[volatile acidity]]*2)</f>
        <v>22.105</v>
      </c>
      <c r="Q1598" s="1">
        <f>RANK(Table1[[#This Row],[Quality_score_index]],Table1[Quality_score_index],0)</f>
        <v>440</v>
      </c>
      <c r="R1598" s="1">
        <f>Table1[[#This Row],[total sulfur dioxide]]-Table1[[#This Row],[free sulfur dioxide]]</f>
        <v>11</v>
      </c>
      <c r="S1598" s="1" t="str">
        <f>IF(AND(Table1[[#This Row],[pH]]&gt;=3.2,Table1[[#This Row],[alcohol]]&gt;=10),"White wine","Red wine")</f>
        <v>White wine</v>
      </c>
    </row>
    <row r="1599" spans="1:19" x14ac:dyDescent="0.3">
      <c r="A1599" s="13">
        <v>1598</v>
      </c>
      <c r="B1599" s="1">
        <v>5.9</v>
      </c>
      <c r="C1599" s="1">
        <v>0.64500000000000002</v>
      </c>
      <c r="D1599" s="1">
        <v>0.12</v>
      </c>
      <c r="E1599" s="1">
        <v>2</v>
      </c>
      <c r="F1599" s="1">
        <v>7.4999999999999997E-2</v>
      </c>
      <c r="G1599" s="1">
        <v>32</v>
      </c>
      <c r="H1599" s="1">
        <v>44</v>
      </c>
      <c r="I1599" s="1">
        <v>0.99546999999999997</v>
      </c>
      <c r="J1599" s="1">
        <v>3.57</v>
      </c>
      <c r="K1599" s="1">
        <v>0.71</v>
      </c>
      <c r="L1599" s="1">
        <v>10.199999999999999</v>
      </c>
      <c r="M1599" s="2">
        <v>5</v>
      </c>
      <c r="N1599" s="2" t="str" cm="1">
        <f t="array" ref="N1599">_xlfn.IFS(Table1[[#This Row],[quality]]&lt;=4,"Low",Table1[[#This Row],[quality]]&lt;=6,"Medium",Table1[[#This Row],[quality]]&gt;=7,"High")</f>
        <v>Medium</v>
      </c>
      <c r="O1599" s="2" t="str">
        <f>IF(AND(Table1[[#This Row],[fixed acidity]]&gt;Sheet1!$C$4,Table1[[#This Row],[pH]]&lt;Sheet1!$K$4),"High","Normal")</f>
        <v>Normal</v>
      </c>
      <c r="P1599" s="1">
        <f>(Table1[[#This Row],[alcohol]]*2)+(Table1[[#This Row],[sulphates]]*1.5)-(Table1[[#This Row],[volatile acidity]]*2)</f>
        <v>20.175000000000001</v>
      </c>
      <c r="Q1599" s="1">
        <f>RANK(Table1[[#This Row],[Quality_score_index]],Table1[Quality_score_index],0)</f>
        <v>821</v>
      </c>
      <c r="R1599" s="1">
        <f>Table1[[#This Row],[total sulfur dioxide]]-Table1[[#This Row],[free sulfur dioxide]]</f>
        <v>12</v>
      </c>
      <c r="S1599" s="1" t="str">
        <f>IF(AND(Table1[[#This Row],[pH]]&gt;=3.2,Table1[[#This Row],[alcohol]]&gt;=10),"White wine","Red wine")</f>
        <v>White wine</v>
      </c>
    </row>
    <row r="1600" spans="1:19" x14ac:dyDescent="0.3">
      <c r="A1600" s="13">
        <v>1599</v>
      </c>
      <c r="B1600" s="1">
        <v>6</v>
      </c>
      <c r="C1600" s="1">
        <v>0.31</v>
      </c>
      <c r="D1600" s="1">
        <v>0.47</v>
      </c>
      <c r="E1600" s="1">
        <v>3.6</v>
      </c>
      <c r="F1600" s="1">
        <v>6.7000000000000004E-2</v>
      </c>
      <c r="G1600" s="1">
        <v>18</v>
      </c>
      <c r="H1600" s="1">
        <v>42</v>
      </c>
      <c r="I1600" s="1">
        <v>0.99548999999999999</v>
      </c>
      <c r="J1600" s="1">
        <v>3.39</v>
      </c>
      <c r="K1600" s="1">
        <v>0.66</v>
      </c>
      <c r="L1600" s="1">
        <v>11</v>
      </c>
      <c r="M1600" s="2">
        <v>6</v>
      </c>
      <c r="N1600" s="2" t="str" cm="1">
        <f t="array" ref="N1600">_xlfn.IFS(Table1[[#This Row],[quality]]&lt;=4,"Low",Table1[[#This Row],[quality]]&lt;=6,"Medium",Table1[[#This Row],[quality]]&gt;=7,"High")</f>
        <v>Medium</v>
      </c>
      <c r="O1600" s="2" t="str">
        <f>IF(AND(Table1[[#This Row],[fixed acidity]]&gt;Sheet1!$C$4,Table1[[#This Row],[pH]]&lt;Sheet1!$K$4),"High","Normal")</f>
        <v>Normal</v>
      </c>
      <c r="P1600" s="1">
        <f>(Table1[[#This Row],[alcohol]]*2)+(Table1[[#This Row],[sulphates]]*1.5)-(Table1[[#This Row],[volatile acidity]]*2)</f>
        <v>22.369999999999997</v>
      </c>
      <c r="Q1600" s="1">
        <f>RANK(Table1[[#This Row],[Quality_score_index]],Table1[Quality_score_index],0)</f>
        <v>397</v>
      </c>
      <c r="R1600" s="1">
        <f>Table1[[#This Row],[total sulfur dioxide]]-Table1[[#This Row],[free sulfur dioxide]]</f>
        <v>24</v>
      </c>
      <c r="S1600" s="1" t="str">
        <f>IF(AND(Table1[[#This Row],[pH]]&gt;=3.2,Table1[[#This Row],[alcohol]]&gt;=10),"White wine","Red wine")</f>
        <v>White wine</v>
      </c>
    </row>
  </sheetData>
  <conditionalFormatting sqref="C2:C1600">
    <cfRule type="cellIs" dxfId="2" priority="2" operator="greaterThan">
      <formula>0.6</formula>
    </cfRule>
  </conditionalFormatting>
  <conditionalFormatting sqref="J2:J1600">
    <cfRule type="cellIs" dxfId="1" priority="3" operator="lessThan">
      <formula>3.2</formula>
    </cfRule>
  </conditionalFormatting>
  <conditionalFormatting sqref="L2:L1600">
    <cfRule type="cellIs" dxfId="0" priority="4" operator="greaterThan">
      <formula>12</formula>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8224D9F6-72AC-483A-9F95-5A00BC395A44}">
            <xm:f>$B$2:$B$1600&gt;Sheet1!$C$4</xm:f>
            <x14:dxf>
              <fill>
                <patternFill>
                  <bgColor rgb="FFFF0000"/>
                </patternFill>
              </fill>
            </x14:dxf>
          </x14:cfRule>
          <xm:sqref>A2:B1600</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BE4F6-F086-4528-8992-D68875219CD5}">
  <dimension ref="A2:M23"/>
  <sheetViews>
    <sheetView workbookViewId="0">
      <selection activeCell="F23" sqref="F23"/>
    </sheetView>
  </sheetViews>
  <sheetFormatPr defaultRowHeight="14.4" x14ac:dyDescent="0.3"/>
  <cols>
    <col min="2" max="2" width="9.109375" bestFit="1" customWidth="1"/>
    <col min="3" max="3" width="10.77734375" bestFit="1" customWidth="1"/>
    <col min="4" max="4" width="12.77734375" bestFit="1" customWidth="1"/>
    <col min="5" max="5" width="8.77734375" bestFit="1" customWidth="1"/>
    <col min="6" max="6" width="12.109375" bestFit="1" customWidth="1"/>
    <col min="7" max="7" width="8.33203125" bestFit="1" customWidth="1"/>
    <col min="8" max="8" width="15.77734375" bestFit="1" customWidth="1"/>
    <col min="9" max="9" width="16.33203125" bestFit="1" customWidth="1"/>
    <col min="10" max="10" width="6.77734375" bestFit="1" customWidth="1"/>
    <col min="11" max="11" width="12" bestFit="1" customWidth="1"/>
    <col min="12" max="12" width="8.6640625" bestFit="1" customWidth="1"/>
    <col min="13" max="13" width="7" bestFit="1" customWidth="1"/>
  </cols>
  <sheetData>
    <row r="2" spans="1:13" x14ac:dyDescent="0.3">
      <c r="A2" s="19" t="s">
        <v>13</v>
      </c>
      <c r="B2" s="19"/>
      <c r="C2" s="19"/>
      <c r="D2" s="19"/>
      <c r="E2" s="19"/>
      <c r="F2" s="19"/>
      <c r="G2" s="19"/>
      <c r="H2" s="19"/>
      <c r="I2" s="3"/>
      <c r="J2" s="3"/>
      <c r="K2" s="3"/>
      <c r="L2" s="3"/>
      <c r="M2" s="3"/>
    </row>
    <row r="3" spans="1:13" x14ac:dyDescent="0.3">
      <c r="A3" s="4"/>
      <c r="B3" s="4"/>
      <c r="C3" s="7" t="s">
        <v>0</v>
      </c>
      <c r="D3" s="7" t="s">
        <v>1</v>
      </c>
      <c r="E3" s="7" t="s">
        <v>2</v>
      </c>
      <c r="F3" s="7" t="s">
        <v>3</v>
      </c>
      <c r="G3" s="7" t="s">
        <v>4</v>
      </c>
      <c r="H3" s="7" t="s">
        <v>5</v>
      </c>
      <c r="I3" s="7" t="s">
        <v>6</v>
      </c>
      <c r="J3" s="7" t="s">
        <v>7</v>
      </c>
      <c r="K3" s="7" t="s">
        <v>8</v>
      </c>
      <c r="L3" s="7" t="s">
        <v>9</v>
      </c>
      <c r="M3" s="7" t="s">
        <v>10</v>
      </c>
    </row>
    <row r="4" spans="1:13" x14ac:dyDescent="0.3">
      <c r="A4" s="3"/>
      <c r="B4" s="6" t="s">
        <v>14</v>
      </c>
      <c r="C4" s="5">
        <f>AVERAGE('winequality-red(in) (1)'!B2:B1600)</f>
        <v>8.3196372732958377</v>
      </c>
      <c r="D4" s="5">
        <f>AVERAGE('winequality-red(in) (1)'!C2:C1600)</f>
        <v>0.52782051282051312</v>
      </c>
      <c r="E4" s="5">
        <f>AVERAGE('winequality-red(in) (1)'!D2:D1600)</f>
        <v>0.27097560975609641</v>
      </c>
      <c r="F4" s="5">
        <f>AVERAGE('winequality-red(in) (1)'!E2:E1600)</f>
        <v>2.5388055034396517</v>
      </c>
      <c r="G4" s="5">
        <f>AVERAGE('winequality-red(in) (1)'!F2:F1600)</f>
        <v>8.7466541588492569E-2</v>
      </c>
      <c r="H4" s="5">
        <f>AVERAGE('winequality-red(in) (1)'!G2:G1600)</f>
        <v>15.874921826141339</v>
      </c>
      <c r="I4" s="5">
        <f>AVERAGE('winequality-red(in) (1)'!H2:H1600)</f>
        <v>46.467792370231393</v>
      </c>
      <c r="J4" s="5">
        <f>AVERAGE('winequality-red(in) (1)'!I2:I1600)</f>
        <v>0.99674667917448312</v>
      </c>
      <c r="K4" s="5">
        <f>AVERAGE('winequality-red(in) (1)'!J2:J1600)</f>
        <v>3.311113195747343</v>
      </c>
      <c r="L4" s="5">
        <f>AVERAGE('winequality-red(in) (1)'!K2:K1600)</f>
        <v>0.65814884302689214</v>
      </c>
      <c r="M4" s="5">
        <f>AVERAGE('winequality-red(in) (1)'!L2:L1600)</f>
        <v>10.422983114446502</v>
      </c>
    </row>
    <row r="5" spans="1:13" x14ac:dyDescent="0.3">
      <c r="A5" s="3"/>
      <c r="B5" s="6" t="s">
        <v>15</v>
      </c>
      <c r="C5" s="5">
        <f>MEDIAN('winequality-red(in) (1)'!B2:B1600)</f>
        <v>7.9</v>
      </c>
      <c r="D5" s="5">
        <f>MEDIAN('winequality-red(in) (1)'!C2:C1600)</f>
        <v>0.52</v>
      </c>
      <c r="E5" s="5">
        <f>MEDIAN('winequality-red(in) (1)'!D2:D1600)</f>
        <v>0.26</v>
      </c>
      <c r="F5" s="5">
        <f>MEDIAN('winequality-red(in) (1)'!E2:E1600)</f>
        <v>2.2000000000000002</v>
      </c>
      <c r="G5" s="5">
        <f>MEDIAN('winequality-red(in) (1)'!F2:F1600)</f>
        <v>7.9000000000000001E-2</v>
      </c>
      <c r="H5" s="5">
        <f>MEDIAN('winequality-red(in) (1)'!G2:G1600)</f>
        <v>14</v>
      </c>
      <c r="I5" s="5">
        <f>MEDIAN('winequality-red(in) (1)'!H2:H1600)</f>
        <v>38</v>
      </c>
      <c r="J5" s="5">
        <f>MEDIAN('winequality-red(in) (1)'!I2:I1600)</f>
        <v>0.99675000000000002</v>
      </c>
      <c r="K5" s="5">
        <f>MEDIAN('winequality-red(in) (1)'!J2:J1600)</f>
        <v>3.31</v>
      </c>
      <c r="L5" s="5">
        <f>MEDIAN('winequality-red(in) (1)'!K2:K1600)</f>
        <v>0.62</v>
      </c>
      <c r="M5" s="5">
        <f>MEDIAN('winequality-red(in) (1)'!L2:L1600)</f>
        <v>10.199999999999999</v>
      </c>
    </row>
    <row r="6" spans="1:13" x14ac:dyDescent="0.3">
      <c r="A6" s="3"/>
      <c r="B6" s="6" t="s">
        <v>16</v>
      </c>
      <c r="C6" s="3">
        <f>_xlfn.STDEV.S('winequality-red(in) (1)'!B2:B1600)</f>
        <v>1.741096318127568</v>
      </c>
      <c r="D6" s="3">
        <f>_xlfn.STDEV.S('winequality-red(in) (1)'!C2:C1600)</f>
        <v>0.17905970415353537</v>
      </c>
      <c r="E6" s="3">
        <f>_xlfn.STDEV.S('winequality-red(in) (1)'!D2:D1600)</f>
        <v>0.19480113740532062</v>
      </c>
      <c r="F6" s="3">
        <f>_xlfn.STDEV.S('winequality-red(in) (1)'!E2:E1600)</f>
        <v>1.4099280595072796</v>
      </c>
      <c r="G6" s="3">
        <f>_xlfn.STDEV.S('winequality-red(in) (1)'!F2:F1600)</f>
        <v>4.7065302010089967E-2</v>
      </c>
      <c r="H6" s="3">
        <f>_xlfn.STDEV.S('winequality-red(in) (1)'!G2:G1600)</f>
        <v>10.460156969809725</v>
      </c>
      <c r="I6" s="3">
        <f>_xlfn.STDEV.S('winequality-red(in) (1)'!H2:H1600)</f>
        <v>32.895324478299074</v>
      </c>
      <c r="J6" s="3">
        <f>_xlfn.STDEV.S('winequality-red(in) (1)'!I2:I1600)</f>
        <v>1.8873339538425559E-3</v>
      </c>
      <c r="K6" s="3">
        <f>_xlfn.STDEV.S('winequality-red(in) (1)'!J2:J1600)</f>
        <v>0.15438646490354266</v>
      </c>
      <c r="L6" s="3">
        <f>_xlfn.STDEV.S('winequality-red(in) (1)'!K2:K1600)</f>
        <v>0.1695069795901096</v>
      </c>
      <c r="M6" s="3">
        <f>_xlfn.STDEV.S('winequality-red(in) (1)'!L2:L1600)</f>
        <v>1.0656675818477006</v>
      </c>
    </row>
    <row r="7" spans="1:13" x14ac:dyDescent="0.3">
      <c r="A7" s="3"/>
      <c r="B7" s="6" t="s">
        <v>17</v>
      </c>
      <c r="C7" s="5">
        <f>MIN('winequality-red(in) (1)'!B2:B1600)</f>
        <v>4.5999999999999996</v>
      </c>
      <c r="D7" s="5">
        <f>MIN('winequality-red(in) (1)'!C2:C1600)</f>
        <v>0.12</v>
      </c>
      <c r="E7" s="5">
        <f>MIN('winequality-red(in) (1)'!D2:D1600)</f>
        <v>0</v>
      </c>
      <c r="F7" s="5">
        <f>MIN('winequality-red(in) (1)'!E2:E1600)</f>
        <v>0.9</v>
      </c>
      <c r="G7" s="5">
        <f>MIN('winequality-red(in) (1)'!F2:F1600)</f>
        <v>1.2E-2</v>
      </c>
      <c r="H7" s="5">
        <f>MIN('winequality-red(in) (1)'!G2:G1600)</f>
        <v>1</v>
      </c>
      <c r="I7" s="5">
        <f>MIN('winequality-red(in) (1)'!H2:H1600)</f>
        <v>6</v>
      </c>
      <c r="J7" s="5">
        <f>MIN('winequality-red(in) (1)'!I2:I1600)</f>
        <v>0.99007000000000001</v>
      </c>
      <c r="K7" s="5">
        <f>MIN('winequality-red(in) (1)'!J2:J1600)</f>
        <v>2.74</v>
      </c>
      <c r="L7" s="5">
        <f>MIN('winequality-red(in) (1)'!K2:K1600)</f>
        <v>0.33</v>
      </c>
      <c r="M7" s="5">
        <f>MIN('winequality-red(in) (1)'!L2:L1600)</f>
        <v>8.4</v>
      </c>
    </row>
    <row r="8" spans="1:13" x14ac:dyDescent="0.3">
      <c r="A8" s="3"/>
      <c r="B8" s="6" t="s">
        <v>18</v>
      </c>
      <c r="C8" s="5">
        <f>MAX('winequality-red(in) (1)'!B2:B1600)</f>
        <v>15.9</v>
      </c>
      <c r="D8" s="5">
        <f>MAX('winequality-red(in) (1)'!C2:C1600)</f>
        <v>1.58</v>
      </c>
      <c r="E8" s="5">
        <f>MAX('winequality-red(in) (1)'!D2:D1600)</f>
        <v>1</v>
      </c>
      <c r="F8" s="5">
        <f>MAX('winequality-red(in) (1)'!E2:E1600)</f>
        <v>15.5</v>
      </c>
      <c r="G8" s="5">
        <f>MAX('winequality-red(in) (1)'!F2:F1600)</f>
        <v>0.61099999999999999</v>
      </c>
      <c r="H8" s="5">
        <f>MAX('winequality-red(in) (1)'!G2:G1600)</f>
        <v>72</v>
      </c>
      <c r="I8" s="5">
        <f>MAX('winequality-red(in) (1)'!H2:H1600)</f>
        <v>289</v>
      </c>
      <c r="J8" s="5">
        <f>MAX('winequality-red(in) (1)'!I2:I1600)</f>
        <v>1.00369</v>
      </c>
      <c r="K8" s="5">
        <f>MAX('winequality-red(in) (1)'!J2:J1600)</f>
        <v>4.01</v>
      </c>
      <c r="L8" s="5">
        <f>MAX('winequality-red(in) (1)'!K2:K1600)</f>
        <v>2</v>
      </c>
      <c r="M8" s="5">
        <f>MAX('winequality-red(in) (1)'!L2:L1600)</f>
        <v>14.9</v>
      </c>
    </row>
    <row r="11" spans="1:13" x14ac:dyDescent="0.3">
      <c r="B11" s="20" t="s">
        <v>19</v>
      </c>
      <c r="C11" s="20"/>
      <c r="D11" s="20"/>
      <c r="E11" s="20"/>
      <c r="F11" s="20"/>
    </row>
    <row r="12" spans="1:13" x14ac:dyDescent="0.3">
      <c r="B12" s="3"/>
      <c r="C12" s="6" t="s">
        <v>20</v>
      </c>
      <c r="D12" s="3">
        <f>(COUNTIF(Table1[quality_category],"Low")/COUNTA(Table1[quality_category])*100)</f>
        <v>3.9399624765478425</v>
      </c>
      <c r="E12" s="3"/>
      <c r="F12" s="3"/>
    </row>
    <row r="13" spans="1:13" x14ac:dyDescent="0.3">
      <c r="B13" s="3"/>
      <c r="C13" s="6" t="s">
        <v>15</v>
      </c>
      <c r="D13" s="3">
        <f>(COUNTIF(Table1[quality_category],"Medium")/COUNTA(Table1[quality_category])*100)</f>
        <v>82.489055659787368</v>
      </c>
      <c r="E13" s="3"/>
      <c r="F13" s="3"/>
    </row>
    <row r="14" spans="1:13" x14ac:dyDescent="0.3">
      <c r="B14" s="3"/>
      <c r="C14" s="6" t="s">
        <v>21</v>
      </c>
      <c r="D14" s="3">
        <f>(COUNTIF(Table1[quality_category],"High")/COUNTA(Table1[quality_category])*100)</f>
        <v>13.570981863664791</v>
      </c>
      <c r="E14" s="3"/>
      <c r="F14" s="3"/>
    </row>
    <row r="16" spans="1:13" ht="34.799999999999997" customHeight="1" x14ac:dyDescent="0.3">
      <c r="C16" s="21" t="s">
        <v>25</v>
      </c>
      <c r="D16" s="21"/>
      <c r="E16" s="21"/>
      <c r="F16" s="21"/>
      <c r="G16" s="9"/>
      <c r="H16" s="9"/>
      <c r="I16" s="9"/>
    </row>
    <row r="17" spans="3:7" x14ac:dyDescent="0.3">
      <c r="C17" s="3"/>
      <c r="D17" s="3" t="s">
        <v>26</v>
      </c>
      <c r="E17" s="3">
        <f>_xlfn.XLOOKUP(1,Table1[Rank],Table1[alcohol])</f>
        <v>14.9</v>
      </c>
      <c r="F17" s="3"/>
    </row>
    <row r="18" spans="3:7" x14ac:dyDescent="0.3">
      <c r="C18" s="3"/>
      <c r="D18" s="3" t="s">
        <v>27</v>
      </c>
      <c r="E18" s="3">
        <f>INDEX(Table1[alcohol],MATCH(1,Table1[Rank],0))</f>
        <v>14.9</v>
      </c>
      <c r="F18" s="3"/>
    </row>
    <row r="20" spans="3:7" x14ac:dyDescent="0.3">
      <c r="C20" s="18" t="s">
        <v>29</v>
      </c>
      <c r="D20" s="18"/>
      <c r="E20" s="18"/>
      <c r="F20" s="18"/>
      <c r="G20" s="18"/>
    </row>
    <row r="21" spans="3:7" x14ac:dyDescent="0.3">
      <c r="C21" s="17" t="s">
        <v>30</v>
      </c>
      <c r="D21" s="17"/>
      <c r="E21" s="3">
        <f>CORREL(Table1[alcohol],Table1[quality])</f>
        <v>0.47616632400114162</v>
      </c>
      <c r="F21" s="3"/>
      <c r="G21" s="3"/>
    </row>
    <row r="22" spans="3:7" x14ac:dyDescent="0.3">
      <c r="C22" s="17" t="s">
        <v>31</v>
      </c>
      <c r="D22" s="17"/>
      <c r="E22" s="3">
        <f>CORREL(Table1[pH],Table1[quality])</f>
        <v>-5.7731391205382308E-2</v>
      </c>
      <c r="F22" s="3"/>
      <c r="G22" s="3"/>
    </row>
    <row r="23" spans="3:7" x14ac:dyDescent="0.3">
      <c r="C23" s="17" t="s">
        <v>32</v>
      </c>
      <c r="D23" s="17"/>
      <c r="E23" s="3">
        <f>CORREL(Table1[volatile acidity],Table1[quality])</f>
        <v>-0.39055778026400934</v>
      </c>
      <c r="F23" s="3"/>
      <c r="G23" s="3"/>
    </row>
  </sheetData>
  <mergeCells count="7">
    <mergeCell ref="C21:D21"/>
    <mergeCell ref="C22:D22"/>
    <mergeCell ref="C23:D23"/>
    <mergeCell ref="C20:G20"/>
    <mergeCell ref="A2:H2"/>
    <mergeCell ref="B11:F11"/>
    <mergeCell ref="C16: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0039-8A33-48C5-857E-F08D605DC239}">
  <dimension ref="B3:Q29"/>
  <sheetViews>
    <sheetView topLeftCell="I1" workbookViewId="0">
      <selection activeCell="Q9" sqref="Q9"/>
    </sheetView>
  </sheetViews>
  <sheetFormatPr defaultRowHeight="14.4" x14ac:dyDescent="0.3"/>
  <cols>
    <col min="2" max="2" width="12.5546875" bestFit="1" customWidth="1"/>
    <col min="3" max="3" width="18.6640625" bestFit="1" customWidth="1"/>
    <col min="4" max="4" width="23" bestFit="1" customWidth="1"/>
    <col min="5" max="5" width="19.77734375" bestFit="1" customWidth="1"/>
    <col min="6" max="6" width="12.5546875" bestFit="1" customWidth="1"/>
    <col min="7" max="7" width="18.6640625" bestFit="1" customWidth="1"/>
    <col min="8" max="8" width="23" bestFit="1" customWidth="1"/>
    <col min="9" max="9" width="18.6640625" bestFit="1" customWidth="1"/>
    <col min="10" max="11" width="12.5546875" bestFit="1" customWidth="1"/>
    <col min="12" max="12" width="15.77734375" bestFit="1" customWidth="1"/>
    <col min="13" max="13" width="15.5546875" bestFit="1" customWidth="1"/>
    <col min="14" max="14" width="14.21875" bestFit="1" customWidth="1"/>
    <col min="15" max="15" width="24.77734375" bestFit="1" customWidth="1"/>
    <col min="16" max="16" width="18.77734375" bestFit="1" customWidth="1"/>
    <col min="17" max="17" width="24.77734375" bestFit="1" customWidth="1"/>
    <col min="18" max="18" width="18.77734375" bestFit="1" customWidth="1"/>
    <col min="19" max="19" width="29.6640625" bestFit="1" customWidth="1"/>
    <col min="20" max="20" width="23.5546875" bestFit="1" customWidth="1"/>
    <col min="21" max="74" width="15.5546875" bestFit="1" customWidth="1"/>
    <col min="75" max="75" width="10.77734375" bestFit="1" customWidth="1"/>
  </cols>
  <sheetData>
    <row r="3" spans="2:17" x14ac:dyDescent="0.3">
      <c r="B3" s="10" t="s">
        <v>34</v>
      </c>
      <c r="C3" t="s">
        <v>35</v>
      </c>
      <c r="F3" s="8">
        <f>AVERAGE(Table1[Quality_score_index])</f>
        <v>20.7775484677924</v>
      </c>
    </row>
    <row r="4" spans="2:17" x14ac:dyDescent="0.3">
      <c r="B4" s="11" t="s">
        <v>21</v>
      </c>
      <c r="C4" s="8">
        <v>11.518049155145922</v>
      </c>
    </row>
    <row r="5" spans="2:17" x14ac:dyDescent="0.3">
      <c r="B5" s="11" t="s">
        <v>20</v>
      </c>
      <c r="C5" s="8">
        <v>10.215873015873015</v>
      </c>
      <c r="G5" s="10" t="s">
        <v>34</v>
      </c>
      <c r="H5" t="s">
        <v>35</v>
      </c>
      <c r="I5" t="s">
        <v>38</v>
      </c>
      <c r="J5" t="s">
        <v>39</v>
      </c>
      <c r="K5" t="s">
        <v>36</v>
      </c>
    </row>
    <row r="6" spans="2:17" x14ac:dyDescent="0.3">
      <c r="B6" s="11" t="s">
        <v>15</v>
      </c>
      <c r="C6" s="8">
        <v>10.252716704574146</v>
      </c>
      <c r="G6" s="11" t="s">
        <v>21</v>
      </c>
      <c r="H6" s="8">
        <v>11.518049155145922</v>
      </c>
      <c r="I6" s="8">
        <v>0.37649769585253456</v>
      </c>
      <c r="J6" s="8">
        <v>0.40552995391705077</v>
      </c>
      <c r="K6" s="8">
        <v>3.2888018433179704</v>
      </c>
    </row>
    <row r="7" spans="2:17" x14ac:dyDescent="0.3">
      <c r="B7" s="11" t="s">
        <v>33</v>
      </c>
      <c r="C7" s="8">
        <v>10.422983114446499</v>
      </c>
      <c r="D7" s="8">
        <f>GETPIVOTDATA("alcohol",$B$3)</f>
        <v>10.422983114446499</v>
      </c>
      <c r="G7" s="11" t="s">
        <v>20</v>
      </c>
      <c r="H7" s="8">
        <v>10.215873015873015</v>
      </c>
      <c r="I7" s="8">
        <v>0.17365079365079364</v>
      </c>
      <c r="J7" s="8">
        <v>0.72420634920634863</v>
      </c>
      <c r="K7" s="8">
        <v>3.384126984126985</v>
      </c>
      <c r="N7" s="10" t="s">
        <v>34</v>
      </c>
      <c r="O7" t="s">
        <v>40</v>
      </c>
    </row>
    <row r="8" spans="2:17" x14ac:dyDescent="0.3">
      <c r="G8" s="11" t="s">
        <v>15</v>
      </c>
      <c r="H8" s="8">
        <v>10.252716704574146</v>
      </c>
      <c r="I8" s="8">
        <v>0.25826383623957477</v>
      </c>
      <c r="J8" s="8">
        <v>0.53855951478392761</v>
      </c>
      <c r="K8" s="8">
        <v>3.3112964366944673</v>
      </c>
      <c r="N8" s="14">
        <v>653</v>
      </c>
      <c r="O8" s="8">
        <v>30.340000000000003</v>
      </c>
      <c r="Q8">
        <f>GETPIVOTDATA("Quality_score_index",$N$7,"Wine_id",653)</f>
        <v>30.340000000000003</v>
      </c>
    </row>
    <row r="9" spans="2:17" x14ac:dyDescent="0.3">
      <c r="G9" s="11" t="s">
        <v>33</v>
      </c>
      <c r="H9" s="8">
        <v>10.422983114446499</v>
      </c>
      <c r="I9" s="8">
        <v>0.27097560975609658</v>
      </c>
      <c r="J9" s="8">
        <v>0.5278205128205129</v>
      </c>
      <c r="K9" s="8">
        <v>3.3111131957473416</v>
      </c>
      <c r="N9" s="15" t="s">
        <v>43</v>
      </c>
      <c r="O9" s="8">
        <v>30.340000000000003</v>
      </c>
    </row>
    <row r="10" spans="2:17" x14ac:dyDescent="0.3">
      <c r="B10" s="10" t="s">
        <v>34</v>
      </c>
      <c r="C10" t="s">
        <v>36</v>
      </c>
      <c r="N10" s="14">
        <v>145</v>
      </c>
      <c r="O10" s="8">
        <v>28.504999999999999</v>
      </c>
    </row>
    <row r="11" spans="2:17" x14ac:dyDescent="0.3">
      <c r="B11" s="11" t="s">
        <v>21</v>
      </c>
      <c r="C11" s="8">
        <v>3.2888018433179704</v>
      </c>
      <c r="N11" s="15" t="s">
        <v>44</v>
      </c>
      <c r="O11" s="8">
        <v>28.504999999999999</v>
      </c>
    </row>
    <row r="12" spans="2:17" x14ac:dyDescent="0.3">
      <c r="B12" s="11" t="s">
        <v>20</v>
      </c>
      <c r="C12" s="8">
        <v>3.384126984126985</v>
      </c>
      <c r="E12" s="16" t="s">
        <v>46</v>
      </c>
      <c r="F12" s="16">
        <f>MAX(Table1[alcohol])</f>
        <v>14.9</v>
      </c>
      <c r="N12" s="14">
        <v>143</v>
      </c>
      <c r="O12" s="8">
        <v>28.504999999999999</v>
      </c>
    </row>
    <row r="13" spans="2:17" x14ac:dyDescent="0.3">
      <c r="B13" s="11" t="s">
        <v>15</v>
      </c>
      <c r="C13" s="8">
        <v>3.3112964366944673</v>
      </c>
      <c r="E13" s="16" t="s">
        <v>47</v>
      </c>
      <c r="F13" s="16">
        <f>MIN(Table1[pH])</f>
        <v>2.74</v>
      </c>
      <c r="N13" s="15" t="s">
        <v>44</v>
      </c>
      <c r="O13" s="8">
        <v>28.504999999999999</v>
      </c>
    </row>
    <row r="14" spans="2:17" x14ac:dyDescent="0.3">
      <c r="B14" s="11" t="s">
        <v>33</v>
      </c>
      <c r="C14" s="8">
        <v>3.3111131957473416</v>
      </c>
      <c r="D14" s="8">
        <f>GETPIVOTDATA("pH",$B$10)</f>
        <v>3.3111131957473416</v>
      </c>
      <c r="E14" s="16" t="s">
        <v>48</v>
      </c>
      <c r="F14" s="16" t="str" cm="1">
        <f t="array" ref="F14">INDEX(Table1[quality_category],MODE(MATCH(Table1[quality_category],Table1[quality_category],0)))</f>
        <v>Medium</v>
      </c>
      <c r="N14" s="14">
        <v>1271</v>
      </c>
      <c r="O14" s="8">
        <v>28.364999999999998</v>
      </c>
    </row>
    <row r="15" spans="2:17" x14ac:dyDescent="0.3">
      <c r="N15" s="15" t="s">
        <v>44</v>
      </c>
      <c r="O15" s="8">
        <v>28.364999999999998</v>
      </c>
    </row>
    <row r="16" spans="2:17" x14ac:dyDescent="0.3">
      <c r="B16" s="10" t="s">
        <v>34</v>
      </c>
      <c r="C16" t="s">
        <v>37</v>
      </c>
      <c r="N16" s="14">
        <v>589</v>
      </c>
      <c r="O16" s="8">
        <v>28.27</v>
      </c>
    </row>
    <row r="17" spans="2:15" x14ac:dyDescent="0.3">
      <c r="B17" s="11" t="s">
        <v>21</v>
      </c>
      <c r="C17" s="23">
        <v>217</v>
      </c>
      <c r="N17" s="15" t="s">
        <v>44</v>
      </c>
      <c r="O17" s="8">
        <v>28.27</v>
      </c>
    </row>
    <row r="18" spans="2:15" x14ac:dyDescent="0.3">
      <c r="B18" s="11" t="s">
        <v>20</v>
      </c>
      <c r="C18" s="23">
        <v>63</v>
      </c>
      <c r="J18" s="10" t="s">
        <v>34</v>
      </c>
      <c r="K18" t="s">
        <v>38</v>
      </c>
      <c r="L18" t="s">
        <v>39</v>
      </c>
      <c r="N18" s="14">
        <v>822</v>
      </c>
      <c r="O18" s="8">
        <v>28.27</v>
      </c>
    </row>
    <row r="19" spans="2:15" x14ac:dyDescent="0.3">
      <c r="B19" s="11" t="s">
        <v>15</v>
      </c>
      <c r="C19" s="23">
        <v>1319</v>
      </c>
      <c r="J19" s="11" t="s">
        <v>21</v>
      </c>
      <c r="K19" s="8">
        <v>0.37649769585253456</v>
      </c>
      <c r="L19" s="8">
        <v>0.40552995391705077</v>
      </c>
      <c r="N19" s="15" t="s">
        <v>44</v>
      </c>
      <c r="O19" s="8">
        <v>28.27</v>
      </c>
    </row>
    <row r="20" spans="2:15" x14ac:dyDescent="0.3">
      <c r="B20" s="11" t="s">
        <v>33</v>
      </c>
      <c r="C20" s="23">
        <v>1599</v>
      </c>
      <c r="D20">
        <f>GETPIVOTDATA("fixed acidity",$B$16)</f>
        <v>1599</v>
      </c>
      <c r="J20" s="11" t="s">
        <v>20</v>
      </c>
      <c r="K20" s="8">
        <v>0.17365079365079364</v>
      </c>
      <c r="L20" s="8">
        <v>0.72420634920634863</v>
      </c>
      <c r="N20" s="14">
        <v>468</v>
      </c>
      <c r="O20" s="8">
        <v>28.264999999999997</v>
      </c>
    </row>
    <row r="21" spans="2:15" x14ac:dyDescent="0.3">
      <c r="J21" s="11" t="s">
        <v>15</v>
      </c>
      <c r="K21" s="8">
        <v>0.25826383623957477</v>
      </c>
      <c r="L21" s="8">
        <v>0.53855951478392761</v>
      </c>
      <c r="N21" s="15" t="s">
        <v>44</v>
      </c>
      <c r="O21" s="8">
        <v>28.264999999999997</v>
      </c>
    </row>
    <row r="22" spans="2:15" ht="18" x14ac:dyDescent="0.3">
      <c r="B22" s="12"/>
      <c r="J22" s="11" t="s">
        <v>33</v>
      </c>
      <c r="K22" s="8">
        <v>0.27097560975609658</v>
      </c>
      <c r="L22" s="8">
        <v>0.5278205128205129</v>
      </c>
      <c r="N22" s="14">
        <v>1270</v>
      </c>
      <c r="O22" s="8">
        <v>28.25</v>
      </c>
    </row>
    <row r="23" spans="2:15" x14ac:dyDescent="0.3">
      <c r="B23" s="10" t="s">
        <v>34</v>
      </c>
      <c r="C23" t="s">
        <v>38</v>
      </c>
      <c r="D23" t="s">
        <v>39</v>
      </c>
      <c r="F23" s="10" t="s">
        <v>34</v>
      </c>
      <c r="G23" t="s">
        <v>38</v>
      </c>
      <c r="H23" t="s">
        <v>39</v>
      </c>
      <c r="N23" s="15" t="s">
        <v>44</v>
      </c>
      <c r="O23" s="8">
        <v>28.25</v>
      </c>
    </row>
    <row r="24" spans="2:15" x14ac:dyDescent="0.3">
      <c r="B24" s="11" t="s">
        <v>21</v>
      </c>
      <c r="C24" s="8">
        <v>0.37649769585253456</v>
      </c>
      <c r="D24" s="8">
        <v>0.40552995391705077</v>
      </c>
      <c r="F24" s="11" t="s">
        <v>21</v>
      </c>
      <c r="G24" s="8">
        <v>0.37649769585253456</v>
      </c>
      <c r="H24" s="8">
        <v>0.40552995391705077</v>
      </c>
      <c r="N24" s="14">
        <v>1133</v>
      </c>
      <c r="O24" s="8">
        <v>27.8</v>
      </c>
    </row>
    <row r="25" spans="2:15" x14ac:dyDescent="0.3">
      <c r="B25" s="11" t="s">
        <v>20</v>
      </c>
      <c r="C25" s="8">
        <v>0.17365079365079364</v>
      </c>
      <c r="D25" s="8">
        <v>0.72420634920634863</v>
      </c>
      <c r="F25" s="11" t="s">
        <v>20</v>
      </c>
      <c r="G25" s="8">
        <v>0.17365079365079364</v>
      </c>
      <c r="H25" s="8">
        <v>0.72420634920634863</v>
      </c>
      <c r="N25" s="15" t="s">
        <v>44</v>
      </c>
      <c r="O25" s="8">
        <v>27.8</v>
      </c>
    </row>
    <row r="26" spans="2:15" x14ac:dyDescent="0.3">
      <c r="B26" s="11" t="s">
        <v>15</v>
      </c>
      <c r="C26" s="8">
        <v>0.25826383623957477</v>
      </c>
      <c r="D26" s="8">
        <v>0.53855951478392761</v>
      </c>
      <c r="F26" s="11" t="s">
        <v>15</v>
      </c>
      <c r="G26" s="8">
        <v>0.25826383623957477</v>
      </c>
      <c r="H26" s="8">
        <v>0.53855951478392761</v>
      </c>
      <c r="K26" s="10" t="s">
        <v>34</v>
      </c>
      <c r="L26" t="s">
        <v>45</v>
      </c>
      <c r="N26" s="14">
        <v>1478</v>
      </c>
      <c r="O26" s="8">
        <v>27.58</v>
      </c>
    </row>
    <row r="27" spans="2:15" x14ac:dyDescent="0.3">
      <c r="B27" s="11" t="s">
        <v>33</v>
      </c>
      <c r="C27" s="8">
        <v>0.27097560975609658</v>
      </c>
      <c r="D27" s="8">
        <v>0.5278205128205129</v>
      </c>
      <c r="F27" s="11" t="s">
        <v>33</v>
      </c>
      <c r="G27" s="8">
        <v>0.27097560975609658</v>
      </c>
      <c r="H27" s="8">
        <v>0.5278205128205129</v>
      </c>
      <c r="K27" s="11" t="s">
        <v>43</v>
      </c>
      <c r="L27" s="23">
        <v>848</v>
      </c>
      <c r="N27" s="15" t="s">
        <v>44</v>
      </c>
      <c r="O27" s="8">
        <v>27.58</v>
      </c>
    </row>
    <row r="28" spans="2:15" x14ac:dyDescent="0.3">
      <c r="K28" s="11" t="s">
        <v>44</v>
      </c>
      <c r="L28" s="23">
        <v>751</v>
      </c>
    </row>
    <row r="29" spans="2:15" x14ac:dyDescent="0.3">
      <c r="K29" s="11" t="s">
        <v>33</v>
      </c>
      <c r="L29" s="23">
        <v>1599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4768E-46F4-4139-B619-A21485EA8E5D}">
  <dimension ref="A1"/>
  <sheetViews>
    <sheetView topLeftCell="E25" workbookViewId="0">
      <selection activeCell="K3" sqref="K3"/>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C12C-23D7-48D0-A8E0-DDC183DA39B9}">
  <dimension ref="A1:AC189"/>
  <sheetViews>
    <sheetView tabSelected="1" topLeftCell="B1" zoomScale="60" workbookViewId="0">
      <selection sqref="A1:AC189"/>
    </sheetView>
  </sheetViews>
  <sheetFormatPr defaultRowHeight="14.4" x14ac:dyDescent="0.3"/>
  <sheetData>
    <row r="1" spans="1:29" x14ac:dyDescent="0.3">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row>
    <row r="2" spans="1:29"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row>
    <row r="4" spans="1:29"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row>
    <row r="5" spans="1:29" x14ac:dyDescent="0.3">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row>
    <row r="6" spans="1:29" x14ac:dyDescent="0.3">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row>
    <row r="7" spans="1:29" x14ac:dyDescent="0.3">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row>
    <row r="8" spans="1:29" x14ac:dyDescent="0.3">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row>
    <row r="9" spans="1:29" x14ac:dyDescent="0.3">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row>
    <row r="10" spans="1:29" x14ac:dyDescent="0.3">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row>
    <row r="11" spans="1:29" x14ac:dyDescent="0.3">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row>
    <row r="12" spans="1:29" x14ac:dyDescent="0.3">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row>
    <row r="13" spans="1:29" x14ac:dyDescent="0.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row>
    <row r="14" spans="1:29" x14ac:dyDescent="0.3">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row>
    <row r="15" spans="1:29" x14ac:dyDescent="0.3">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row>
    <row r="16" spans="1:29" x14ac:dyDescent="0.3">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row>
    <row r="17" spans="1:29" x14ac:dyDescent="0.3">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row>
    <row r="18" spans="1:29" x14ac:dyDescent="0.3">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row>
    <row r="19" spans="1:29" x14ac:dyDescent="0.3">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row>
    <row r="20" spans="1:29" x14ac:dyDescent="0.3">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row>
    <row r="21" spans="1:29" x14ac:dyDescent="0.3">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row>
    <row r="22" spans="1:29" x14ac:dyDescent="0.3">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row>
    <row r="23" spans="1:29" x14ac:dyDescent="0.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row>
    <row r="24" spans="1:29"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row>
    <row r="25" spans="1:29" x14ac:dyDescent="0.3">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row>
    <row r="26" spans="1:29" x14ac:dyDescent="0.3">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row>
    <row r="27" spans="1:29"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row>
    <row r="28" spans="1:29"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row>
    <row r="29" spans="1:29"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row>
    <row r="30" spans="1:29"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row>
    <row r="31" spans="1:29"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row>
    <row r="32" spans="1:29"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row>
    <row r="33" spans="1:29"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row>
    <row r="34" spans="1:29"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row>
    <row r="35" spans="1:29"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row>
    <row r="36" spans="1:29"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row>
    <row r="37" spans="1:29"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row>
    <row r="38" spans="1:29"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row>
    <row r="39" spans="1:29"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row>
    <row r="40" spans="1:29"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row>
    <row r="41" spans="1:29"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row>
    <row r="42" spans="1:29"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row>
    <row r="43" spans="1:29"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row>
    <row r="44" spans="1:29"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row>
    <row r="45" spans="1:29"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row>
    <row r="46" spans="1:29"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row>
    <row r="47" spans="1:29"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row>
    <row r="48" spans="1:29"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row>
    <row r="49" spans="1:29"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row>
    <row r="50" spans="1:29"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row>
    <row r="51" spans="1:29"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row>
    <row r="52" spans="1:29"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row>
    <row r="53" spans="1:29"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row>
    <row r="54" spans="1:29"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row>
    <row r="55" spans="1:29"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row>
    <row r="56" spans="1:29"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row>
    <row r="57" spans="1:29"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row>
    <row r="58" spans="1:29"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row>
    <row r="59" spans="1:29"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row>
    <row r="60" spans="1:29"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row>
    <row r="61" spans="1:29"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row>
    <row r="62" spans="1:29"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row>
    <row r="63" spans="1:29"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row>
    <row r="64" spans="1:29"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row>
    <row r="65" spans="1:29"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row>
    <row r="66" spans="1:29"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row>
    <row r="67" spans="1:29"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row>
    <row r="68" spans="1:29"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spans="1:29"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row>
    <row r="70" spans="1:29"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row>
    <row r="71" spans="1:29"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row>
    <row r="72" spans="1:29"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row>
    <row r="73" spans="1:29"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row>
    <row r="74" spans="1:29"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row>
    <row r="75" spans="1:29"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row>
    <row r="76" spans="1:29"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row>
    <row r="77" spans="1:29"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row>
    <row r="78" spans="1:29"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row>
    <row r="79" spans="1:29"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row>
    <row r="80" spans="1:29"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row>
    <row r="81" spans="1:29"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row>
    <row r="82" spans="1:29"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row>
    <row r="83" spans="1:29"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row>
    <row r="84" spans="1:29"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row>
    <row r="85" spans="1:29"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row>
    <row r="86" spans="1:29"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row>
    <row r="87" spans="1:29"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row>
    <row r="88" spans="1:29"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row>
    <row r="89" spans="1:29"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row>
    <row r="90" spans="1:29"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row>
    <row r="91" spans="1:29"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row>
    <row r="92" spans="1:29"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row>
    <row r="93" spans="1:29"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row>
    <row r="94" spans="1:29"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row>
    <row r="95" spans="1:29"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row>
    <row r="96" spans="1:29"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row>
    <row r="97" spans="1:29"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row>
    <row r="98" spans="1:29"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row>
    <row r="99" spans="1:29"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row>
    <row r="100" spans="1:29"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row>
    <row r="101" spans="1:29"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row>
    <row r="102" spans="1:29"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row>
    <row r="103" spans="1:29"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row>
    <row r="104" spans="1:29"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row>
    <row r="105" spans="1:29"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row>
    <row r="106" spans="1:29"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row>
    <row r="107" spans="1:29"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row>
    <row r="108" spans="1:29"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row>
    <row r="109" spans="1:29"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row>
    <row r="110" spans="1:29"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row>
    <row r="111" spans="1:29"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row>
    <row r="112" spans="1:29"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row>
    <row r="113" spans="1:29"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row>
    <row r="114" spans="1:29"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row>
    <row r="115" spans="1:29"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row>
    <row r="116" spans="1:29"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row>
    <row r="117" spans="1:29"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row>
    <row r="118" spans="1:29"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row>
    <row r="119" spans="1:29"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row>
    <row r="120" spans="1:29"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row>
    <row r="121" spans="1:29"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row>
    <row r="122" spans="1:29"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row>
    <row r="123" spans="1:29"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row>
    <row r="124" spans="1:29"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row>
    <row r="125" spans="1:29"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row>
    <row r="126" spans="1:29"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row>
    <row r="127" spans="1:29"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row>
    <row r="128" spans="1:29"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row>
    <row r="129" spans="1:29"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row>
    <row r="130" spans="1:29"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row>
    <row r="131" spans="1:29"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row>
    <row r="132" spans="1:29"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row>
    <row r="133" spans="1:29"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row>
    <row r="134" spans="1:29"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row>
    <row r="135" spans="1:29"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row>
    <row r="136" spans="1:29"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row>
    <row r="137" spans="1:29"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row>
    <row r="138" spans="1:29"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row>
    <row r="139" spans="1:29"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row>
    <row r="140" spans="1:29"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row>
    <row r="141" spans="1:29"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row>
    <row r="142" spans="1:29"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row>
    <row r="143" spans="1:29"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row>
    <row r="144" spans="1:29"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row>
    <row r="145" spans="1:29"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row>
    <row r="146" spans="1:29"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row>
    <row r="147" spans="1:29"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row>
    <row r="148" spans="1:29"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row>
    <row r="149" spans="1:29"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row>
    <row r="150" spans="1:29"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row>
    <row r="151" spans="1:29"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row>
    <row r="152" spans="1:29"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row>
    <row r="153" spans="1:29"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row>
    <row r="154" spans="1:29"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row>
    <row r="155" spans="1:29"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row>
    <row r="156" spans="1:29"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row>
    <row r="157" spans="1:29"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row>
    <row r="158" spans="1:29"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row>
    <row r="159" spans="1:29"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row>
    <row r="160" spans="1:29"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row>
    <row r="161" spans="1:29" x14ac:dyDescent="0.3">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row>
    <row r="162" spans="1:29" x14ac:dyDescent="0.3">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row>
    <row r="163" spans="1:29" x14ac:dyDescent="0.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row>
    <row r="164" spans="1:29" x14ac:dyDescent="0.3">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row>
    <row r="165" spans="1:29" x14ac:dyDescent="0.3">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row>
    <row r="166" spans="1:29" x14ac:dyDescent="0.3">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row>
    <row r="167" spans="1:29" x14ac:dyDescent="0.3">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row>
    <row r="168" spans="1:29" x14ac:dyDescent="0.3">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row>
    <row r="169" spans="1:29" x14ac:dyDescent="0.3">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row>
    <row r="170" spans="1:29" x14ac:dyDescent="0.3">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row>
    <row r="171" spans="1:29" x14ac:dyDescent="0.3">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row>
    <row r="172" spans="1:29" x14ac:dyDescent="0.3">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row>
    <row r="173" spans="1:29" x14ac:dyDescent="0.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row>
    <row r="174" spans="1:29" x14ac:dyDescent="0.3">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row>
    <row r="175" spans="1:29" x14ac:dyDescent="0.3">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row>
    <row r="176" spans="1:29" x14ac:dyDescent="0.3">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row>
    <row r="177" spans="1:29" x14ac:dyDescent="0.3">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row>
    <row r="178" spans="1:29" x14ac:dyDescent="0.3">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row>
    <row r="179" spans="1:29" x14ac:dyDescent="0.3">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row>
    <row r="180" spans="1:29" x14ac:dyDescent="0.3">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row>
    <row r="181" spans="1:29" x14ac:dyDescent="0.3">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row>
    <row r="182" spans="1:29" x14ac:dyDescent="0.3">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row>
    <row r="183" spans="1:29" x14ac:dyDescent="0.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row>
    <row r="184" spans="1:29" x14ac:dyDescent="0.3">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row>
    <row r="185" spans="1:29" x14ac:dyDescent="0.3">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row>
    <row r="186" spans="1:29" x14ac:dyDescent="0.3">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row>
    <row r="187" spans="1:29" x14ac:dyDescent="0.3">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row>
    <row r="188" spans="1:29" x14ac:dyDescent="0.3">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row>
    <row r="189" spans="1:29" x14ac:dyDescent="0.3">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row>
  </sheetData>
  <mergeCells count="1">
    <mergeCell ref="A1:AC18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8DE4BF-E46C-4AAB-A790-63B1B4AEDA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winequality-red(in) (1)</vt: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Prathamesh Shinde</cp:lastModifiedBy>
  <dcterms:created xsi:type="dcterms:W3CDTF">2026-03-07T06:12:51Z</dcterms:created>
  <dcterms:modified xsi:type="dcterms:W3CDTF">2026-03-09T08:34:06Z</dcterms:modified>
</cp:coreProperties>
</file>